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RANI\OneDrive\Desktop\project\excel\"/>
    </mc:Choice>
  </mc:AlternateContent>
  <xr:revisionPtr revIDLastSave="0" documentId="8_{F4804EC4-8A12-46E0-8AAC-12A5A01B7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pivotCaches>
    <pivotCache cacheId="0" r:id="rId2"/>
    <pivotCache cacheId="1" r:id="rId3"/>
    <pivotCache cacheId="2" r:id="rId4"/>
    <pivotCache cacheId="3" r:id="rId5"/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" i="1" l="1"/>
  <c r="AC2" i="1"/>
  <c r="AB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2" i="1"/>
  <c r="M2" i="1"/>
  <c r="N2" i="1"/>
  <c r="J10" i="1"/>
  <c r="J8" i="1"/>
  <c r="J6" i="1"/>
  <c r="J4" i="1"/>
  <c r="J2" i="1"/>
</calcChain>
</file>

<file path=xl/sharedStrings.xml><?xml version="1.0" encoding="utf-8"?>
<sst xmlns="http://schemas.openxmlformats.org/spreadsheetml/2006/main" count="9101" uniqueCount="60">
  <si>
    <t>Order_ID</t>
  </si>
  <si>
    <t>Order_Date</t>
  </si>
  <si>
    <t>Product</t>
  </si>
  <si>
    <t>Region</t>
  </si>
  <si>
    <t>Salesperson</t>
  </si>
  <si>
    <t>Units_Sold</t>
  </si>
  <si>
    <t>Unit_Price</t>
  </si>
  <si>
    <t>Total_Sales</t>
  </si>
  <si>
    <t>Keyboard</t>
  </si>
  <si>
    <t>Laptop</t>
  </si>
  <si>
    <t>Tablet</t>
  </si>
  <si>
    <t>Mouse</t>
  </si>
  <si>
    <t>Mobile</t>
  </si>
  <si>
    <t>Smartwatch</t>
  </si>
  <si>
    <t>Headphones</t>
  </si>
  <si>
    <t>North</t>
  </si>
  <si>
    <t>West</t>
  </si>
  <si>
    <t>South</t>
  </si>
  <si>
    <t>East</t>
  </si>
  <si>
    <t>Rani</t>
  </si>
  <si>
    <t>Priya</t>
  </si>
  <si>
    <t>Rahul</t>
  </si>
  <si>
    <t>Amit</t>
  </si>
  <si>
    <t>Suman</t>
  </si>
  <si>
    <t>Anita</t>
  </si>
  <si>
    <t>Total_sale_company</t>
  </si>
  <si>
    <t>AVG_unit_price</t>
  </si>
  <si>
    <t>No_of_orders</t>
  </si>
  <si>
    <t>max_salesvalue</t>
  </si>
  <si>
    <t>min_salesvalue</t>
  </si>
  <si>
    <t>Highest_total_sale</t>
  </si>
  <si>
    <t>Grand Total</t>
  </si>
  <si>
    <t>Sum of Total_Sales</t>
  </si>
  <si>
    <t>Highest_Total_Sales</t>
  </si>
  <si>
    <t>Revenue</t>
  </si>
  <si>
    <t>Sum of Revenue</t>
  </si>
  <si>
    <t>Sum of Units_Sold</t>
  </si>
  <si>
    <t>Top_sales_person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</si>
  <si>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</si>
  <si>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</si>
  <si>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</si>
  <si>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</si>
  <si>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</si>
  <si>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</si>
  <si>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</si>
  <si>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</si>
  <si>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</si>
  <si>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</si>
  <si>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</si>
  <si>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</si>
  <si>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</si>
  <si>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(All)</t>
  </si>
  <si>
    <t>Month</t>
  </si>
  <si>
    <t>Total_product_per_month</t>
  </si>
  <si>
    <t>Total_Revenue</t>
  </si>
  <si>
    <t>Average of Units_Sold</t>
  </si>
  <si>
    <t>Top 5 sales_person</t>
  </si>
  <si>
    <t>Avg_Sales</t>
  </si>
  <si>
    <t>Total_Orders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</si>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</sst>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0" fillId="0" borderId="3" xfId="0" applyBorder="1" applyAlignment="1">
      <alignment horizontal="left"/>
    </xf>
    <xf numFmtId="0" fontId="0" fillId="0" borderId="4" xfId="0" pivotButton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2" fillId="0" borderId="0" xfId="0" applyFont="1"/>
    <xf numFmtId="0" fontId="1" fillId="0" borderId="7" xfId="0" applyFont="1" applyBorder="1" applyAlignment="1">
      <alignment horizontal="center" vertical="top"/>
    </xf>
    <xf numFmtId="0" fontId="0" fillId="0" borderId="6" xfId="0" applyBorder="1"/>
    <xf numFmtId="0" fontId="0" fillId="0" borderId="8" xfId="0" pivotButton="1" applyBorder="1"/>
    <xf numFmtId="0" fontId="0" fillId="0" borderId="8" xfId="0" applyBorder="1" applyAlignment="1">
      <alignment horizontal="left"/>
    </xf>
  </cellXfs>
  <cellStyles count="1">
    <cellStyle name="Normal" xfId="0" builtinId="0"/>
  </cellStyles>
  <dxfs count="42">
    <dxf>
      <fill>
        <patternFill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2.xml"/><Relationship Id="rId7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5" Type="http://schemas.openxmlformats.org/officeDocument/2006/relationships/pivotCacheDefinition" Target="pivotCache/pivotCacheDefinition4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[Excel_Sales_Project_working_sheet_f.xlsx]Sheet1!PivotTable10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effectLst>
                  <a:glow rad="127000">
                    <a:schemeClr val="bg2">
                      <a:lumMod val="50000"/>
                      <a:alpha val="92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effectLst>
                  <a:glow rad="127000">
                    <a:schemeClr val="bg2">
                      <a:lumMod val="50000"/>
                      <a:alpha val="92000"/>
                    </a:schemeClr>
                  </a:glow>
                </a:effectLst>
              </a:rPr>
              <a:t>Monthly</a:t>
            </a:r>
            <a:r>
              <a:rPr lang="en-IN" baseline="0">
                <a:effectLst>
                  <a:glow rad="127000">
                    <a:schemeClr val="bg2">
                      <a:lumMod val="50000"/>
                      <a:alpha val="92000"/>
                    </a:schemeClr>
                  </a:glow>
                </a:effectLst>
              </a:rPr>
              <a:t> Sales Trend</a:t>
            </a:r>
            <a:endParaRPr lang="en-IN">
              <a:effectLst>
                <a:glow rad="127000">
                  <a:schemeClr val="bg2">
                    <a:lumMod val="50000"/>
                    <a:alpha val="92000"/>
                  </a:schemeClr>
                </a:glow>
              </a:effectLst>
            </a:endParaRPr>
          </a:p>
        </c:rich>
      </c:tx>
      <c:layout>
        <c:manualLayout>
          <c:xMode val="edge"/>
          <c:yMode val="edge"/>
          <c:x val="0.35822162744466535"/>
          <c:y val="2.6925513621142184E-2"/>
        </c:manualLayout>
      </c:layout>
      <c:overlay val="0"/>
      <c:spPr>
        <a:noFill/>
        <a:ln w="12700">
          <a:solidFill>
            <a:srgbClr val="0070C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effectLst>
                <a:glow rad="127000">
                  <a:schemeClr val="bg2">
                    <a:lumMod val="50000"/>
                    <a:alpha val="92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219044987797577"/>
          <c:y val="0.25525797762121838"/>
          <c:w val="0.45354054427407098"/>
          <c:h val="0.4592549903301561"/>
        </c:manualLayout>
      </c:layout>
      <c:lineChart>
        <c:grouping val="standard"/>
        <c:varyColors val="0"/>
        <c:ser>
          <c:idx val="0"/>
          <c:order val="0"/>
          <c:tx>
            <c:strRef>
              <c:f>Sheet1!$P$3</c:f>
              <c:strCache>
                <c:ptCount val="1"/>
                <c:pt idx="0">
                  <c:v>Total_product_per_month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Sheet1!$O$4:$O$15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Sheet1!$P$4:$P$15</c:f>
              <c:numCache>
                <c:formatCode>General</c:formatCode>
                <c:ptCount val="12"/>
                <c:pt idx="0">
                  <c:v>282</c:v>
                </c:pt>
                <c:pt idx="1">
                  <c:v>227</c:v>
                </c:pt>
                <c:pt idx="2">
                  <c:v>258</c:v>
                </c:pt>
                <c:pt idx="3">
                  <c:v>259</c:v>
                </c:pt>
                <c:pt idx="4">
                  <c:v>260</c:v>
                </c:pt>
                <c:pt idx="5">
                  <c:v>246</c:v>
                </c:pt>
                <c:pt idx="6">
                  <c:v>249</c:v>
                </c:pt>
                <c:pt idx="7">
                  <c:v>238</c:v>
                </c:pt>
                <c:pt idx="8">
                  <c:v>238</c:v>
                </c:pt>
                <c:pt idx="9">
                  <c:v>239</c:v>
                </c:pt>
                <c:pt idx="10">
                  <c:v>268</c:v>
                </c:pt>
                <c:pt idx="11">
                  <c:v>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B-411A-AE09-CC838C87F5D3}"/>
            </c:ext>
          </c:extLst>
        </c:ser>
        <c:ser>
          <c:idx val="1"/>
          <c:order val="1"/>
          <c:tx>
            <c:strRef>
              <c:f>Sheet1!$Q$3</c:f>
              <c:strCache>
                <c:ptCount val="1"/>
                <c:pt idx="0">
                  <c:v>Total_Revenue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Sheet1!$O$4:$O$15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Sheet1!$Q$4:$Q$15</c:f>
              <c:numCache>
                <c:formatCode>General</c:formatCode>
                <c:ptCount val="12"/>
                <c:pt idx="0">
                  <c:v>90764127</c:v>
                </c:pt>
                <c:pt idx="1">
                  <c:v>68914330</c:v>
                </c:pt>
                <c:pt idx="2">
                  <c:v>80557161</c:v>
                </c:pt>
                <c:pt idx="3">
                  <c:v>90302978</c:v>
                </c:pt>
                <c:pt idx="4">
                  <c:v>86433243</c:v>
                </c:pt>
                <c:pt idx="5">
                  <c:v>75102365</c:v>
                </c:pt>
                <c:pt idx="6">
                  <c:v>76866116</c:v>
                </c:pt>
                <c:pt idx="7">
                  <c:v>67055958</c:v>
                </c:pt>
                <c:pt idx="8">
                  <c:v>77940151</c:v>
                </c:pt>
                <c:pt idx="9">
                  <c:v>77544990</c:v>
                </c:pt>
                <c:pt idx="10">
                  <c:v>82345904</c:v>
                </c:pt>
                <c:pt idx="11">
                  <c:v>81276829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BB-411A-AE09-CC838C87F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637584"/>
        <c:axId val="833638064"/>
      </c:lineChart>
      <c:catAx>
        <c:axId val="833637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rgbClr val="C00000"/>
                    </a:solidFill>
                    <a:latin typeface="Berlin Sans FB Demi" panose="020E0802020502020306" pitchFamily="34" charset="0"/>
                  </a:rPr>
                  <a:t>Months</a:t>
                </a:r>
              </a:p>
            </c:rich>
          </c:tx>
          <c:layout>
            <c:manualLayout>
              <c:xMode val="edge"/>
              <c:yMode val="edge"/>
              <c:x val="0.38124211025102817"/>
              <c:y val="0.85963241663757561"/>
            </c:manualLayout>
          </c:layout>
          <c:overlay val="0"/>
          <c:spPr>
            <a:noFill/>
            <a:ln>
              <a:solidFill>
                <a:schemeClr val="bg2">
                  <a:lumMod val="50000"/>
                </a:scheme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38064"/>
        <c:crosses val="autoZero"/>
        <c:auto val="1"/>
        <c:lblAlgn val="ctr"/>
        <c:lblOffset val="100"/>
        <c:noMultiLvlLbl val="0"/>
      </c:catAx>
      <c:valAx>
        <c:axId val="833638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rgbClr val="C00000"/>
                    </a:solidFill>
                    <a:latin typeface="Berlin Sans FB Demi" panose="020E0802020502020306" pitchFamily="34" charset="0"/>
                  </a:rPr>
                  <a:t>Total</a:t>
                </a:r>
                <a:r>
                  <a:rPr lang="en-IN" sz="1200" b="1" baseline="0">
                    <a:solidFill>
                      <a:srgbClr val="C00000"/>
                    </a:solidFill>
                    <a:latin typeface="Berlin Sans FB Demi" panose="020E0802020502020306" pitchFamily="34" charset="0"/>
                  </a:rPr>
                  <a:t>_Revenue</a:t>
                </a:r>
                <a:endParaRPr lang="en-IN" sz="1200" b="1">
                  <a:solidFill>
                    <a:srgbClr val="C00000"/>
                  </a:solidFill>
                  <a:latin typeface="Berlin Sans FB Demi" panose="020E0802020502020306" pitchFamily="34" charset="0"/>
                </a:endParaRPr>
              </a:p>
            </c:rich>
          </c:tx>
          <c:overlay val="0"/>
          <c:spPr>
            <a:noFill/>
            <a:ln>
              <a:solidFill>
                <a:schemeClr val="bg2">
                  <a:lumMod val="50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63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rgbClr val="0070C0"/>
      </a:solidFill>
      <a:round/>
    </a:ln>
    <a:effectLst>
      <a:glow rad="1651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[Excel_Sales_Project_working_sheet_f.xlsx]Sheet1!PivotTable15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Total_Sales</a:t>
            </a:r>
            <a:r>
              <a:rPr lang="en-US" baseline="0"/>
              <a:t> Region_wise</a:t>
            </a:r>
          </a:p>
        </c:rich>
      </c:tx>
      <c:layout>
        <c:manualLayout>
          <c:xMode val="edge"/>
          <c:yMode val="edge"/>
          <c:x val="0.24372925031722029"/>
          <c:y val="1.7187483215348427E-2"/>
        </c:manualLayout>
      </c:layout>
      <c:overlay val="0"/>
      <c:spPr>
        <a:gradFill>
          <a:gsLst>
            <a:gs pos="26000">
              <a:schemeClr val="accent1">
                <a:lumMod val="5000"/>
                <a:lumOff val="95000"/>
              </a:schemeClr>
            </a:gs>
            <a:gs pos="57344">
              <a:srgbClr val="B5DE8C"/>
            </a:gs>
            <a:gs pos="74000">
              <a:srgbClr val="92D050"/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bg2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417218543046357"/>
          <c:y val="0.20806988144217306"/>
          <c:w val="0.67163355408388514"/>
          <c:h val="0.66914703533818165"/>
        </c:manualLayout>
      </c:layout>
      <c:pie3DChart>
        <c:varyColors val="1"/>
        <c:ser>
          <c:idx val="0"/>
          <c:order val="0"/>
          <c:tx>
            <c:strRef>
              <c:f>Sheet1!$AH$1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2973-430C-A9FB-00A95661CF6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2973-430C-A9FB-00A95661CF6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2973-430C-A9FB-00A95661CF6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2973-430C-A9FB-00A95661CF6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Sheet1!$AG$2:$AG$5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Sheet1!$AH$2:$AH$5</c:f>
              <c:numCache>
                <c:formatCode>General</c:formatCode>
                <c:ptCount val="4"/>
                <c:pt idx="0">
                  <c:v>262626474</c:v>
                </c:pt>
                <c:pt idx="1">
                  <c:v>225784228</c:v>
                </c:pt>
                <c:pt idx="2">
                  <c:v>232704424</c:v>
                </c:pt>
                <c:pt idx="3">
                  <c:v>233989026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F-46F3-B8C0-1BEEA8262C8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2"/>
        </a:gs>
        <a:gs pos="74000">
          <a:schemeClr val="accent1">
            <a:lumMod val="45000"/>
            <a:lumOff val="55000"/>
          </a:schemeClr>
        </a:gs>
        <a:gs pos="100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glow rad="2286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Sales Vs  Product</a:t>
            </a:r>
          </a:p>
        </c:rich>
      </c:tx>
      <c:layout>
        <c:manualLayout>
          <c:xMode val="edge"/>
          <c:yMode val="edge"/>
          <c:x val="0.26943842342740865"/>
          <c:y val="1.8518518518518517E-2"/>
        </c:manualLayout>
      </c:layout>
      <c:overlay val="0"/>
      <c:spPr>
        <a:gradFill>
          <a:gsLst>
            <a:gs pos="11000">
              <a:schemeClr val="accent1">
                <a:lumMod val="7000"/>
                <a:lumOff val="93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22225">
          <a:solidFill>
            <a:schemeClr val="bg2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solidFill>
                  <a:schemeClr val="accent1"/>
                </a:solidFill>
              </a:ln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outerShdw blurRad="50800" dist="50800" dir="5400000" algn="ctr" rotWithShape="0">
                  <a:schemeClr val="tx1"/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solidFill>
                        <a:schemeClr val="accent1"/>
                      </a:solidFill>
                    </a:ln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Sheet1!$AE$2:$AE$8</c:f>
              <c:strCache>
                <c:ptCount val="7"/>
                <c:pt idx="0">
                  <c:v>Keyboard</c:v>
                </c:pt>
                <c:pt idx="1">
                  <c:v>Laptop</c:v>
                </c:pt>
                <c:pt idx="2">
                  <c:v>Tablet</c:v>
                </c:pt>
                <c:pt idx="3">
                  <c:v>Mouse</c:v>
                </c:pt>
                <c:pt idx="4">
                  <c:v>Mobile</c:v>
                </c:pt>
                <c:pt idx="5">
                  <c:v>Smartwatch</c:v>
                </c:pt>
                <c:pt idx="6">
                  <c:v>Headphones</c:v>
                </c:pt>
              </c:strCache>
            </c:strRef>
          </c:cat>
          <c:val>
            <c:numRef>
              <c:f>Sheet1!$AF$2:$AF$8</c:f>
              <c:numCache>
                <c:formatCode>General</c:formatCode>
                <c:ptCount val="7"/>
                <c:pt idx="0">
                  <c:v>144642750</c:v>
                </c:pt>
                <c:pt idx="1">
                  <c:v>144342862</c:v>
                </c:pt>
                <c:pt idx="2">
                  <c:v>131945752</c:v>
                </c:pt>
                <c:pt idx="3">
                  <c:v>145099766</c:v>
                </c:pt>
                <c:pt idx="4">
                  <c:v>143906689</c:v>
                </c:pt>
                <c:pt idx="5">
                  <c:v>129121515</c:v>
                </c:pt>
                <c:pt idx="6">
                  <c:v>116044818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2-4BA3-9EF1-CD1D101CCC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37072784"/>
        <c:axId val="737075184"/>
      </c:barChart>
      <c:catAx>
        <c:axId val="73707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 w="9525">
                      <a:solidFill>
                        <a:srgbClr val="4F81BD"/>
                      </a:solidFill>
                    </a:ln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ln w="9525">
                      <a:solidFill>
                        <a:srgbClr val="4F81BD"/>
                      </a:solidFill>
                    </a:ln>
                  </a:rPr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>
              <a:outerShdw blurRad="50800" dist="50800" dir="5400000" sx="66000" sy="66000" algn="ctr" rotWithShape="0">
                <a:srgbClr val="000000">
                  <a:alpha val="43137"/>
                </a:srgb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 w="9525">
                    <a:solidFill>
                      <a:srgbClr val="4F81BD"/>
                    </a:solidFill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gradFill>
            <a:gsLst>
              <a:gs pos="0">
                <a:srgbClr val="00B050"/>
              </a:gs>
              <a:gs pos="58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19050" cap="flat" cmpd="sng" algn="ctr">
            <a:solidFill>
              <a:schemeClr val="accent1"/>
            </a:solidFill>
            <a:round/>
          </a:ln>
          <a:effectLst>
            <a:outerShdw blurRad="50800" dist="50800" dir="5400000" sx="36000" sy="36000" algn="ctr" rotWithShape="0">
              <a:srgbClr val="000000">
                <a:alpha val="43137"/>
              </a:srgb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ln>
                  <a:solidFill>
                    <a:schemeClr val="accent1"/>
                  </a:solidFill>
                </a:ln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075184"/>
        <c:crosses val="autoZero"/>
        <c:auto val="1"/>
        <c:lblAlgn val="ctr"/>
        <c:lblOffset val="100"/>
        <c:noMultiLvlLbl val="0"/>
      </c:catAx>
      <c:valAx>
        <c:axId val="7370751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solidFill>
                        <a:schemeClr val="accent1"/>
                      </a:solidFill>
                    </a:ln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Total_Sales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solidFill>
                      <a:schemeClr val="accent1"/>
                    </a:solidFill>
                  </a:ln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3707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glow rad="139700">
        <a:schemeClr val="accent3">
          <a:satMod val="175000"/>
          <a:alpha val="40000"/>
        </a:schemeClr>
      </a:glow>
    </a:effectLst>
  </c:spPr>
  <c:txPr>
    <a:bodyPr/>
    <a:lstStyle/>
    <a:p>
      <a:pPr>
        <a:defRPr>
          <a:ln>
            <a:solidFill>
              <a:schemeClr val="accent1"/>
            </a:solidFill>
          </a:ln>
          <a:solidFill>
            <a:schemeClr val="dk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883920</xdr:colOff>
      <xdr:row>15</xdr:row>
      <xdr:rowOff>175260</xdr:rowOff>
    </xdr:from>
    <xdr:to>
      <xdr:col>17</xdr:col>
      <xdr:colOff>30480</xdr:colOff>
      <xdr:row>32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59AD65-7404-B656-EAEA-025D8F52F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822960</xdr:colOff>
      <xdr:row>9</xdr:row>
      <xdr:rowOff>22860</xdr:rowOff>
    </xdr:from>
    <xdr:to>
      <xdr:col>37</xdr:col>
      <xdr:colOff>487680</xdr:colOff>
      <xdr:row>24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E5F004-C7F3-7C4B-F47A-551B7C975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205740</xdr:colOff>
      <xdr:row>9</xdr:row>
      <xdr:rowOff>49530</xdr:rowOff>
    </xdr:from>
    <xdr:to>
      <xdr:col>32</xdr:col>
      <xdr:colOff>53340</xdr:colOff>
      <xdr:row>24</xdr:row>
      <xdr:rowOff>49530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1C9147-8D8B-CA83-D782-8B706DF05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I" refreshedDate="46040.516222685183" createdVersion="8" refreshedVersion="8" minRefreshableVersion="3" recordCount="7" xr:uid="{15AB663B-1E7D-47F0-953F-BEBE64F53428}">
  <cacheSource type="worksheet">
    <worksheetSource ref="K1:L8" sheet="Sheet1"/>
  </cacheSource>
  <cacheFields count="2">
    <cacheField name="Product" numFmtId="0">
      <sharedItems count="7">
        <s v="Keyboard"/>
        <s v="Laptop"/>
        <s v="Tablet"/>
        <s v="Mouse"/>
        <s v="Mobile"/>
        <s v="Smartwatch"/>
        <s v="Headphones"/>
      </sharedItems>
    </cacheField>
    <cacheField name="Total_Sales" numFmtId="0">
      <sharedItems containsSemiMixedTypes="0" containsString="0" containsNumber="1" containsInteger="1" minValue="116044818" maxValue="1450997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I" refreshedDate="46040.657676967596" createdVersion="8" refreshedVersion="8" minRefreshableVersion="3" recordCount="3000" xr:uid="{CA62E5B0-C286-46BB-8912-55FFDA5F8505}">
  <cacheSource type="worksheet">
    <worksheetSource ref="S1:S3001" sheet="Sheet1"/>
  </cacheSource>
  <cacheFields count="2">
    <cacheField name="Region" numFmtId="0">
      <sharedItems count="4">
        <s v="North"/>
        <s v="West"/>
        <s v="South"/>
        <s v="East"/>
      </sharedItems>
    </cacheField>
    <cacheField name="Revenue" numFmtId="0">
      <sharedItems containsSemiMixedTypes="0" containsString="0" containsNumber="1" containsInteger="1" minValue="1397" maxValue="119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I" refreshedDate="46040.694701273147" createdVersion="8" refreshedVersion="8" minRefreshableVersion="3" recordCount="3000" xr:uid="{62EE6B3C-2BFD-49CC-8FC6-F3384FC8AF6A}">
  <cacheSource type="worksheet">
    <worksheetSource ref="E1:F3001" sheet="Sheet1"/>
  </cacheSource>
  <cacheFields count="2">
    <cacheField name="Salesperson" numFmtId="0">
      <sharedItems count="6">
        <s v="Rani"/>
        <s v="Priya"/>
        <s v="Rahul"/>
        <s v="Amit"/>
        <s v="Suman"/>
        <s v="Anita"/>
      </sharedItems>
    </cacheField>
    <cacheField name="Units_Sold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I" refreshedDate="46040.709470138892" createdVersion="8" refreshedVersion="8" minRefreshableVersion="3" recordCount="3001" xr:uid="{40BFE521-81D6-4502-85AB-CCFE144F2397}">
  <cacheSource type="worksheet">
    <worksheetSource ref="A1:I1048576" sheet="Sheet1"/>
  </cacheSource>
  <cacheFields count="12">
    <cacheField name="Order_ID" numFmtId="0">
      <sharedItems containsString="0" containsBlank="1" containsNumber="1" containsInteger="1" minValue="10001" maxValue="13000"/>
    </cacheField>
    <cacheField name="Order_Date" numFmtId="0">
      <sharedItems containsNonDate="0" containsDate="1" containsString="0" containsBlank="1" minDate="2023-01-01T00:00:00" maxDate="2024-01-02T00:00:00" count="367">
        <d v="2023-08-02T00:00:00"/>
        <d v="2023-08-03T00:00:00"/>
        <d v="2023-08-16T00:00:00"/>
        <d v="2023-10-13T00:00:00"/>
        <d v="2023-03-14T00:00:00"/>
        <d v="2023-04-22T00:00:00"/>
        <d v="2023-01-09T00:00:00"/>
        <d v="2023-02-04T00:00:00"/>
        <d v="2023-03-01T00:00:00"/>
        <d v="2023-01-28T00:00:00"/>
        <d v="2023-09-19T00:00:00"/>
        <d v="2023-06-14T00:00:00"/>
        <d v="2023-11-01T00:00:00"/>
        <d v="2023-04-25T00:00:00"/>
        <d v="2023-02-21T00:00:00"/>
        <d v="2023-08-09T00:00:00"/>
        <d v="2023-05-07T00:00:00"/>
        <d v="2023-06-12T00:00:00"/>
        <d v="2023-07-01T00:00:00"/>
        <d v="2023-03-28T00:00:00"/>
        <d v="2023-10-05T00:00:00"/>
        <d v="2023-07-18T00:00:00"/>
        <d v="2023-07-14T00:00:00"/>
        <d v="2023-03-24T00:00:00"/>
        <d v="2023-07-04T00:00:00"/>
        <d v="2023-02-19T00:00:00"/>
        <d v="2023-12-21T00:00:00"/>
        <d v="2023-05-09T00:00:00"/>
        <d v="2023-01-02T00:00:00"/>
        <d v="2023-01-25T00:00:00"/>
        <d v="2023-05-02T00:00:00"/>
        <d v="2023-06-19T00:00:00"/>
        <d v="2023-08-21T00:00:00"/>
        <d v="2023-04-19T00:00:00"/>
        <d v="2023-12-12T00:00:00"/>
        <d v="2023-05-15T00:00:00"/>
        <d v="2023-09-21T00:00:00"/>
        <d v="2023-11-07T00:00:00"/>
        <d v="2023-04-12T00:00:00"/>
        <d v="2023-10-30T00:00:00"/>
        <d v="2023-04-11T00:00:00"/>
        <d v="2023-11-04T00:00:00"/>
        <d v="2023-10-23T00:00:00"/>
        <d v="2023-09-17T00:00:00"/>
        <d v="2023-06-21T00:00:00"/>
        <d v="2023-02-01T00:00:00"/>
        <d v="2023-06-30T00:00:00"/>
        <d v="2023-01-05T00:00:00"/>
        <d v="2023-07-10T00:00:00"/>
        <d v="2023-04-17T00:00:00"/>
        <d v="2023-10-09T00:00:00"/>
        <d v="2023-05-14T00:00:00"/>
        <d v="2023-08-15T00:00:00"/>
        <d v="2023-11-14T00:00:00"/>
        <d v="2023-10-03T00:00:00"/>
        <d v="2023-06-11T00:00:00"/>
        <d v="2023-06-17T00:00:00"/>
        <d v="2023-07-07T00:00:00"/>
        <d v="2023-10-28T00:00:00"/>
        <d v="2023-03-29T00:00:00"/>
        <d v="2023-10-06T00:00:00"/>
        <d v="2023-04-24T00:00:00"/>
        <d v="2023-06-08T00:00:00"/>
        <d v="2023-05-19T00:00:00"/>
        <d v="2023-12-28T00:00:00"/>
        <d v="2023-02-18T00:00:00"/>
        <d v="2023-09-14T00:00:00"/>
        <d v="2023-12-06T00:00:00"/>
        <d v="2023-11-29T00:00:00"/>
        <d v="2023-09-10T00:00:00"/>
        <d v="2023-04-29T00:00:00"/>
        <d v="2023-12-14T00:00:00"/>
        <d v="2023-11-23T00:00:00"/>
        <d v="2023-11-26T00:00:00"/>
        <d v="2023-09-08T00:00:00"/>
        <d v="2023-07-13T00:00:00"/>
        <d v="2023-01-06T00:00:00"/>
        <d v="2023-05-13T00:00:00"/>
        <d v="2023-04-09T00:00:00"/>
        <d v="2023-01-19T00:00:00"/>
        <d v="2023-09-24T00:00:00"/>
        <d v="2023-05-25T00:00:00"/>
        <d v="2023-03-22T00:00:00"/>
        <d v="2023-01-13T00:00:00"/>
        <d v="2023-06-03T00:00:00"/>
        <d v="2023-11-17T00:00:00"/>
        <d v="2023-04-21T00:00:00"/>
        <d v="2023-10-27T00:00:00"/>
        <d v="2023-08-23T00:00:00"/>
        <d v="2023-06-29T00:00:00"/>
        <d v="2023-08-27T00:00:00"/>
        <d v="2023-07-31T00:00:00"/>
        <d v="2023-02-23T00:00:00"/>
        <d v="2023-11-08T00:00:00"/>
        <d v="2023-10-04T00:00:00"/>
        <d v="2023-01-17T00:00:00"/>
        <d v="2023-06-28T00:00:00"/>
        <d v="2023-09-03T00:00:00"/>
        <d v="2023-07-12T00:00:00"/>
        <d v="2023-12-17T00:00:00"/>
        <d v="2023-11-05T00:00:00"/>
        <d v="2023-08-04T00:00:00"/>
        <d v="2023-06-23T00:00:00"/>
        <d v="2023-12-02T00:00:00"/>
        <d v="2023-01-16T00:00:00"/>
        <d v="2023-02-27T00:00:00"/>
        <d v="2023-10-02T00:00:00"/>
        <d v="2023-02-24T00:00:00"/>
        <d v="2023-02-20T00:00:00"/>
        <d v="2023-11-10T00:00:00"/>
        <d v="2023-09-30T00:00:00"/>
        <d v="2023-05-12T00:00:00"/>
        <d v="2023-07-05T00:00:00"/>
        <d v="2023-04-02T00:00:00"/>
        <d v="2023-03-20T00:00:00"/>
        <d v="2023-03-16T00:00:00"/>
        <d v="2023-04-28T00:00:00"/>
        <d v="2023-01-07T00:00:00"/>
        <d v="2023-04-18T00:00:00"/>
        <d v="2023-08-31T00:00:00"/>
        <d v="2023-10-15T00:00:00"/>
        <d v="2023-08-06T00:00:00"/>
        <d v="2023-04-13T00:00:00"/>
        <d v="2023-09-23T00:00:00"/>
        <d v="2023-08-05T00:00:00"/>
        <d v="2023-10-26T00:00:00"/>
        <d v="2023-10-12T00:00:00"/>
        <d v="2023-01-27T00:00:00"/>
        <d v="2023-12-01T00:00:00"/>
        <d v="2023-06-25T00:00:00"/>
        <d v="2023-12-10T00:00:00"/>
        <d v="2023-09-01T00:00:00"/>
        <d v="2023-07-16T00:00:00"/>
        <d v="2023-05-28T00:00:00"/>
        <d v="2023-02-07T00:00:00"/>
        <d v="2023-04-05T00:00:00"/>
        <d v="2023-09-29T00:00:00"/>
        <d v="2023-01-30T00:00:00"/>
        <d v="2023-10-29T00:00:00"/>
        <d v="2023-03-02T00:00:00"/>
        <d v="2023-12-11T00:00:00"/>
        <d v="2023-10-24T00:00:00"/>
        <d v="2023-11-16T00:00:00"/>
        <d v="2023-02-03T00:00:00"/>
        <d v="2023-03-08T00:00:00"/>
        <d v="2023-12-04T00:00:00"/>
        <d v="2023-11-06T00:00:00"/>
        <d v="2023-12-09T00:00:00"/>
        <d v="2023-08-13T00:00:00"/>
        <d v="2023-01-08T00:00:00"/>
        <d v="2023-09-05T00:00:00"/>
        <d v="2023-03-18T00:00:00"/>
        <d v="2023-03-15T00:00:00"/>
        <d v="2023-11-18T00:00:00"/>
        <d v="2023-07-30T00:00:00"/>
        <d v="2023-05-30T00:00:00"/>
        <d v="2023-11-11T00:00:00"/>
        <d v="2023-01-22T00:00:00"/>
        <d v="2023-02-08T00:00:00"/>
        <d v="2023-01-23T00:00:00"/>
        <d v="2023-04-30T00:00:00"/>
        <d v="2023-04-03T00:00:00"/>
        <d v="2023-05-04T00:00:00"/>
        <d v="2023-01-03T00:00:00"/>
        <d v="2023-11-28T00:00:00"/>
        <d v="2023-11-12T00:00:00"/>
        <d v="2023-02-09T00:00:00"/>
        <d v="2023-12-26T00:00:00"/>
        <d v="2023-07-21T00:00:00"/>
        <d v="2023-01-10T00:00:00"/>
        <d v="2023-12-15T00:00:00"/>
        <d v="2023-05-21T00:00:00"/>
        <d v="2023-04-20T00:00:00"/>
        <d v="2023-09-27T00:00:00"/>
        <d v="2023-01-24T00:00:00"/>
        <d v="2023-08-19T00:00:00"/>
        <d v="2023-06-01T00:00:00"/>
        <d v="2023-01-14T00:00:00"/>
        <d v="2023-01-26T00:00:00"/>
        <d v="2023-12-24T00:00:00"/>
        <d v="2023-03-13T00:00:00"/>
        <d v="2023-01-12T00:00:00"/>
        <d v="2023-04-26T00:00:00"/>
        <d v="2023-03-11T00:00:00"/>
        <d v="2023-03-07T00:00:00"/>
        <d v="2023-12-18T00:00:00"/>
        <d v="2023-03-06T00:00:00"/>
        <d v="2023-05-26T00:00:00"/>
        <d v="2023-12-16T00:00:00"/>
        <d v="2023-05-11T00:00:00"/>
        <d v="2023-04-27T00:00:00"/>
        <d v="2023-10-07T00:00:00"/>
        <d v="2023-07-02T00:00:00"/>
        <d v="2023-09-26T00:00:00"/>
        <d v="2023-09-06T00:00:00"/>
        <d v="2023-01-15T00:00:00"/>
        <d v="2023-02-28T00:00:00"/>
        <d v="2023-11-20T00:00:00"/>
        <d v="2023-10-14T00:00:00"/>
        <d v="2023-12-19T00:00:00"/>
        <d v="2023-09-12T00:00:00"/>
        <d v="2024-01-01T00:00:00"/>
        <d v="2023-07-08T00:00:00"/>
        <d v="2023-08-18T00:00:00"/>
        <d v="2023-11-19T00:00:00"/>
        <d v="2023-06-15T00:00:00"/>
        <d v="2023-02-06T00:00:00"/>
        <d v="2023-03-12T00:00:00"/>
        <d v="2023-08-29T00:00:00"/>
        <d v="2023-06-07T00:00:00"/>
        <d v="2023-08-01T00:00:00"/>
        <d v="2023-09-11T00:00:00"/>
        <d v="2023-11-03T00:00:00"/>
        <d v="2023-03-10T00:00:00"/>
        <d v="2023-09-09T00:00:00"/>
        <d v="2023-07-23T00:00:00"/>
        <d v="2023-01-04T00:00:00"/>
        <d v="2023-02-17T00:00:00"/>
        <d v="2023-05-03T00:00:00"/>
        <d v="2023-07-15T00:00:00"/>
        <d v="2023-05-31T00:00:00"/>
        <d v="2023-03-25T00:00:00"/>
        <d v="2023-07-25T00:00:00"/>
        <d v="2023-10-20T00:00:00"/>
        <d v="2023-12-08T00:00:00"/>
        <d v="2023-05-16T00:00:00"/>
        <d v="2023-05-18T00:00:00"/>
        <d v="2023-06-27T00:00:00"/>
        <d v="2023-08-17T00:00:00"/>
        <d v="2023-06-16T00:00:00"/>
        <d v="2023-12-13T00:00:00"/>
        <d v="2023-07-11T00:00:00"/>
        <d v="2023-08-28T00:00:00"/>
        <d v="2023-08-22T00:00:00"/>
        <d v="2023-08-20T00:00:00"/>
        <d v="2023-06-06T00:00:00"/>
        <d v="2023-12-29T00:00:00"/>
        <d v="2023-06-04T00:00:00"/>
        <d v="2023-07-28T00:00:00"/>
        <d v="2023-11-13T00:00:00"/>
        <d v="2023-09-02T00:00:00"/>
        <d v="2023-05-17T00:00:00"/>
        <d v="2023-09-16T00:00:00"/>
        <d v="2023-03-30T00:00:00"/>
        <d v="2023-12-23T00:00:00"/>
        <d v="2023-05-20T00:00:00"/>
        <d v="2023-03-27T00:00:00"/>
        <d v="2023-02-11T00:00:00"/>
        <d v="2023-07-03T00:00:00"/>
        <d v="2023-03-09T00:00:00"/>
        <d v="2023-12-07T00:00:00"/>
        <d v="2023-11-15T00:00:00"/>
        <d v="2023-03-19T00:00:00"/>
        <d v="2023-10-22T00:00:00"/>
        <d v="2023-07-27T00:00:00"/>
        <d v="2023-01-01T00:00:00"/>
        <d v="2023-05-10T00:00:00"/>
        <d v="2023-04-15T00:00:00"/>
        <d v="2023-08-25T00:00:00"/>
        <d v="2023-12-25T00:00:00"/>
        <d v="2023-08-11T00:00:00"/>
        <d v="2023-06-05T00:00:00"/>
        <d v="2023-05-23T00:00:00"/>
        <d v="2023-01-20T00:00:00"/>
        <d v="2023-09-20T00:00:00"/>
        <d v="2023-07-24T00:00:00"/>
        <d v="2023-11-22T00:00:00"/>
        <d v="2023-11-21T00:00:00"/>
        <d v="2023-04-14T00:00:00"/>
        <d v="2023-03-26T00:00:00"/>
        <d v="2023-02-02T00:00:00"/>
        <d v="2023-07-17T00:00:00"/>
        <d v="2023-09-25T00:00:00"/>
        <d v="2023-02-16T00:00:00"/>
        <d v="2023-12-20T00:00:00"/>
        <d v="2023-09-15T00:00:00"/>
        <d v="2023-10-11T00:00:00"/>
        <d v="2023-06-02T00:00:00"/>
        <d v="2023-02-22T00:00:00"/>
        <d v="2023-10-01T00:00:00"/>
        <d v="2023-05-29T00:00:00"/>
        <d v="2023-06-22T00:00:00"/>
        <d v="2023-03-04T00:00:00"/>
        <d v="2023-12-03T00:00:00"/>
        <d v="2023-05-22T00:00:00"/>
        <d v="2023-11-27T00:00:00"/>
        <d v="2023-11-25T00:00:00"/>
        <d v="2023-06-24T00:00:00"/>
        <d v="2023-08-10T00:00:00"/>
        <d v="2023-12-30T00:00:00"/>
        <d v="2023-01-21T00:00:00"/>
        <d v="2023-02-13T00:00:00"/>
        <d v="2023-10-10T00:00:00"/>
        <d v="2023-06-10T00:00:00"/>
        <d v="2023-08-26T00:00:00"/>
        <d v="2023-10-16T00:00:00"/>
        <d v="2023-05-06T00:00:00"/>
        <d v="2023-03-17T00:00:00"/>
        <d v="2023-02-26T00:00:00"/>
        <d v="2023-05-01T00:00:00"/>
        <d v="2023-01-11T00:00:00"/>
        <d v="2023-09-18T00:00:00"/>
        <d v="2023-10-25T00:00:00"/>
        <d v="2023-11-09T00:00:00"/>
        <d v="2023-04-08T00:00:00"/>
        <d v="2023-04-16T00:00:00"/>
        <d v="2023-08-08T00:00:00"/>
        <d v="2023-07-26T00:00:00"/>
        <d v="2023-06-13T00:00:00"/>
        <d v="2023-08-30T00:00:00"/>
        <d v="2023-05-05T00:00:00"/>
        <d v="2023-07-09T00:00:00"/>
        <d v="2023-02-05T00:00:00"/>
        <d v="2023-04-10T00:00:00"/>
        <d v="2023-06-20T00:00:00"/>
        <d v="2023-01-31T00:00:00"/>
        <d v="2023-05-27T00:00:00"/>
        <d v="2023-08-07T00:00:00"/>
        <d v="2023-03-31T00:00:00"/>
        <d v="2023-03-05T00:00:00"/>
        <d v="2023-10-19T00:00:00"/>
        <d v="2023-09-22T00:00:00"/>
        <d v="2023-10-17T00:00:00"/>
        <d v="2023-10-08T00:00:00"/>
        <d v="2023-08-24T00:00:00"/>
        <d v="2023-03-23T00:00:00"/>
        <d v="2023-06-18T00:00:00"/>
        <d v="2023-09-28T00:00:00"/>
        <d v="2023-06-26T00:00:00"/>
        <d v="2023-04-01T00:00:00"/>
        <d v="2023-02-12T00:00:00"/>
        <d v="2023-05-08T00:00:00"/>
        <d v="2023-09-13T00:00:00"/>
        <d v="2023-09-07T00:00:00"/>
        <d v="2023-12-22T00:00:00"/>
        <d v="2023-02-10T00:00:00"/>
        <d v="2023-07-19T00:00:00"/>
        <d v="2023-03-21T00:00:00"/>
        <d v="2023-07-22T00:00:00"/>
        <d v="2023-02-25T00:00:00"/>
        <d v="2023-10-18T00:00:00"/>
        <d v="2023-12-27T00:00:00"/>
        <d v="2023-01-18T00:00:00"/>
        <d v="2023-07-29T00:00:00"/>
        <d v="2023-02-14T00:00:00"/>
        <d v="2023-01-29T00:00:00"/>
        <d v="2023-10-21T00:00:00"/>
        <d v="2023-11-24T00:00:00"/>
        <d v="2023-05-24T00:00:00"/>
        <d v="2023-11-30T00:00:00"/>
        <d v="2023-08-12T00:00:00"/>
        <d v="2023-07-06T00:00:00"/>
        <d v="2023-04-06T00:00:00"/>
        <d v="2023-06-09T00:00:00"/>
        <d v="2023-03-03T00:00:00"/>
        <d v="2023-11-02T00:00:00"/>
        <d v="2023-04-23T00:00:00"/>
        <d v="2023-12-31T00:00:00"/>
        <d v="2023-12-05T00:00:00"/>
        <d v="2023-08-14T00:00:00"/>
        <d v="2023-07-20T00:00:00"/>
        <d v="2023-09-04T00:00:00"/>
        <d v="2023-04-07T00:00:00"/>
        <d v="2023-10-31T00:00:00"/>
        <d v="2023-04-04T00:00:00"/>
        <d v="2023-02-15T00:00:00"/>
        <m/>
      </sharedItems>
      <fieldGroup par="11"/>
    </cacheField>
    <cacheField name="Product" numFmtId="0">
      <sharedItems containsBlank="1" count="8">
        <s v="Keyboard"/>
        <s v="Laptop"/>
        <s v="Tablet"/>
        <s v="Mouse"/>
        <s v="Mobile"/>
        <s v="Smartwatch"/>
        <s v="Headphones"/>
        <m/>
      </sharedItems>
    </cacheField>
    <cacheField name="Region" numFmtId="0">
      <sharedItems containsBlank="1"/>
    </cacheField>
    <cacheField name="Salesperson" numFmtId="0">
      <sharedItems containsBlank="1"/>
    </cacheField>
    <cacheField name="Units_Sold" numFmtId="0">
      <sharedItems containsString="0" containsBlank="1" containsNumber="1" containsInteger="1" minValue="1" maxValue="20"/>
    </cacheField>
    <cacheField name="Unit_Price" numFmtId="0">
      <sharedItems containsString="0" containsBlank="1" containsNumber="1" containsInteger="1" minValue="501" maxValue="59959"/>
    </cacheField>
    <cacheField name="Total_Sales" numFmtId="0">
      <sharedItems containsString="0" containsBlank="1" containsNumber="1" containsInteger="1" minValue="1397" maxValue="1197000"/>
    </cacheField>
    <cacheField name="Revenue" numFmtId="0">
      <sharedItems containsString="0" containsBlank="1" containsNumber="1" containsInteger="1" minValue="1397" maxValue="1197000"/>
    </cacheField>
    <cacheField name="Months (Order_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Order_Date)" numFmtId="0" databaseField="0">
      <fieldGroup base="1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Order_Date)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I" refreshedDate="46040.741086111113" createdVersion="8" refreshedVersion="8" minRefreshableVersion="3" recordCount="3000" xr:uid="{F0F0F163-11F7-4260-B634-70DCB7B01493}">
  <cacheSource type="worksheet">
    <worksheetSource ref="A1:I3001" sheet="Sheet1"/>
  </cacheSource>
  <cacheFields count="9">
    <cacheField name="Order_ID" numFmtId="0">
      <sharedItems containsSemiMixedTypes="0" containsString="0" containsNumber="1" containsInteger="1" minValue="10001" maxValue="13000"/>
    </cacheField>
    <cacheField name="Order_Date" numFmtId="164">
      <sharedItems containsSemiMixedTypes="0" containsNonDate="0" containsDate="1" containsString="0" minDate="2023-01-01T00:00:00" maxDate="2024-01-02T00:00:00"/>
    </cacheField>
    <cacheField name="Product" numFmtId="0">
      <sharedItems count="7">
        <s v="Keyboard"/>
        <s v="Laptop"/>
        <s v="Tablet"/>
        <s v="Mouse"/>
        <s v="Mobile"/>
        <s v="Smartwatch"/>
        <s v="Headphones"/>
      </sharedItems>
    </cacheField>
    <cacheField name="Region" numFmtId="0">
      <sharedItems count="4">
        <s v="North"/>
        <s v="West"/>
        <s v="South"/>
        <s v="East"/>
      </sharedItems>
    </cacheField>
    <cacheField name="Salesperson" numFmtId="0">
      <sharedItems count="6">
        <s v="Rani"/>
        <s v="Priya"/>
        <s v="Rahul"/>
        <s v="Amit"/>
        <s v="Suman"/>
        <s v="Anita"/>
      </sharedItems>
    </cacheField>
    <cacheField name="Units_Sold" numFmtId="0">
      <sharedItems containsSemiMixedTypes="0" containsString="0" containsNumber="1" containsInteger="1" minValue="1" maxValue="20"/>
    </cacheField>
    <cacheField name="Unit_Price" numFmtId="0">
      <sharedItems containsSemiMixedTypes="0" containsString="0" containsNumber="1" containsInteger="1" minValue="501" maxValue="59959"/>
    </cacheField>
    <cacheField name="Total_Sales" numFmtId="0">
      <sharedItems containsSemiMixedTypes="0" containsString="0" containsNumber="1" containsInteger="1" minValue="1397" maxValue="1197000"/>
    </cacheField>
    <cacheField name="Revenue" numFmtId="0">
      <sharedItems containsSemiMixedTypes="0" containsString="0" containsNumber="1" containsInteger="1" minValue="1397" maxValue="119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44642750"/>
  </r>
  <r>
    <x v="1"/>
    <n v="144342862"/>
  </r>
  <r>
    <x v="2"/>
    <n v="131945752"/>
  </r>
  <r>
    <x v="3"/>
    <n v="145099766"/>
  </r>
  <r>
    <x v="4"/>
    <n v="143906689"/>
  </r>
  <r>
    <x v="5"/>
    <n v="129121515"/>
  </r>
  <r>
    <x v="6"/>
    <n v="1160448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n v="56130"/>
  </r>
  <r>
    <x v="1"/>
    <n v="408811"/>
  </r>
  <r>
    <x v="1"/>
    <n v="271388"/>
  </r>
  <r>
    <x v="1"/>
    <n v="7998"/>
  </r>
  <r>
    <x v="2"/>
    <n v="366405"/>
  </r>
  <r>
    <x v="0"/>
    <n v="531108"/>
  </r>
  <r>
    <x v="3"/>
    <n v="301950"/>
  </r>
  <r>
    <x v="1"/>
    <n v="801482"/>
  </r>
  <r>
    <x v="3"/>
    <n v="32413"/>
  </r>
  <r>
    <x v="0"/>
    <n v="738705"/>
  </r>
  <r>
    <x v="3"/>
    <n v="14097"/>
  </r>
  <r>
    <x v="3"/>
    <n v="631080"/>
  </r>
  <r>
    <x v="2"/>
    <n v="475848"/>
  </r>
  <r>
    <x v="0"/>
    <n v="315204"/>
  </r>
  <r>
    <x v="0"/>
    <n v="263345"/>
  </r>
  <r>
    <x v="3"/>
    <n v="29501"/>
  </r>
  <r>
    <x v="1"/>
    <n v="3177"/>
  </r>
  <r>
    <x v="3"/>
    <n v="469224"/>
  </r>
  <r>
    <x v="0"/>
    <n v="18690"/>
  </r>
  <r>
    <x v="0"/>
    <n v="88438"/>
  </r>
  <r>
    <x v="3"/>
    <n v="128338"/>
  </r>
  <r>
    <x v="1"/>
    <n v="3469"/>
  </r>
  <r>
    <x v="2"/>
    <n v="31182"/>
  </r>
  <r>
    <x v="3"/>
    <n v="54444"/>
  </r>
  <r>
    <x v="2"/>
    <n v="14880"/>
  </r>
  <r>
    <x v="1"/>
    <n v="40110"/>
  </r>
  <r>
    <x v="0"/>
    <n v="181313"/>
  </r>
  <r>
    <x v="0"/>
    <n v="833289"/>
  </r>
  <r>
    <x v="0"/>
    <n v="118826"/>
  </r>
  <r>
    <x v="1"/>
    <n v="855969"/>
  </r>
  <r>
    <x v="3"/>
    <n v="189565"/>
  </r>
  <r>
    <x v="3"/>
    <n v="211672"/>
  </r>
  <r>
    <x v="0"/>
    <n v="736047"/>
  </r>
  <r>
    <x v="3"/>
    <n v="256388"/>
  </r>
  <r>
    <x v="1"/>
    <n v="34892"/>
  </r>
  <r>
    <x v="1"/>
    <n v="275209"/>
  </r>
  <r>
    <x v="3"/>
    <n v="574725"/>
  </r>
  <r>
    <x v="1"/>
    <n v="520704"/>
  </r>
  <r>
    <x v="1"/>
    <n v="414567"/>
  </r>
  <r>
    <x v="1"/>
    <n v="67896"/>
  </r>
  <r>
    <x v="3"/>
    <n v="821556"/>
  </r>
  <r>
    <x v="3"/>
    <n v="797069"/>
  </r>
  <r>
    <x v="1"/>
    <n v="7554"/>
  </r>
  <r>
    <x v="0"/>
    <n v="245795"/>
  </r>
  <r>
    <x v="1"/>
    <n v="387268"/>
  </r>
  <r>
    <x v="2"/>
    <n v="410328"/>
  </r>
  <r>
    <x v="0"/>
    <n v="137596"/>
  </r>
  <r>
    <x v="0"/>
    <n v="38681"/>
  </r>
  <r>
    <x v="2"/>
    <n v="165537"/>
  </r>
  <r>
    <x v="3"/>
    <n v="923640"/>
  </r>
  <r>
    <x v="1"/>
    <n v="168810"/>
  </r>
  <r>
    <x v="0"/>
    <n v="93380"/>
  </r>
  <r>
    <x v="1"/>
    <n v="535310"/>
  </r>
  <r>
    <x v="1"/>
    <n v="193850"/>
  </r>
  <r>
    <x v="2"/>
    <n v="677520"/>
  </r>
  <r>
    <x v="2"/>
    <n v="7978"/>
  </r>
  <r>
    <x v="3"/>
    <n v="58660"/>
  </r>
  <r>
    <x v="2"/>
    <n v="338168"/>
  </r>
  <r>
    <x v="3"/>
    <n v="75938"/>
  </r>
  <r>
    <x v="2"/>
    <n v="46248"/>
  </r>
  <r>
    <x v="2"/>
    <n v="155664"/>
  </r>
  <r>
    <x v="2"/>
    <n v="275383"/>
  </r>
  <r>
    <x v="0"/>
    <n v="161048"/>
  </r>
  <r>
    <x v="0"/>
    <n v="754152"/>
  </r>
  <r>
    <x v="1"/>
    <n v="228437"/>
  </r>
  <r>
    <x v="1"/>
    <n v="84328"/>
  </r>
  <r>
    <x v="0"/>
    <n v="929888"/>
  </r>
  <r>
    <x v="2"/>
    <n v="435604"/>
  </r>
  <r>
    <x v="1"/>
    <n v="454861"/>
  </r>
  <r>
    <x v="1"/>
    <n v="246390"/>
  </r>
  <r>
    <x v="3"/>
    <n v="969600"/>
  </r>
  <r>
    <x v="0"/>
    <n v="474064"/>
  </r>
  <r>
    <x v="1"/>
    <n v="37452"/>
  </r>
  <r>
    <x v="0"/>
    <n v="896002"/>
  </r>
  <r>
    <x v="2"/>
    <n v="168258"/>
  </r>
  <r>
    <x v="0"/>
    <n v="219972"/>
  </r>
  <r>
    <x v="0"/>
    <n v="155596"/>
  </r>
  <r>
    <x v="3"/>
    <n v="603216"/>
  </r>
  <r>
    <x v="2"/>
    <n v="402138"/>
  </r>
  <r>
    <x v="2"/>
    <n v="128244"/>
  </r>
  <r>
    <x v="3"/>
    <n v="226758"/>
  </r>
  <r>
    <x v="1"/>
    <n v="88632"/>
  </r>
  <r>
    <x v="1"/>
    <n v="882810"/>
  </r>
  <r>
    <x v="2"/>
    <n v="148528"/>
  </r>
  <r>
    <x v="3"/>
    <n v="14400"/>
  </r>
  <r>
    <x v="1"/>
    <n v="348061"/>
  </r>
  <r>
    <x v="2"/>
    <n v="241080"/>
  </r>
  <r>
    <x v="1"/>
    <n v="122270"/>
  </r>
  <r>
    <x v="3"/>
    <n v="75684"/>
  </r>
  <r>
    <x v="3"/>
    <n v="166686"/>
  </r>
  <r>
    <x v="3"/>
    <n v="905794"/>
  </r>
  <r>
    <x v="2"/>
    <n v="58254"/>
  </r>
  <r>
    <x v="3"/>
    <n v="179696"/>
  </r>
  <r>
    <x v="1"/>
    <n v="223340"/>
  </r>
  <r>
    <x v="1"/>
    <n v="54032"/>
  </r>
  <r>
    <x v="1"/>
    <n v="347333"/>
  </r>
  <r>
    <x v="0"/>
    <n v="10616"/>
  </r>
  <r>
    <x v="1"/>
    <n v="26376"/>
  </r>
  <r>
    <x v="3"/>
    <n v="483065"/>
  </r>
  <r>
    <x v="3"/>
    <n v="158840"/>
  </r>
  <r>
    <x v="0"/>
    <n v="739882"/>
  </r>
  <r>
    <x v="1"/>
    <n v="239552"/>
  </r>
  <r>
    <x v="2"/>
    <n v="101088"/>
  </r>
  <r>
    <x v="3"/>
    <n v="523746"/>
  </r>
  <r>
    <x v="1"/>
    <n v="11018"/>
  </r>
  <r>
    <x v="3"/>
    <n v="5229"/>
  </r>
  <r>
    <x v="1"/>
    <n v="171316"/>
  </r>
  <r>
    <x v="3"/>
    <n v="38744"/>
  </r>
  <r>
    <x v="3"/>
    <n v="67968"/>
  </r>
  <r>
    <x v="0"/>
    <n v="455697"/>
  </r>
  <r>
    <x v="3"/>
    <n v="173520"/>
  </r>
  <r>
    <x v="0"/>
    <n v="220363"/>
  </r>
  <r>
    <x v="1"/>
    <n v="536784"/>
  </r>
  <r>
    <x v="1"/>
    <n v="401112"/>
  </r>
  <r>
    <x v="0"/>
    <n v="315420"/>
  </r>
  <r>
    <x v="3"/>
    <n v="227248"/>
  </r>
  <r>
    <x v="1"/>
    <n v="572726"/>
  </r>
  <r>
    <x v="2"/>
    <n v="765396"/>
  </r>
  <r>
    <x v="1"/>
    <n v="1466"/>
  </r>
  <r>
    <x v="1"/>
    <n v="204472"/>
  </r>
  <r>
    <x v="2"/>
    <n v="1039080"/>
  </r>
  <r>
    <x v="1"/>
    <n v="120379"/>
  </r>
  <r>
    <x v="3"/>
    <n v="41715"/>
  </r>
  <r>
    <x v="1"/>
    <n v="691552"/>
  </r>
  <r>
    <x v="3"/>
    <n v="1119689"/>
  </r>
  <r>
    <x v="3"/>
    <n v="1167760"/>
  </r>
  <r>
    <x v="0"/>
    <n v="490100"/>
  </r>
  <r>
    <x v="3"/>
    <n v="918624"/>
  </r>
  <r>
    <x v="0"/>
    <n v="740142"/>
  </r>
  <r>
    <x v="1"/>
    <n v="400256"/>
  </r>
  <r>
    <x v="3"/>
    <n v="174118"/>
  </r>
  <r>
    <x v="1"/>
    <n v="203724"/>
  </r>
  <r>
    <x v="3"/>
    <n v="600736"/>
  </r>
  <r>
    <x v="2"/>
    <n v="609924"/>
  </r>
  <r>
    <x v="3"/>
    <n v="138366"/>
  </r>
  <r>
    <x v="1"/>
    <n v="747300"/>
  </r>
  <r>
    <x v="2"/>
    <n v="283780"/>
  </r>
  <r>
    <x v="3"/>
    <n v="334872"/>
  </r>
  <r>
    <x v="1"/>
    <n v="41758"/>
  </r>
  <r>
    <x v="0"/>
    <n v="43608"/>
  </r>
  <r>
    <x v="0"/>
    <n v="125631"/>
  </r>
  <r>
    <x v="3"/>
    <n v="92640"/>
  </r>
  <r>
    <x v="2"/>
    <n v="512028"/>
  </r>
  <r>
    <x v="0"/>
    <n v="26730"/>
  </r>
  <r>
    <x v="2"/>
    <n v="312450"/>
  </r>
  <r>
    <x v="2"/>
    <n v="82311"/>
  </r>
  <r>
    <x v="0"/>
    <n v="981740"/>
  </r>
  <r>
    <x v="1"/>
    <n v="1091600"/>
  </r>
  <r>
    <x v="0"/>
    <n v="231686"/>
  </r>
  <r>
    <x v="3"/>
    <n v="307332"/>
  </r>
  <r>
    <x v="1"/>
    <n v="37160"/>
  </r>
  <r>
    <x v="0"/>
    <n v="16144"/>
  </r>
  <r>
    <x v="3"/>
    <n v="115060"/>
  </r>
  <r>
    <x v="2"/>
    <n v="24962"/>
  </r>
  <r>
    <x v="1"/>
    <n v="67722"/>
  </r>
  <r>
    <x v="0"/>
    <n v="35024"/>
  </r>
  <r>
    <x v="1"/>
    <n v="250455"/>
  </r>
  <r>
    <x v="2"/>
    <n v="17623"/>
  </r>
  <r>
    <x v="3"/>
    <n v="631032"/>
  </r>
  <r>
    <x v="3"/>
    <n v="597176"/>
  </r>
  <r>
    <x v="1"/>
    <n v="382606"/>
  </r>
  <r>
    <x v="1"/>
    <n v="748962"/>
  </r>
  <r>
    <x v="2"/>
    <n v="125692"/>
  </r>
  <r>
    <x v="0"/>
    <n v="567756"/>
  </r>
  <r>
    <x v="2"/>
    <n v="162664"/>
  </r>
  <r>
    <x v="0"/>
    <n v="707220"/>
  </r>
  <r>
    <x v="0"/>
    <n v="735476"/>
  </r>
  <r>
    <x v="2"/>
    <n v="86216"/>
  </r>
  <r>
    <x v="3"/>
    <n v="58005"/>
  </r>
  <r>
    <x v="1"/>
    <n v="106038"/>
  </r>
  <r>
    <x v="0"/>
    <n v="193532"/>
  </r>
  <r>
    <x v="1"/>
    <n v="249700"/>
  </r>
  <r>
    <x v="2"/>
    <n v="441948"/>
  </r>
  <r>
    <x v="1"/>
    <n v="172389"/>
  </r>
  <r>
    <x v="2"/>
    <n v="140688"/>
  </r>
  <r>
    <x v="0"/>
    <n v="50080"/>
  </r>
  <r>
    <x v="0"/>
    <n v="738675"/>
  </r>
  <r>
    <x v="0"/>
    <n v="1043119"/>
  </r>
  <r>
    <x v="3"/>
    <n v="167816"/>
  </r>
  <r>
    <x v="0"/>
    <n v="88884"/>
  </r>
  <r>
    <x v="1"/>
    <n v="89875"/>
  </r>
  <r>
    <x v="1"/>
    <n v="585702"/>
  </r>
  <r>
    <x v="2"/>
    <n v="45600"/>
  </r>
  <r>
    <x v="2"/>
    <n v="84772"/>
  </r>
  <r>
    <x v="3"/>
    <n v="437160"/>
  </r>
  <r>
    <x v="2"/>
    <n v="12322"/>
  </r>
  <r>
    <x v="1"/>
    <n v="619680"/>
  </r>
  <r>
    <x v="2"/>
    <n v="912912"/>
  </r>
  <r>
    <x v="0"/>
    <n v="48150"/>
  </r>
  <r>
    <x v="3"/>
    <n v="622079"/>
  </r>
  <r>
    <x v="3"/>
    <n v="635616"/>
  </r>
  <r>
    <x v="2"/>
    <n v="392346"/>
  </r>
  <r>
    <x v="1"/>
    <n v="440628"/>
  </r>
  <r>
    <x v="3"/>
    <n v="934819"/>
  </r>
  <r>
    <x v="2"/>
    <n v="18457"/>
  </r>
  <r>
    <x v="3"/>
    <n v="189774"/>
  </r>
  <r>
    <x v="3"/>
    <n v="203095"/>
  </r>
  <r>
    <x v="0"/>
    <n v="485352"/>
  </r>
  <r>
    <x v="0"/>
    <n v="51976"/>
  </r>
  <r>
    <x v="1"/>
    <n v="149454"/>
  </r>
  <r>
    <x v="1"/>
    <n v="626325"/>
  </r>
  <r>
    <x v="2"/>
    <n v="633870"/>
  </r>
  <r>
    <x v="2"/>
    <n v="96473"/>
  </r>
  <r>
    <x v="0"/>
    <n v="96656"/>
  </r>
  <r>
    <x v="3"/>
    <n v="47142"/>
  </r>
  <r>
    <x v="1"/>
    <n v="526440"/>
  </r>
  <r>
    <x v="1"/>
    <n v="412664"/>
  </r>
  <r>
    <x v="0"/>
    <n v="223610"/>
  </r>
  <r>
    <x v="2"/>
    <n v="276920"/>
  </r>
  <r>
    <x v="0"/>
    <n v="20346"/>
  </r>
  <r>
    <x v="1"/>
    <n v="463680"/>
  </r>
  <r>
    <x v="3"/>
    <n v="767895"/>
  </r>
  <r>
    <x v="3"/>
    <n v="574255"/>
  </r>
  <r>
    <x v="0"/>
    <n v="209776"/>
  </r>
  <r>
    <x v="0"/>
    <n v="402952"/>
  </r>
  <r>
    <x v="0"/>
    <n v="180054"/>
  </r>
  <r>
    <x v="2"/>
    <n v="214840"/>
  </r>
  <r>
    <x v="2"/>
    <n v="208665"/>
  </r>
  <r>
    <x v="1"/>
    <n v="60570"/>
  </r>
  <r>
    <x v="3"/>
    <n v="265743"/>
  </r>
  <r>
    <x v="1"/>
    <n v="330426"/>
  </r>
  <r>
    <x v="2"/>
    <n v="52255"/>
  </r>
  <r>
    <x v="1"/>
    <n v="722684"/>
  </r>
  <r>
    <x v="0"/>
    <n v="52968"/>
  </r>
  <r>
    <x v="1"/>
    <n v="165024"/>
  </r>
  <r>
    <x v="3"/>
    <n v="308484"/>
  </r>
  <r>
    <x v="3"/>
    <n v="837060"/>
  </r>
  <r>
    <x v="3"/>
    <n v="435768"/>
  </r>
  <r>
    <x v="0"/>
    <n v="78336"/>
  </r>
  <r>
    <x v="2"/>
    <n v="451568"/>
  </r>
  <r>
    <x v="1"/>
    <n v="135765"/>
  </r>
  <r>
    <x v="1"/>
    <n v="83956"/>
  </r>
  <r>
    <x v="2"/>
    <n v="606840"/>
  </r>
  <r>
    <x v="2"/>
    <n v="673283"/>
  </r>
  <r>
    <x v="2"/>
    <n v="738036"/>
  </r>
  <r>
    <x v="3"/>
    <n v="318495"/>
  </r>
  <r>
    <x v="0"/>
    <n v="355608"/>
  </r>
  <r>
    <x v="1"/>
    <n v="926730"/>
  </r>
  <r>
    <x v="1"/>
    <n v="142895"/>
  </r>
  <r>
    <x v="2"/>
    <n v="17711"/>
  </r>
  <r>
    <x v="2"/>
    <n v="107224"/>
  </r>
  <r>
    <x v="2"/>
    <n v="224336"/>
  </r>
  <r>
    <x v="2"/>
    <n v="339894"/>
  </r>
  <r>
    <x v="0"/>
    <n v="551976"/>
  </r>
  <r>
    <x v="3"/>
    <n v="109452"/>
  </r>
  <r>
    <x v="1"/>
    <n v="67952"/>
  </r>
  <r>
    <x v="1"/>
    <n v="87771"/>
  </r>
  <r>
    <x v="1"/>
    <n v="82050"/>
  </r>
  <r>
    <x v="0"/>
    <n v="633046"/>
  </r>
  <r>
    <x v="1"/>
    <n v="156090"/>
  </r>
  <r>
    <x v="1"/>
    <n v="6004"/>
  </r>
  <r>
    <x v="2"/>
    <n v="125658"/>
  </r>
  <r>
    <x v="2"/>
    <n v="448344"/>
  </r>
  <r>
    <x v="0"/>
    <n v="315516"/>
  </r>
  <r>
    <x v="0"/>
    <n v="26710"/>
  </r>
  <r>
    <x v="0"/>
    <n v="16728"/>
  </r>
  <r>
    <x v="2"/>
    <n v="222860"/>
  </r>
  <r>
    <x v="2"/>
    <n v="801420"/>
  </r>
  <r>
    <x v="3"/>
    <n v="180160"/>
  </r>
  <r>
    <x v="2"/>
    <n v="120932"/>
  </r>
  <r>
    <x v="0"/>
    <n v="21594"/>
  </r>
  <r>
    <x v="0"/>
    <n v="756832"/>
  </r>
  <r>
    <x v="1"/>
    <n v="83503"/>
  </r>
  <r>
    <x v="3"/>
    <n v="600821"/>
  </r>
  <r>
    <x v="0"/>
    <n v="326520"/>
  </r>
  <r>
    <x v="2"/>
    <n v="9444"/>
  </r>
  <r>
    <x v="2"/>
    <n v="64415"/>
  </r>
  <r>
    <x v="2"/>
    <n v="54624"/>
  </r>
  <r>
    <x v="3"/>
    <n v="272718"/>
  </r>
  <r>
    <x v="3"/>
    <n v="9985"/>
  </r>
  <r>
    <x v="3"/>
    <n v="345105"/>
  </r>
  <r>
    <x v="3"/>
    <n v="485496"/>
  </r>
  <r>
    <x v="0"/>
    <n v="1068720"/>
  </r>
  <r>
    <x v="2"/>
    <n v="755342"/>
  </r>
  <r>
    <x v="0"/>
    <n v="74896"/>
  </r>
  <r>
    <x v="3"/>
    <n v="77142"/>
  </r>
  <r>
    <x v="2"/>
    <n v="278265"/>
  </r>
  <r>
    <x v="2"/>
    <n v="431295"/>
  </r>
  <r>
    <x v="0"/>
    <n v="518346"/>
  </r>
  <r>
    <x v="3"/>
    <n v="9906"/>
  </r>
  <r>
    <x v="3"/>
    <n v="218075"/>
  </r>
  <r>
    <x v="1"/>
    <n v="57700"/>
  </r>
  <r>
    <x v="1"/>
    <n v="756418"/>
  </r>
  <r>
    <x v="3"/>
    <n v="746544"/>
  </r>
  <r>
    <x v="1"/>
    <n v="377172"/>
  </r>
  <r>
    <x v="0"/>
    <n v="234840"/>
  </r>
  <r>
    <x v="0"/>
    <n v="581360"/>
  </r>
  <r>
    <x v="3"/>
    <n v="62337"/>
  </r>
  <r>
    <x v="0"/>
    <n v="345708"/>
  </r>
  <r>
    <x v="2"/>
    <n v="974480"/>
  </r>
  <r>
    <x v="3"/>
    <n v="111735"/>
  </r>
  <r>
    <x v="1"/>
    <n v="37998"/>
  </r>
  <r>
    <x v="0"/>
    <n v="558382"/>
  </r>
  <r>
    <x v="0"/>
    <n v="36890"/>
  </r>
  <r>
    <x v="2"/>
    <n v="478128"/>
  </r>
  <r>
    <x v="2"/>
    <n v="244260"/>
  </r>
  <r>
    <x v="0"/>
    <n v="567787"/>
  </r>
  <r>
    <x v="2"/>
    <n v="32396"/>
  </r>
  <r>
    <x v="0"/>
    <n v="229610"/>
  </r>
  <r>
    <x v="2"/>
    <n v="789420"/>
  </r>
  <r>
    <x v="2"/>
    <n v="186132"/>
  </r>
  <r>
    <x v="3"/>
    <n v="333333"/>
  </r>
  <r>
    <x v="1"/>
    <n v="48770"/>
  </r>
  <r>
    <x v="0"/>
    <n v="240486"/>
  </r>
  <r>
    <x v="0"/>
    <n v="16240"/>
  </r>
  <r>
    <x v="1"/>
    <n v="23465"/>
  </r>
  <r>
    <x v="3"/>
    <n v="288900"/>
  </r>
  <r>
    <x v="0"/>
    <n v="258080"/>
  </r>
  <r>
    <x v="1"/>
    <n v="421104"/>
  </r>
  <r>
    <x v="1"/>
    <n v="269490"/>
  </r>
  <r>
    <x v="2"/>
    <n v="947124"/>
  </r>
  <r>
    <x v="3"/>
    <n v="47698"/>
  </r>
  <r>
    <x v="2"/>
    <n v="271845"/>
  </r>
  <r>
    <x v="2"/>
    <n v="154484"/>
  </r>
  <r>
    <x v="2"/>
    <n v="334306"/>
  </r>
  <r>
    <x v="0"/>
    <n v="79884"/>
  </r>
  <r>
    <x v="3"/>
    <n v="788228"/>
  </r>
  <r>
    <x v="2"/>
    <n v="88032"/>
  </r>
  <r>
    <x v="0"/>
    <n v="52306"/>
  </r>
  <r>
    <x v="2"/>
    <n v="344546"/>
  </r>
  <r>
    <x v="3"/>
    <n v="623232"/>
  </r>
  <r>
    <x v="2"/>
    <n v="37841"/>
  </r>
  <r>
    <x v="2"/>
    <n v="453662"/>
  </r>
  <r>
    <x v="0"/>
    <n v="125720"/>
  </r>
  <r>
    <x v="2"/>
    <n v="526041"/>
  </r>
  <r>
    <x v="1"/>
    <n v="111438"/>
  </r>
  <r>
    <x v="1"/>
    <n v="67224"/>
  </r>
  <r>
    <x v="2"/>
    <n v="125846"/>
  </r>
  <r>
    <x v="0"/>
    <n v="170982"/>
  </r>
  <r>
    <x v="0"/>
    <n v="53544"/>
  </r>
  <r>
    <x v="1"/>
    <n v="821850"/>
  </r>
  <r>
    <x v="0"/>
    <n v="120448"/>
  </r>
  <r>
    <x v="3"/>
    <n v="580678"/>
  </r>
  <r>
    <x v="0"/>
    <n v="636174"/>
  </r>
  <r>
    <x v="1"/>
    <n v="139308"/>
  </r>
  <r>
    <x v="2"/>
    <n v="530917"/>
  </r>
  <r>
    <x v="1"/>
    <n v="798038"/>
  </r>
  <r>
    <x v="2"/>
    <n v="683060"/>
  </r>
  <r>
    <x v="2"/>
    <n v="322635"/>
  </r>
  <r>
    <x v="2"/>
    <n v="55046"/>
  </r>
  <r>
    <x v="3"/>
    <n v="190044"/>
  </r>
  <r>
    <x v="1"/>
    <n v="24480"/>
  </r>
  <r>
    <x v="1"/>
    <n v="44174"/>
  </r>
  <r>
    <x v="0"/>
    <n v="413148"/>
  </r>
  <r>
    <x v="1"/>
    <n v="416020"/>
  </r>
  <r>
    <x v="2"/>
    <n v="114018"/>
  </r>
  <r>
    <x v="2"/>
    <n v="415605"/>
  </r>
  <r>
    <x v="3"/>
    <n v="90240"/>
  </r>
  <r>
    <x v="1"/>
    <n v="391027"/>
  </r>
  <r>
    <x v="3"/>
    <n v="289425"/>
  </r>
  <r>
    <x v="3"/>
    <n v="599248"/>
  </r>
  <r>
    <x v="3"/>
    <n v="345142"/>
  </r>
  <r>
    <x v="0"/>
    <n v="62712"/>
  </r>
  <r>
    <x v="2"/>
    <n v="627011"/>
  </r>
  <r>
    <x v="1"/>
    <n v="42756"/>
  </r>
  <r>
    <x v="3"/>
    <n v="410724"/>
  </r>
  <r>
    <x v="1"/>
    <n v="66384"/>
  </r>
  <r>
    <x v="2"/>
    <n v="527510"/>
  </r>
  <r>
    <x v="1"/>
    <n v="43648"/>
  </r>
  <r>
    <x v="3"/>
    <n v="143982"/>
  </r>
  <r>
    <x v="3"/>
    <n v="541854"/>
  </r>
  <r>
    <x v="0"/>
    <n v="177807"/>
  </r>
  <r>
    <x v="1"/>
    <n v="1015200"/>
  </r>
  <r>
    <x v="0"/>
    <n v="286374"/>
  </r>
  <r>
    <x v="2"/>
    <n v="47781"/>
  </r>
  <r>
    <x v="1"/>
    <n v="34734"/>
  </r>
  <r>
    <x v="3"/>
    <n v="152283"/>
  </r>
  <r>
    <x v="0"/>
    <n v="66816"/>
  </r>
  <r>
    <x v="2"/>
    <n v="274320"/>
  </r>
  <r>
    <x v="1"/>
    <n v="160956"/>
  </r>
  <r>
    <x v="1"/>
    <n v="112176"/>
  </r>
  <r>
    <x v="2"/>
    <n v="590700"/>
  </r>
  <r>
    <x v="1"/>
    <n v="189584"/>
  </r>
  <r>
    <x v="0"/>
    <n v="62504"/>
  </r>
  <r>
    <x v="2"/>
    <n v="520000"/>
  </r>
  <r>
    <x v="0"/>
    <n v="161824"/>
  </r>
  <r>
    <x v="2"/>
    <n v="90860"/>
  </r>
  <r>
    <x v="3"/>
    <n v="643247"/>
  </r>
  <r>
    <x v="3"/>
    <n v="266169"/>
  </r>
  <r>
    <x v="0"/>
    <n v="238596"/>
  </r>
  <r>
    <x v="2"/>
    <n v="6000"/>
  </r>
  <r>
    <x v="2"/>
    <n v="124065"/>
  </r>
  <r>
    <x v="1"/>
    <n v="258565"/>
  </r>
  <r>
    <x v="0"/>
    <n v="156912"/>
  </r>
  <r>
    <x v="3"/>
    <n v="655642"/>
  </r>
  <r>
    <x v="0"/>
    <n v="41100"/>
  </r>
  <r>
    <x v="0"/>
    <n v="46598"/>
  </r>
  <r>
    <x v="2"/>
    <n v="10216"/>
  </r>
  <r>
    <x v="0"/>
    <n v="151215"/>
  </r>
  <r>
    <x v="2"/>
    <n v="231506"/>
  </r>
  <r>
    <x v="1"/>
    <n v="239740"/>
  </r>
  <r>
    <x v="3"/>
    <n v="84375"/>
  </r>
  <r>
    <x v="2"/>
    <n v="304152"/>
  </r>
  <r>
    <x v="3"/>
    <n v="539676"/>
  </r>
  <r>
    <x v="2"/>
    <n v="103698"/>
  </r>
  <r>
    <x v="3"/>
    <n v="131464"/>
  </r>
  <r>
    <x v="1"/>
    <n v="417107"/>
  </r>
  <r>
    <x v="0"/>
    <n v="272308"/>
  </r>
  <r>
    <x v="2"/>
    <n v="293742"/>
  </r>
  <r>
    <x v="2"/>
    <n v="81552"/>
  </r>
  <r>
    <x v="0"/>
    <n v="59232"/>
  </r>
  <r>
    <x v="3"/>
    <n v="95544"/>
  </r>
  <r>
    <x v="3"/>
    <n v="545842"/>
  </r>
  <r>
    <x v="1"/>
    <n v="106096"/>
  </r>
  <r>
    <x v="1"/>
    <n v="252434"/>
  </r>
  <r>
    <x v="2"/>
    <n v="104930"/>
  </r>
  <r>
    <x v="0"/>
    <n v="76710"/>
  </r>
  <r>
    <x v="2"/>
    <n v="208264"/>
  </r>
  <r>
    <x v="3"/>
    <n v="717528"/>
  </r>
  <r>
    <x v="2"/>
    <n v="24222"/>
  </r>
  <r>
    <x v="3"/>
    <n v="216608"/>
  </r>
  <r>
    <x v="1"/>
    <n v="329850"/>
  </r>
  <r>
    <x v="2"/>
    <n v="62167"/>
  </r>
  <r>
    <x v="1"/>
    <n v="118594"/>
  </r>
  <r>
    <x v="0"/>
    <n v="509740"/>
  </r>
  <r>
    <x v="1"/>
    <n v="184864"/>
  </r>
  <r>
    <x v="2"/>
    <n v="766972"/>
  </r>
  <r>
    <x v="3"/>
    <n v="233844"/>
  </r>
  <r>
    <x v="2"/>
    <n v="229140"/>
  </r>
  <r>
    <x v="3"/>
    <n v="19810"/>
  </r>
  <r>
    <x v="0"/>
    <n v="171988"/>
  </r>
  <r>
    <x v="3"/>
    <n v="813212"/>
  </r>
  <r>
    <x v="2"/>
    <n v="880787"/>
  </r>
  <r>
    <x v="0"/>
    <n v="217722"/>
  </r>
  <r>
    <x v="3"/>
    <n v="230420"/>
  </r>
  <r>
    <x v="1"/>
    <n v="54892"/>
  </r>
  <r>
    <x v="1"/>
    <n v="314487"/>
  </r>
  <r>
    <x v="2"/>
    <n v="269415"/>
  </r>
  <r>
    <x v="1"/>
    <n v="200784"/>
  </r>
  <r>
    <x v="0"/>
    <n v="714150"/>
  </r>
  <r>
    <x v="1"/>
    <n v="162264"/>
  </r>
  <r>
    <x v="1"/>
    <n v="776971"/>
  </r>
  <r>
    <x v="0"/>
    <n v="166720"/>
  </r>
  <r>
    <x v="1"/>
    <n v="620670"/>
  </r>
  <r>
    <x v="1"/>
    <n v="45600"/>
  </r>
  <r>
    <x v="2"/>
    <n v="460248"/>
  </r>
  <r>
    <x v="2"/>
    <n v="200208"/>
  </r>
  <r>
    <x v="2"/>
    <n v="588440"/>
  </r>
  <r>
    <x v="3"/>
    <n v="442339"/>
  </r>
  <r>
    <x v="2"/>
    <n v="589944"/>
  </r>
  <r>
    <x v="2"/>
    <n v="202844"/>
  </r>
  <r>
    <x v="1"/>
    <n v="621948"/>
  </r>
  <r>
    <x v="3"/>
    <n v="932026"/>
  </r>
  <r>
    <x v="1"/>
    <n v="18202"/>
  </r>
  <r>
    <x v="3"/>
    <n v="742112"/>
  </r>
  <r>
    <x v="3"/>
    <n v="154422"/>
  </r>
  <r>
    <x v="3"/>
    <n v="1050130"/>
  </r>
  <r>
    <x v="2"/>
    <n v="699104"/>
  </r>
  <r>
    <x v="2"/>
    <n v="487100"/>
  </r>
  <r>
    <x v="2"/>
    <n v="43842"/>
  </r>
  <r>
    <x v="3"/>
    <n v="349723"/>
  </r>
  <r>
    <x v="0"/>
    <n v="171620"/>
  </r>
  <r>
    <x v="0"/>
    <n v="75660"/>
  </r>
  <r>
    <x v="2"/>
    <n v="85446"/>
  </r>
  <r>
    <x v="3"/>
    <n v="389860"/>
  </r>
  <r>
    <x v="1"/>
    <n v="668941"/>
  </r>
  <r>
    <x v="0"/>
    <n v="218351"/>
  </r>
  <r>
    <x v="3"/>
    <n v="469432"/>
  </r>
  <r>
    <x v="0"/>
    <n v="60842"/>
  </r>
  <r>
    <x v="3"/>
    <n v="196158"/>
  </r>
  <r>
    <x v="2"/>
    <n v="681093"/>
  </r>
  <r>
    <x v="3"/>
    <n v="669256"/>
  </r>
  <r>
    <x v="1"/>
    <n v="349146"/>
  </r>
  <r>
    <x v="3"/>
    <n v="486690"/>
  </r>
  <r>
    <x v="1"/>
    <n v="539460"/>
  </r>
  <r>
    <x v="2"/>
    <n v="321074"/>
  </r>
  <r>
    <x v="2"/>
    <n v="187295"/>
  </r>
  <r>
    <x v="3"/>
    <n v="656784"/>
  </r>
  <r>
    <x v="0"/>
    <n v="18798"/>
  </r>
  <r>
    <x v="0"/>
    <n v="374570"/>
  </r>
  <r>
    <x v="3"/>
    <n v="157740"/>
  </r>
  <r>
    <x v="1"/>
    <n v="19812"/>
  </r>
  <r>
    <x v="3"/>
    <n v="217660"/>
  </r>
  <r>
    <x v="2"/>
    <n v="404865"/>
  </r>
  <r>
    <x v="3"/>
    <n v="200884"/>
  </r>
  <r>
    <x v="3"/>
    <n v="644742"/>
  </r>
  <r>
    <x v="3"/>
    <n v="127806"/>
  </r>
  <r>
    <x v="3"/>
    <n v="385791"/>
  </r>
  <r>
    <x v="3"/>
    <n v="53824"/>
  </r>
  <r>
    <x v="1"/>
    <n v="57940"/>
  </r>
  <r>
    <x v="0"/>
    <n v="29472"/>
  </r>
  <r>
    <x v="3"/>
    <n v="1013346"/>
  </r>
  <r>
    <x v="0"/>
    <n v="486818"/>
  </r>
  <r>
    <x v="1"/>
    <n v="848388"/>
  </r>
  <r>
    <x v="3"/>
    <n v="226904"/>
  </r>
  <r>
    <x v="3"/>
    <n v="52620"/>
  </r>
  <r>
    <x v="0"/>
    <n v="831136"/>
  </r>
  <r>
    <x v="0"/>
    <n v="267414"/>
  </r>
  <r>
    <x v="2"/>
    <n v="619530"/>
  </r>
  <r>
    <x v="0"/>
    <n v="1094609"/>
  </r>
  <r>
    <x v="0"/>
    <n v="16302"/>
  </r>
  <r>
    <x v="2"/>
    <n v="362450"/>
  </r>
  <r>
    <x v="1"/>
    <n v="737884"/>
  </r>
  <r>
    <x v="1"/>
    <n v="18496"/>
  </r>
  <r>
    <x v="0"/>
    <n v="217860"/>
  </r>
  <r>
    <x v="0"/>
    <n v="192985"/>
  </r>
  <r>
    <x v="1"/>
    <n v="511927"/>
  </r>
  <r>
    <x v="2"/>
    <n v="591812"/>
  </r>
  <r>
    <x v="2"/>
    <n v="733382"/>
  </r>
  <r>
    <x v="2"/>
    <n v="171093"/>
  </r>
  <r>
    <x v="1"/>
    <n v="153531"/>
  </r>
  <r>
    <x v="0"/>
    <n v="56340"/>
  </r>
  <r>
    <x v="3"/>
    <n v="223520"/>
  </r>
  <r>
    <x v="2"/>
    <n v="229710"/>
  </r>
  <r>
    <x v="2"/>
    <n v="15250"/>
  </r>
  <r>
    <x v="1"/>
    <n v="486880"/>
  </r>
  <r>
    <x v="1"/>
    <n v="779433"/>
  </r>
  <r>
    <x v="0"/>
    <n v="89874"/>
  </r>
  <r>
    <x v="3"/>
    <n v="51250"/>
  </r>
  <r>
    <x v="3"/>
    <n v="261972"/>
  </r>
  <r>
    <x v="2"/>
    <n v="429926"/>
  </r>
  <r>
    <x v="2"/>
    <n v="295750"/>
  </r>
  <r>
    <x v="3"/>
    <n v="260165"/>
  </r>
  <r>
    <x v="3"/>
    <n v="15198"/>
  </r>
  <r>
    <x v="1"/>
    <n v="698241"/>
  </r>
  <r>
    <x v="0"/>
    <n v="700344"/>
  </r>
  <r>
    <x v="1"/>
    <n v="86240"/>
  </r>
  <r>
    <x v="3"/>
    <n v="353717"/>
  </r>
  <r>
    <x v="2"/>
    <n v="901488"/>
  </r>
  <r>
    <x v="1"/>
    <n v="266030"/>
  </r>
  <r>
    <x v="0"/>
    <n v="141640"/>
  </r>
  <r>
    <x v="2"/>
    <n v="104848"/>
  </r>
  <r>
    <x v="0"/>
    <n v="500724"/>
  </r>
  <r>
    <x v="2"/>
    <n v="329994"/>
  </r>
  <r>
    <x v="0"/>
    <n v="129906"/>
  </r>
  <r>
    <x v="2"/>
    <n v="163891"/>
  </r>
  <r>
    <x v="3"/>
    <n v="202345"/>
  </r>
  <r>
    <x v="1"/>
    <n v="567273"/>
  </r>
  <r>
    <x v="2"/>
    <n v="109446"/>
  </r>
  <r>
    <x v="2"/>
    <n v="317502"/>
  </r>
  <r>
    <x v="1"/>
    <n v="576260"/>
  </r>
  <r>
    <x v="2"/>
    <n v="59576"/>
  </r>
  <r>
    <x v="0"/>
    <n v="102384"/>
  </r>
  <r>
    <x v="1"/>
    <n v="64733"/>
  </r>
  <r>
    <x v="2"/>
    <n v="92148"/>
  </r>
  <r>
    <x v="2"/>
    <n v="249509"/>
  </r>
  <r>
    <x v="1"/>
    <n v="114330"/>
  </r>
  <r>
    <x v="3"/>
    <n v="33698"/>
  </r>
  <r>
    <x v="1"/>
    <n v="660564"/>
  </r>
  <r>
    <x v="2"/>
    <n v="32448"/>
  </r>
  <r>
    <x v="3"/>
    <n v="53653"/>
  </r>
  <r>
    <x v="3"/>
    <n v="161644"/>
  </r>
  <r>
    <x v="1"/>
    <n v="370531"/>
  </r>
  <r>
    <x v="2"/>
    <n v="395250"/>
  </r>
  <r>
    <x v="3"/>
    <n v="818048"/>
  </r>
  <r>
    <x v="0"/>
    <n v="17100"/>
  </r>
  <r>
    <x v="1"/>
    <n v="812906"/>
  </r>
  <r>
    <x v="2"/>
    <n v="251076"/>
  </r>
  <r>
    <x v="0"/>
    <n v="225440"/>
  </r>
  <r>
    <x v="1"/>
    <n v="203208"/>
  </r>
  <r>
    <x v="0"/>
    <n v="790592"/>
  </r>
  <r>
    <x v="2"/>
    <n v="163920"/>
  </r>
  <r>
    <x v="3"/>
    <n v="188692"/>
  </r>
  <r>
    <x v="1"/>
    <n v="242262"/>
  </r>
  <r>
    <x v="1"/>
    <n v="822432"/>
  </r>
  <r>
    <x v="3"/>
    <n v="503734"/>
  </r>
  <r>
    <x v="0"/>
    <n v="651296"/>
  </r>
  <r>
    <x v="3"/>
    <n v="540527"/>
  </r>
  <r>
    <x v="1"/>
    <n v="9090"/>
  </r>
  <r>
    <x v="1"/>
    <n v="104632"/>
  </r>
  <r>
    <x v="2"/>
    <n v="854488"/>
  </r>
  <r>
    <x v="1"/>
    <n v="478506"/>
  </r>
  <r>
    <x v="3"/>
    <n v="96846"/>
  </r>
  <r>
    <x v="2"/>
    <n v="239796"/>
  </r>
  <r>
    <x v="1"/>
    <n v="307769"/>
  </r>
  <r>
    <x v="0"/>
    <n v="53324"/>
  </r>
  <r>
    <x v="1"/>
    <n v="46408"/>
  </r>
  <r>
    <x v="2"/>
    <n v="283113"/>
  </r>
  <r>
    <x v="3"/>
    <n v="66768"/>
  </r>
  <r>
    <x v="2"/>
    <n v="373099"/>
  </r>
  <r>
    <x v="2"/>
    <n v="148489"/>
  </r>
  <r>
    <x v="0"/>
    <n v="316888"/>
  </r>
  <r>
    <x v="2"/>
    <n v="422288"/>
  </r>
  <r>
    <x v="2"/>
    <n v="32395"/>
  </r>
  <r>
    <x v="0"/>
    <n v="733296"/>
  </r>
  <r>
    <x v="0"/>
    <n v="462264"/>
  </r>
  <r>
    <x v="2"/>
    <n v="59416"/>
  </r>
  <r>
    <x v="2"/>
    <n v="642468"/>
  </r>
  <r>
    <x v="3"/>
    <n v="437024"/>
  </r>
  <r>
    <x v="0"/>
    <n v="507212"/>
  </r>
  <r>
    <x v="2"/>
    <n v="94960"/>
  </r>
  <r>
    <x v="2"/>
    <n v="242480"/>
  </r>
  <r>
    <x v="2"/>
    <n v="132440"/>
  </r>
  <r>
    <x v="1"/>
    <n v="40425"/>
  </r>
  <r>
    <x v="1"/>
    <n v="226848"/>
  </r>
  <r>
    <x v="2"/>
    <n v="181482"/>
  </r>
  <r>
    <x v="0"/>
    <n v="833430"/>
  </r>
  <r>
    <x v="2"/>
    <n v="120760"/>
  </r>
  <r>
    <x v="3"/>
    <n v="55536"/>
  </r>
  <r>
    <x v="3"/>
    <n v="536055"/>
  </r>
  <r>
    <x v="0"/>
    <n v="32032"/>
  </r>
  <r>
    <x v="1"/>
    <n v="535093"/>
  </r>
  <r>
    <x v="1"/>
    <n v="408528"/>
  </r>
  <r>
    <x v="2"/>
    <n v="379491"/>
  </r>
  <r>
    <x v="1"/>
    <n v="279632"/>
  </r>
  <r>
    <x v="0"/>
    <n v="101959"/>
  </r>
  <r>
    <x v="0"/>
    <n v="382800"/>
  </r>
  <r>
    <x v="0"/>
    <n v="833546"/>
  </r>
  <r>
    <x v="3"/>
    <n v="73422"/>
  </r>
  <r>
    <x v="0"/>
    <n v="597608"/>
  </r>
  <r>
    <x v="0"/>
    <n v="826470"/>
  </r>
  <r>
    <x v="1"/>
    <n v="31208"/>
  </r>
  <r>
    <x v="2"/>
    <n v="350910"/>
  </r>
  <r>
    <x v="3"/>
    <n v="649698"/>
  </r>
  <r>
    <x v="0"/>
    <n v="324570"/>
  </r>
  <r>
    <x v="0"/>
    <n v="21008"/>
  </r>
  <r>
    <x v="1"/>
    <n v="99145"/>
  </r>
  <r>
    <x v="0"/>
    <n v="347262"/>
  </r>
  <r>
    <x v="2"/>
    <n v="586885"/>
  </r>
  <r>
    <x v="3"/>
    <n v="79820"/>
  </r>
  <r>
    <x v="3"/>
    <n v="132984"/>
  </r>
  <r>
    <x v="3"/>
    <n v="710490"/>
  </r>
  <r>
    <x v="1"/>
    <n v="1051916"/>
  </r>
  <r>
    <x v="1"/>
    <n v="649060"/>
  </r>
  <r>
    <x v="0"/>
    <n v="684708"/>
  </r>
  <r>
    <x v="0"/>
    <n v="330286"/>
  </r>
  <r>
    <x v="2"/>
    <n v="104748"/>
  </r>
  <r>
    <x v="3"/>
    <n v="364588"/>
  </r>
  <r>
    <x v="0"/>
    <n v="233478"/>
  </r>
  <r>
    <x v="0"/>
    <n v="209212"/>
  </r>
  <r>
    <x v="2"/>
    <n v="61296"/>
  </r>
  <r>
    <x v="2"/>
    <n v="696492"/>
  </r>
  <r>
    <x v="1"/>
    <n v="14928"/>
  </r>
  <r>
    <x v="3"/>
    <n v="1170120"/>
  </r>
  <r>
    <x v="1"/>
    <n v="559559"/>
  </r>
  <r>
    <x v="2"/>
    <n v="280850"/>
  </r>
  <r>
    <x v="2"/>
    <n v="224600"/>
  </r>
  <r>
    <x v="2"/>
    <n v="343451"/>
  </r>
  <r>
    <x v="3"/>
    <n v="539176"/>
  </r>
  <r>
    <x v="2"/>
    <n v="44926"/>
  </r>
  <r>
    <x v="0"/>
    <n v="858090"/>
  </r>
  <r>
    <x v="1"/>
    <n v="495280"/>
  </r>
  <r>
    <x v="2"/>
    <n v="452049"/>
  </r>
  <r>
    <x v="0"/>
    <n v="16074"/>
  </r>
  <r>
    <x v="0"/>
    <n v="477888"/>
  </r>
  <r>
    <x v="0"/>
    <n v="434610"/>
  </r>
  <r>
    <x v="3"/>
    <n v="161856"/>
  </r>
  <r>
    <x v="0"/>
    <n v="151300"/>
  </r>
  <r>
    <x v="0"/>
    <n v="401224"/>
  </r>
  <r>
    <x v="0"/>
    <n v="257967"/>
  </r>
  <r>
    <x v="1"/>
    <n v="546868"/>
  </r>
  <r>
    <x v="3"/>
    <n v="102006"/>
  </r>
  <r>
    <x v="0"/>
    <n v="206880"/>
  </r>
  <r>
    <x v="1"/>
    <n v="43892"/>
  </r>
  <r>
    <x v="1"/>
    <n v="398690"/>
  </r>
  <r>
    <x v="2"/>
    <n v="220968"/>
  </r>
  <r>
    <x v="0"/>
    <n v="22874"/>
  </r>
  <r>
    <x v="2"/>
    <n v="14058"/>
  </r>
  <r>
    <x v="1"/>
    <n v="706050"/>
  </r>
  <r>
    <x v="3"/>
    <n v="144975"/>
  </r>
  <r>
    <x v="2"/>
    <n v="679136"/>
  </r>
  <r>
    <x v="3"/>
    <n v="42799"/>
  </r>
  <r>
    <x v="3"/>
    <n v="593216"/>
  </r>
  <r>
    <x v="1"/>
    <n v="301512"/>
  </r>
  <r>
    <x v="1"/>
    <n v="348660"/>
  </r>
  <r>
    <x v="3"/>
    <n v="184218"/>
  </r>
  <r>
    <x v="1"/>
    <n v="71477"/>
  </r>
  <r>
    <x v="0"/>
    <n v="228066"/>
  </r>
  <r>
    <x v="2"/>
    <n v="282846"/>
  </r>
  <r>
    <x v="1"/>
    <n v="255136"/>
  </r>
  <r>
    <x v="1"/>
    <n v="156100"/>
  </r>
  <r>
    <x v="0"/>
    <n v="523300"/>
  </r>
  <r>
    <x v="0"/>
    <n v="116892"/>
  </r>
  <r>
    <x v="0"/>
    <n v="388654"/>
  </r>
  <r>
    <x v="3"/>
    <n v="491745"/>
  </r>
  <r>
    <x v="3"/>
    <n v="72024"/>
  </r>
  <r>
    <x v="2"/>
    <n v="83010"/>
  </r>
  <r>
    <x v="2"/>
    <n v="300447"/>
  </r>
  <r>
    <x v="3"/>
    <n v="1063140"/>
  </r>
  <r>
    <x v="1"/>
    <n v="523386"/>
  </r>
  <r>
    <x v="0"/>
    <n v="307580"/>
  </r>
  <r>
    <x v="2"/>
    <n v="82548"/>
  </r>
  <r>
    <x v="0"/>
    <n v="350021"/>
  </r>
  <r>
    <x v="3"/>
    <n v="14834"/>
  </r>
  <r>
    <x v="0"/>
    <n v="972054"/>
  </r>
  <r>
    <x v="2"/>
    <n v="104070"/>
  </r>
  <r>
    <x v="1"/>
    <n v="99438"/>
  </r>
  <r>
    <x v="3"/>
    <n v="88578"/>
  </r>
  <r>
    <x v="1"/>
    <n v="232488"/>
  </r>
  <r>
    <x v="0"/>
    <n v="168870"/>
  </r>
  <r>
    <x v="0"/>
    <n v="579225"/>
  </r>
  <r>
    <x v="0"/>
    <n v="544950"/>
  </r>
  <r>
    <x v="2"/>
    <n v="294966"/>
  </r>
  <r>
    <x v="1"/>
    <n v="290500"/>
  </r>
  <r>
    <x v="1"/>
    <n v="437328"/>
  </r>
  <r>
    <x v="1"/>
    <n v="143868"/>
  </r>
  <r>
    <x v="2"/>
    <n v="116346"/>
  </r>
  <r>
    <x v="2"/>
    <n v="533700"/>
  </r>
  <r>
    <x v="1"/>
    <n v="365127"/>
  </r>
  <r>
    <x v="3"/>
    <n v="89448"/>
  </r>
  <r>
    <x v="1"/>
    <n v="27420"/>
  </r>
  <r>
    <x v="2"/>
    <n v="44190"/>
  </r>
  <r>
    <x v="3"/>
    <n v="1021734"/>
  </r>
  <r>
    <x v="2"/>
    <n v="210792"/>
  </r>
  <r>
    <x v="2"/>
    <n v="557975"/>
  </r>
  <r>
    <x v="0"/>
    <n v="1061891"/>
  </r>
  <r>
    <x v="0"/>
    <n v="192265"/>
  </r>
  <r>
    <x v="3"/>
    <n v="496441"/>
  </r>
  <r>
    <x v="1"/>
    <n v="140060"/>
  </r>
  <r>
    <x v="3"/>
    <n v="188986"/>
  </r>
  <r>
    <x v="3"/>
    <n v="1106370"/>
  </r>
  <r>
    <x v="0"/>
    <n v="769726"/>
  </r>
  <r>
    <x v="3"/>
    <n v="291720"/>
  </r>
  <r>
    <x v="0"/>
    <n v="546318"/>
  </r>
  <r>
    <x v="0"/>
    <n v="355725"/>
  </r>
  <r>
    <x v="0"/>
    <n v="584144"/>
  </r>
  <r>
    <x v="0"/>
    <n v="746410"/>
  </r>
  <r>
    <x v="0"/>
    <n v="99749"/>
  </r>
  <r>
    <x v="1"/>
    <n v="133165"/>
  </r>
  <r>
    <x v="0"/>
    <n v="93954"/>
  </r>
  <r>
    <x v="3"/>
    <n v="32210"/>
  </r>
  <r>
    <x v="0"/>
    <n v="233946"/>
  </r>
  <r>
    <x v="1"/>
    <n v="39332"/>
  </r>
  <r>
    <x v="2"/>
    <n v="161652"/>
  </r>
  <r>
    <x v="2"/>
    <n v="517104"/>
  </r>
  <r>
    <x v="3"/>
    <n v="335280"/>
  </r>
  <r>
    <x v="2"/>
    <n v="227100"/>
  </r>
  <r>
    <x v="1"/>
    <n v="511756"/>
  </r>
  <r>
    <x v="3"/>
    <n v="218480"/>
  </r>
  <r>
    <x v="1"/>
    <n v="100948"/>
  </r>
  <r>
    <x v="2"/>
    <n v="474249"/>
  </r>
  <r>
    <x v="0"/>
    <n v="52224"/>
  </r>
  <r>
    <x v="1"/>
    <n v="173800"/>
  </r>
  <r>
    <x v="2"/>
    <n v="327585"/>
  </r>
  <r>
    <x v="1"/>
    <n v="72885"/>
  </r>
  <r>
    <x v="2"/>
    <n v="1046767"/>
  </r>
  <r>
    <x v="1"/>
    <n v="311506"/>
  </r>
  <r>
    <x v="1"/>
    <n v="377074"/>
  </r>
  <r>
    <x v="2"/>
    <n v="205776"/>
  </r>
  <r>
    <x v="0"/>
    <n v="49061"/>
  </r>
  <r>
    <x v="2"/>
    <n v="15495"/>
  </r>
  <r>
    <x v="0"/>
    <n v="976780"/>
  </r>
  <r>
    <x v="2"/>
    <n v="366236"/>
  </r>
  <r>
    <x v="0"/>
    <n v="462300"/>
  </r>
  <r>
    <x v="0"/>
    <n v="315248"/>
  </r>
  <r>
    <x v="1"/>
    <n v="159203"/>
  </r>
  <r>
    <x v="3"/>
    <n v="894159"/>
  </r>
  <r>
    <x v="0"/>
    <n v="368748"/>
  </r>
  <r>
    <x v="3"/>
    <n v="583847"/>
  </r>
  <r>
    <x v="2"/>
    <n v="412398"/>
  </r>
  <r>
    <x v="1"/>
    <n v="49350"/>
  </r>
  <r>
    <x v="1"/>
    <n v="300688"/>
  </r>
  <r>
    <x v="3"/>
    <n v="17825"/>
  </r>
  <r>
    <x v="0"/>
    <n v="5082"/>
  </r>
  <r>
    <x v="2"/>
    <n v="65180"/>
  </r>
  <r>
    <x v="3"/>
    <n v="162537"/>
  </r>
  <r>
    <x v="2"/>
    <n v="117054"/>
  </r>
  <r>
    <x v="3"/>
    <n v="498012"/>
  </r>
  <r>
    <x v="1"/>
    <n v="131268"/>
  </r>
  <r>
    <x v="1"/>
    <n v="225932"/>
  </r>
  <r>
    <x v="0"/>
    <n v="144936"/>
  </r>
  <r>
    <x v="3"/>
    <n v="260854"/>
  </r>
  <r>
    <x v="1"/>
    <n v="46665"/>
  </r>
  <r>
    <x v="2"/>
    <n v="122145"/>
  </r>
  <r>
    <x v="3"/>
    <n v="38559"/>
  </r>
  <r>
    <x v="0"/>
    <n v="5143"/>
  </r>
  <r>
    <x v="2"/>
    <n v="4672"/>
  </r>
  <r>
    <x v="3"/>
    <n v="979620"/>
  </r>
  <r>
    <x v="2"/>
    <n v="599082"/>
  </r>
  <r>
    <x v="3"/>
    <n v="195540"/>
  </r>
  <r>
    <x v="0"/>
    <n v="418779"/>
  </r>
  <r>
    <x v="1"/>
    <n v="207993"/>
  </r>
  <r>
    <x v="1"/>
    <n v="289855"/>
  </r>
  <r>
    <x v="3"/>
    <n v="75834"/>
  </r>
  <r>
    <x v="1"/>
    <n v="353784"/>
  </r>
  <r>
    <x v="3"/>
    <n v="498095"/>
  </r>
  <r>
    <x v="2"/>
    <n v="12018"/>
  </r>
  <r>
    <x v="1"/>
    <n v="112428"/>
  </r>
  <r>
    <x v="2"/>
    <n v="78923"/>
  </r>
  <r>
    <x v="2"/>
    <n v="377378"/>
  </r>
  <r>
    <x v="1"/>
    <n v="73768"/>
  </r>
  <r>
    <x v="2"/>
    <n v="721820"/>
  </r>
  <r>
    <x v="1"/>
    <n v="303270"/>
  </r>
  <r>
    <x v="2"/>
    <n v="657920"/>
  </r>
  <r>
    <x v="3"/>
    <n v="109779"/>
  </r>
  <r>
    <x v="1"/>
    <n v="58675"/>
  </r>
  <r>
    <x v="2"/>
    <n v="416632"/>
  </r>
  <r>
    <x v="2"/>
    <n v="21710"/>
  </r>
  <r>
    <x v="3"/>
    <n v="23238"/>
  </r>
  <r>
    <x v="2"/>
    <n v="445984"/>
  </r>
  <r>
    <x v="2"/>
    <n v="219900"/>
  </r>
  <r>
    <x v="1"/>
    <n v="785706"/>
  </r>
  <r>
    <x v="1"/>
    <n v="130008"/>
  </r>
  <r>
    <x v="1"/>
    <n v="151608"/>
  </r>
  <r>
    <x v="2"/>
    <n v="389634"/>
  </r>
  <r>
    <x v="0"/>
    <n v="9852"/>
  </r>
  <r>
    <x v="2"/>
    <n v="333780"/>
  </r>
  <r>
    <x v="0"/>
    <n v="1077380"/>
  </r>
  <r>
    <x v="2"/>
    <n v="141520"/>
  </r>
  <r>
    <x v="3"/>
    <n v="56452"/>
  </r>
  <r>
    <x v="2"/>
    <n v="164770"/>
  </r>
  <r>
    <x v="2"/>
    <n v="906965"/>
  </r>
  <r>
    <x v="2"/>
    <n v="36372"/>
  </r>
  <r>
    <x v="3"/>
    <n v="109780"/>
  </r>
  <r>
    <x v="0"/>
    <n v="529032"/>
  </r>
  <r>
    <x v="3"/>
    <n v="298597"/>
  </r>
  <r>
    <x v="2"/>
    <n v="232928"/>
  </r>
  <r>
    <x v="2"/>
    <n v="31186"/>
  </r>
  <r>
    <x v="3"/>
    <n v="122696"/>
  </r>
  <r>
    <x v="0"/>
    <n v="16480"/>
  </r>
  <r>
    <x v="2"/>
    <n v="125856"/>
  </r>
  <r>
    <x v="1"/>
    <n v="233448"/>
  </r>
  <r>
    <x v="0"/>
    <n v="288432"/>
  </r>
  <r>
    <x v="1"/>
    <n v="565956"/>
  </r>
  <r>
    <x v="2"/>
    <n v="802602"/>
  </r>
  <r>
    <x v="2"/>
    <n v="250713"/>
  </r>
  <r>
    <x v="1"/>
    <n v="163079"/>
  </r>
  <r>
    <x v="2"/>
    <n v="256487"/>
  </r>
  <r>
    <x v="3"/>
    <n v="36803"/>
  </r>
  <r>
    <x v="3"/>
    <n v="131424"/>
  </r>
  <r>
    <x v="1"/>
    <n v="76782"/>
  </r>
  <r>
    <x v="0"/>
    <n v="37305"/>
  </r>
  <r>
    <x v="2"/>
    <n v="752742"/>
  </r>
  <r>
    <x v="3"/>
    <n v="101801"/>
  </r>
  <r>
    <x v="1"/>
    <n v="316185"/>
  </r>
  <r>
    <x v="1"/>
    <n v="247335"/>
  </r>
  <r>
    <x v="2"/>
    <n v="151304"/>
  </r>
  <r>
    <x v="1"/>
    <n v="450164"/>
  </r>
  <r>
    <x v="3"/>
    <n v="961092"/>
  </r>
  <r>
    <x v="0"/>
    <n v="648452"/>
  </r>
  <r>
    <x v="2"/>
    <n v="23619"/>
  </r>
  <r>
    <x v="0"/>
    <n v="17229"/>
  </r>
  <r>
    <x v="1"/>
    <n v="298800"/>
  </r>
  <r>
    <x v="3"/>
    <n v="66712"/>
  </r>
  <r>
    <x v="0"/>
    <n v="10683"/>
  </r>
  <r>
    <x v="2"/>
    <n v="73410"/>
  </r>
  <r>
    <x v="1"/>
    <n v="20436"/>
  </r>
  <r>
    <x v="1"/>
    <n v="426312"/>
  </r>
  <r>
    <x v="1"/>
    <n v="359081"/>
  </r>
  <r>
    <x v="2"/>
    <n v="48447"/>
  </r>
  <r>
    <x v="0"/>
    <n v="559024"/>
  </r>
  <r>
    <x v="1"/>
    <n v="822510"/>
  </r>
  <r>
    <x v="0"/>
    <n v="249642"/>
  </r>
  <r>
    <x v="2"/>
    <n v="111644"/>
  </r>
  <r>
    <x v="2"/>
    <n v="420735"/>
  </r>
  <r>
    <x v="2"/>
    <n v="710046"/>
  </r>
  <r>
    <x v="1"/>
    <n v="687297"/>
  </r>
  <r>
    <x v="1"/>
    <n v="174618"/>
  </r>
  <r>
    <x v="3"/>
    <n v="348848"/>
  </r>
  <r>
    <x v="1"/>
    <n v="1112564"/>
  </r>
  <r>
    <x v="3"/>
    <n v="14816"/>
  </r>
  <r>
    <x v="3"/>
    <n v="327978"/>
  </r>
  <r>
    <x v="2"/>
    <n v="583335"/>
  </r>
  <r>
    <x v="0"/>
    <n v="266922"/>
  </r>
  <r>
    <x v="3"/>
    <n v="379144"/>
  </r>
  <r>
    <x v="0"/>
    <n v="233848"/>
  </r>
  <r>
    <x v="0"/>
    <n v="21770"/>
  </r>
  <r>
    <x v="0"/>
    <n v="65334"/>
  </r>
  <r>
    <x v="1"/>
    <n v="652176"/>
  </r>
  <r>
    <x v="3"/>
    <n v="209937"/>
  </r>
  <r>
    <x v="1"/>
    <n v="25120"/>
  </r>
  <r>
    <x v="3"/>
    <n v="40778"/>
  </r>
  <r>
    <x v="0"/>
    <n v="176430"/>
  </r>
  <r>
    <x v="2"/>
    <n v="116448"/>
  </r>
  <r>
    <x v="0"/>
    <n v="573133"/>
  </r>
  <r>
    <x v="1"/>
    <n v="57988"/>
  </r>
  <r>
    <x v="3"/>
    <n v="119676"/>
  </r>
  <r>
    <x v="2"/>
    <n v="20346"/>
  </r>
  <r>
    <x v="1"/>
    <n v="96944"/>
  </r>
  <r>
    <x v="2"/>
    <n v="111520"/>
  </r>
  <r>
    <x v="2"/>
    <n v="538764"/>
  </r>
  <r>
    <x v="1"/>
    <n v="102840"/>
  </r>
  <r>
    <x v="0"/>
    <n v="30330"/>
  </r>
  <r>
    <x v="2"/>
    <n v="198704"/>
  </r>
  <r>
    <x v="3"/>
    <n v="553470"/>
  </r>
  <r>
    <x v="0"/>
    <n v="172312"/>
  </r>
  <r>
    <x v="1"/>
    <n v="241956"/>
  </r>
  <r>
    <x v="0"/>
    <n v="206800"/>
  </r>
  <r>
    <x v="0"/>
    <n v="379511"/>
  </r>
  <r>
    <x v="2"/>
    <n v="189364"/>
  </r>
  <r>
    <x v="2"/>
    <n v="146691"/>
  </r>
  <r>
    <x v="0"/>
    <n v="52615"/>
  </r>
  <r>
    <x v="0"/>
    <n v="79180"/>
  </r>
  <r>
    <x v="3"/>
    <n v="21348"/>
  </r>
  <r>
    <x v="0"/>
    <n v="213760"/>
  </r>
  <r>
    <x v="0"/>
    <n v="61656"/>
  </r>
  <r>
    <x v="3"/>
    <n v="163830"/>
  </r>
  <r>
    <x v="0"/>
    <n v="482904"/>
  </r>
  <r>
    <x v="2"/>
    <n v="390860"/>
  </r>
  <r>
    <x v="3"/>
    <n v="218617"/>
  </r>
  <r>
    <x v="1"/>
    <n v="534708"/>
  </r>
  <r>
    <x v="2"/>
    <n v="117033"/>
  </r>
  <r>
    <x v="0"/>
    <n v="1027843"/>
  </r>
  <r>
    <x v="1"/>
    <n v="291310"/>
  </r>
  <r>
    <x v="1"/>
    <n v="227240"/>
  </r>
  <r>
    <x v="1"/>
    <n v="402203"/>
  </r>
  <r>
    <x v="0"/>
    <n v="859104"/>
  </r>
  <r>
    <x v="0"/>
    <n v="509020"/>
  </r>
  <r>
    <x v="2"/>
    <n v="637860"/>
  </r>
  <r>
    <x v="2"/>
    <n v="584560"/>
  </r>
  <r>
    <x v="2"/>
    <n v="77070"/>
  </r>
  <r>
    <x v="3"/>
    <n v="220048"/>
  </r>
  <r>
    <x v="2"/>
    <n v="134855"/>
  </r>
  <r>
    <x v="1"/>
    <n v="406791"/>
  </r>
  <r>
    <x v="2"/>
    <n v="115083"/>
  </r>
  <r>
    <x v="0"/>
    <n v="22620"/>
  </r>
  <r>
    <x v="2"/>
    <n v="117732"/>
  </r>
  <r>
    <x v="0"/>
    <n v="77187"/>
  </r>
  <r>
    <x v="2"/>
    <n v="23214"/>
  </r>
  <r>
    <x v="3"/>
    <n v="145545"/>
  </r>
  <r>
    <x v="2"/>
    <n v="506760"/>
  </r>
  <r>
    <x v="0"/>
    <n v="334638"/>
  </r>
  <r>
    <x v="2"/>
    <n v="163416"/>
  </r>
  <r>
    <x v="0"/>
    <n v="53510"/>
  </r>
  <r>
    <x v="2"/>
    <n v="265250"/>
  </r>
  <r>
    <x v="3"/>
    <n v="790005"/>
  </r>
  <r>
    <x v="0"/>
    <n v="741663"/>
  </r>
  <r>
    <x v="3"/>
    <n v="995860"/>
  </r>
  <r>
    <x v="3"/>
    <n v="10860"/>
  </r>
  <r>
    <x v="3"/>
    <n v="20728"/>
  </r>
  <r>
    <x v="0"/>
    <n v="9405"/>
  </r>
  <r>
    <x v="3"/>
    <n v="56572"/>
  </r>
  <r>
    <x v="1"/>
    <n v="620367"/>
  </r>
  <r>
    <x v="1"/>
    <n v="59716"/>
  </r>
  <r>
    <x v="3"/>
    <n v="485380"/>
  </r>
  <r>
    <x v="3"/>
    <n v="504603"/>
  </r>
  <r>
    <x v="0"/>
    <n v="623168"/>
  </r>
  <r>
    <x v="2"/>
    <n v="123620"/>
  </r>
  <r>
    <x v="3"/>
    <n v="431453"/>
  </r>
  <r>
    <x v="2"/>
    <n v="22381"/>
  </r>
  <r>
    <x v="3"/>
    <n v="265840"/>
  </r>
  <r>
    <x v="1"/>
    <n v="126321"/>
  </r>
  <r>
    <x v="3"/>
    <n v="264146"/>
  </r>
  <r>
    <x v="1"/>
    <n v="410040"/>
  </r>
  <r>
    <x v="2"/>
    <n v="187600"/>
  </r>
  <r>
    <x v="1"/>
    <n v="226348"/>
  </r>
  <r>
    <x v="0"/>
    <n v="358029"/>
  </r>
  <r>
    <x v="1"/>
    <n v="560768"/>
  </r>
  <r>
    <x v="2"/>
    <n v="9437"/>
  </r>
  <r>
    <x v="3"/>
    <n v="584851"/>
  </r>
  <r>
    <x v="2"/>
    <n v="167220"/>
  </r>
  <r>
    <x v="1"/>
    <n v="134486"/>
  </r>
  <r>
    <x v="1"/>
    <n v="241010"/>
  </r>
  <r>
    <x v="0"/>
    <n v="329567"/>
  </r>
  <r>
    <x v="2"/>
    <n v="590830"/>
  </r>
  <r>
    <x v="2"/>
    <n v="133302"/>
  </r>
  <r>
    <x v="2"/>
    <n v="33630"/>
  </r>
  <r>
    <x v="0"/>
    <n v="230769"/>
  </r>
  <r>
    <x v="1"/>
    <n v="170586"/>
  </r>
  <r>
    <x v="2"/>
    <n v="212528"/>
  </r>
  <r>
    <x v="3"/>
    <n v="45116"/>
  </r>
  <r>
    <x v="3"/>
    <n v="303300"/>
  </r>
  <r>
    <x v="3"/>
    <n v="50084"/>
  </r>
  <r>
    <x v="2"/>
    <n v="531927"/>
  </r>
  <r>
    <x v="0"/>
    <n v="5643"/>
  </r>
  <r>
    <x v="0"/>
    <n v="296580"/>
  </r>
  <r>
    <x v="1"/>
    <n v="353470"/>
  </r>
  <r>
    <x v="1"/>
    <n v="545100"/>
  </r>
  <r>
    <x v="2"/>
    <n v="602371"/>
  </r>
  <r>
    <x v="2"/>
    <n v="695266"/>
  </r>
  <r>
    <x v="1"/>
    <n v="85794"/>
  </r>
  <r>
    <x v="1"/>
    <n v="415989"/>
  </r>
  <r>
    <x v="0"/>
    <n v="383792"/>
  </r>
  <r>
    <x v="2"/>
    <n v="438416"/>
  </r>
  <r>
    <x v="3"/>
    <n v="98004"/>
  </r>
  <r>
    <x v="1"/>
    <n v="188100"/>
  </r>
  <r>
    <x v="3"/>
    <n v="98865"/>
  </r>
  <r>
    <x v="2"/>
    <n v="303870"/>
  </r>
  <r>
    <x v="3"/>
    <n v="44975"/>
  </r>
  <r>
    <x v="2"/>
    <n v="134184"/>
  </r>
  <r>
    <x v="3"/>
    <n v="260025"/>
  </r>
  <r>
    <x v="1"/>
    <n v="204285"/>
  </r>
  <r>
    <x v="0"/>
    <n v="30408"/>
  </r>
  <r>
    <x v="2"/>
    <n v="175230"/>
  </r>
  <r>
    <x v="2"/>
    <n v="509745"/>
  </r>
  <r>
    <x v="1"/>
    <n v="302570"/>
  </r>
  <r>
    <x v="2"/>
    <n v="524500"/>
  </r>
  <r>
    <x v="3"/>
    <n v="373320"/>
  </r>
  <r>
    <x v="0"/>
    <n v="394240"/>
  </r>
  <r>
    <x v="1"/>
    <n v="232140"/>
  </r>
  <r>
    <x v="3"/>
    <n v="294050"/>
  </r>
  <r>
    <x v="0"/>
    <n v="47172"/>
  </r>
  <r>
    <x v="1"/>
    <n v="20195"/>
  </r>
  <r>
    <x v="3"/>
    <n v="90270"/>
  </r>
  <r>
    <x v="0"/>
    <n v="164654"/>
  </r>
  <r>
    <x v="0"/>
    <n v="8659"/>
  </r>
  <r>
    <x v="3"/>
    <n v="280296"/>
  </r>
  <r>
    <x v="2"/>
    <n v="40596"/>
  </r>
  <r>
    <x v="2"/>
    <n v="429810"/>
  </r>
  <r>
    <x v="3"/>
    <n v="577872"/>
  </r>
  <r>
    <x v="2"/>
    <n v="51115"/>
  </r>
  <r>
    <x v="1"/>
    <n v="52780"/>
  </r>
  <r>
    <x v="0"/>
    <n v="158312"/>
  </r>
  <r>
    <x v="0"/>
    <n v="44342"/>
  </r>
  <r>
    <x v="2"/>
    <n v="39325"/>
  </r>
  <r>
    <x v="0"/>
    <n v="90368"/>
  </r>
  <r>
    <x v="3"/>
    <n v="231060"/>
  </r>
  <r>
    <x v="3"/>
    <n v="333672"/>
  </r>
  <r>
    <x v="3"/>
    <n v="63870"/>
  </r>
  <r>
    <x v="3"/>
    <n v="1075742"/>
  </r>
  <r>
    <x v="0"/>
    <n v="656975"/>
  </r>
  <r>
    <x v="1"/>
    <n v="90945"/>
  </r>
  <r>
    <x v="1"/>
    <n v="315777"/>
  </r>
  <r>
    <x v="3"/>
    <n v="23415"/>
  </r>
  <r>
    <x v="3"/>
    <n v="859095"/>
  </r>
  <r>
    <x v="1"/>
    <n v="31530"/>
  </r>
  <r>
    <x v="0"/>
    <n v="229481"/>
  </r>
  <r>
    <x v="3"/>
    <n v="448932"/>
  </r>
  <r>
    <x v="2"/>
    <n v="386376"/>
  </r>
  <r>
    <x v="3"/>
    <n v="219068"/>
  </r>
  <r>
    <x v="2"/>
    <n v="176192"/>
  </r>
  <r>
    <x v="2"/>
    <n v="646476"/>
  </r>
  <r>
    <x v="2"/>
    <n v="157289"/>
  </r>
  <r>
    <x v="2"/>
    <n v="173475"/>
  </r>
  <r>
    <x v="3"/>
    <n v="909260"/>
  </r>
  <r>
    <x v="2"/>
    <n v="566118"/>
  </r>
  <r>
    <x v="0"/>
    <n v="441984"/>
  </r>
  <r>
    <x v="0"/>
    <n v="660361"/>
  </r>
  <r>
    <x v="3"/>
    <n v="426280"/>
  </r>
  <r>
    <x v="1"/>
    <n v="501336"/>
  </r>
  <r>
    <x v="0"/>
    <n v="763196"/>
  </r>
  <r>
    <x v="2"/>
    <n v="471440"/>
  </r>
  <r>
    <x v="0"/>
    <n v="141930"/>
  </r>
  <r>
    <x v="1"/>
    <n v="23156"/>
  </r>
  <r>
    <x v="0"/>
    <n v="787052"/>
  </r>
  <r>
    <x v="3"/>
    <n v="785094"/>
  </r>
  <r>
    <x v="3"/>
    <n v="9678"/>
  </r>
  <r>
    <x v="0"/>
    <n v="183088"/>
  </r>
  <r>
    <x v="3"/>
    <n v="217374"/>
  </r>
  <r>
    <x v="1"/>
    <n v="233410"/>
  </r>
  <r>
    <x v="2"/>
    <n v="52054"/>
  </r>
  <r>
    <x v="2"/>
    <n v="84294"/>
  </r>
  <r>
    <x v="0"/>
    <n v="622882"/>
  </r>
  <r>
    <x v="3"/>
    <n v="140325"/>
  </r>
  <r>
    <x v="0"/>
    <n v="147750"/>
  </r>
  <r>
    <x v="3"/>
    <n v="90461"/>
  </r>
  <r>
    <x v="0"/>
    <n v="954780"/>
  </r>
  <r>
    <x v="3"/>
    <n v="146292"/>
  </r>
  <r>
    <x v="3"/>
    <n v="624397"/>
  </r>
  <r>
    <x v="0"/>
    <n v="48710"/>
  </r>
  <r>
    <x v="0"/>
    <n v="146810"/>
  </r>
  <r>
    <x v="1"/>
    <n v="96438"/>
  </r>
  <r>
    <x v="0"/>
    <n v="247405"/>
  </r>
  <r>
    <x v="2"/>
    <n v="384454"/>
  </r>
  <r>
    <x v="1"/>
    <n v="269556"/>
  </r>
  <r>
    <x v="3"/>
    <n v="317112"/>
  </r>
  <r>
    <x v="1"/>
    <n v="641251"/>
  </r>
  <r>
    <x v="0"/>
    <n v="200616"/>
  </r>
  <r>
    <x v="2"/>
    <n v="110782"/>
  </r>
  <r>
    <x v="2"/>
    <n v="775695"/>
  </r>
  <r>
    <x v="2"/>
    <n v="272979"/>
  </r>
  <r>
    <x v="1"/>
    <n v="968620"/>
  </r>
  <r>
    <x v="0"/>
    <n v="797904"/>
  </r>
  <r>
    <x v="0"/>
    <n v="165616"/>
  </r>
  <r>
    <x v="3"/>
    <n v="113132"/>
  </r>
  <r>
    <x v="0"/>
    <n v="146034"/>
  </r>
  <r>
    <x v="3"/>
    <n v="819406"/>
  </r>
  <r>
    <x v="0"/>
    <n v="39660"/>
  </r>
  <r>
    <x v="1"/>
    <n v="722527"/>
  </r>
  <r>
    <x v="3"/>
    <n v="324320"/>
  </r>
  <r>
    <x v="1"/>
    <n v="116384"/>
  </r>
  <r>
    <x v="0"/>
    <n v="610146"/>
  </r>
  <r>
    <x v="3"/>
    <n v="182280"/>
  </r>
  <r>
    <x v="0"/>
    <n v="946628"/>
  </r>
  <r>
    <x v="2"/>
    <n v="219525"/>
  </r>
  <r>
    <x v="2"/>
    <n v="170630"/>
  </r>
  <r>
    <x v="1"/>
    <n v="291522"/>
  </r>
  <r>
    <x v="0"/>
    <n v="159120"/>
  </r>
  <r>
    <x v="0"/>
    <n v="786832"/>
  </r>
  <r>
    <x v="3"/>
    <n v="35835"/>
  </r>
  <r>
    <x v="2"/>
    <n v="258260"/>
  </r>
  <r>
    <x v="2"/>
    <n v="116487"/>
  </r>
  <r>
    <x v="0"/>
    <n v="15064"/>
  </r>
  <r>
    <x v="2"/>
    <n v="32808"/>
  </r>
  <r>
    <x v="1"/>
    <n v="55186"/>
  </r>
  <r>
    <x v="3"/>
    <n v="347420"/>
  </r>
  <r>
    <x v="3"/>
    <n v="171647"/>
  </r>
  <r>
    <x v="2"/>
    <n v="821460"/>
  </r>
  <r>
    <x v="1"/>
    <n v="15795"/>
  </r>
  <r>
    <x v="2"/>
    <n v="347391"/>
  </r>
  <r>
    <x v="0"/>
    <n v="137214"/>
  </r>
  <r>
    <x v="1"/>
    <n v="10397"/>
  </r>
  <r>
    <x v="2"/>
    <n v="487539"/>
  </r>
  <r>
    <x v="1"/>
    <n v="418748"/>
  </r>
  <r>
    <x v="1"/>
    <n v="119220"/>
  </r>
  <r>
    <x v="3"/>
    <n v="694841"/>
  </r>
  <r>
    <x v="0"/>
    <n v="1182840"/>
  </r>
  <r>
    <x v="3"/>
    <n v="673227"/>
  </r>
  <r>
    <x v="3"/>
    <n v="841432"/>
  </r>
  <r>
    <x v="0"/>
    <n v="93456"/>
  </r>
  <r>
    <x v="2"/>
    <n v="52152"/>
  </r>
  <r>
    <x v="2"/>
    <n v="1019303"/>
  </r>
  <r>
    <x v="1"/>
    <n v="105945"/>
  </r>
  <r>
    <x v="3"/>
    <n v="200487"/>
  </r>
  <r>
    <x v="3"/>
    <n v="218562"/>
  </r>
  <r>
    <x v="0"/>
    <n v="68928"/>
  </r>
  <r>
    <x v="2"/>
    <n v="107354"/>
  </r>
  <r>
    <x v="3"/>
    <n v="264680"/>
  </r>
  <r>
    <x v="1"/>
    <n v="103952"/>
  </r>
  <r>
    <x v="2"/>
    <n v="254165"/>
  </r>
  <r>
    <x v="2"/>
    <n v="500280"/>
  </r>
  <r>
    <x v="0"/>
    <n v="101907"/>
  </r>
  <r>
    <x v="3"/>
    <n v="121030"/>
  </r>
  <r>
    <x v="0"/>
    <n v="260117"/>
  </r>
  <r>
    <x v="1"/>
    <n v="90065"/>
  </r>
  <r>
    <x v="0"/>
    <n v="127428"/>
  </r>
  <r>
    <x v="3"/>
    <n v="76578"/>
  </r>
  <r>
    <x v="2"/>
    <n v="109422"/>
  </r>
  <r>
    <x v="3"/>
    <n v="339198"/>
  </r>
  <r>
    <x v="0"/>
    <n v="586080"/>
  </r>
  <r>
    <x v="3"/>
    <n v="129740"/>
  </r>
  <r>
    <x v="2"/>
    <n v="293958"/>
  </r>
  <r>
    <x v="2"/>
    <n v="601992"/>
  </r>
  <r>
    <x v="2"/>
    <n v="109576"/>
  </r>
  <r>
    <x v="0"/>
    <n v="225498"/>
  </r>
  <r>
    <x v="1"/>
    <n v="264948"/>
  </r>
  <r>
    <x v="2"/>
    <n v="290405"/>
  </r>
  <r>
    <x v="0"/>
    <n v="204335"/>
  </r>
  <r>
    <x v="0"/>
    <n v="63984"/>
  </r>
  <r>
    <x v="2"/>
    <n v="3486"/>
  </r>
  <r>
    <x v="3"/>
    <n v="667451"/>
  </r>
  <r>
    <x v="2"/>
    <n v="269784"/>
  </r>
  <r>
    <x v="1"/>
    <n v="410760"/>
  </r>
  <r>
    <x v="0"/>
    <n v="189848"/>
  </r>
  <r>
    <x v="0"/>
    <n v="76480"/>
  </r>
  <r>
    <x v="2"/>
    <n v="399238"/>
  </r>
  <r>
    <x v="3"/>
    <n v="95784"/>
  </r>
  <r>
    <x v="0"/>
    <n v="110682"/>
  </r>
  <r>
    <x v="1"/>
    <n v="228746"/>
  </r>
  <r>
    <x v="1"/>
    <n v="263280"/>
  </r>
  <r>
    <x v="0"/>
    <n v="581502"/>
  </r>
  <r>
    <x v="1"/>
    <n v="1033182"/>
  </r>
  <r>
    <x v="1"/>
    <n v="719616"/>
  </r>
  <r>
    <x v="1"/>
    <n v="106064"/>
  </r>
  <r>
    <x v="0"/>
    <n v="173192"/>
  </r>
  <r>
    <x v="1"/>
    <n v="264255"/>
  </r>
  <r>
    <x v="3"/>
    <n v="242794"/>
  </r>
  <r>
    <x v="3"/>
    <n v="373084"/>
  </r>
  <r>
    <x v="3"/>
    <n v="615150"/>
  </r>
  <r>
    <x v="0"/>
    <n v="334115"/>
  </r>
  <r>
    <x v="2"/>
    <n v="73932"/>
  </r>
  <r>
    <x v="1"/>
    <n v="221730"/>
  </r>
  <r>
    <x v="2"/>
    <n v="174741"/>
  </r>
  <r>
    <x v="3"/>
    <n v="66178"/>
  </r>
  <r>
    <x v="2"/>
    <n v="228688"/>
  </r>
  <r>
    <x v="2"/>
    <n v="50502"/>
  </r>
  <r>
    <x v="1"/>
    <n v="987192"/>
  </r>
  <r>
    <x v="0"/>
    <n v="170004"/>
  </r>
  <r>
    <x v="0"/>
    <n v="33330"/>
  </r>
  <r>
    <x v="2"/>
    <n v="631200"/>
  </r>
  <r>
    <x v="1"/>
    <n v="594633"/>
  </r>
  <r>
    <x v="1"/>
    <n v="57226"/>
  </r>
  <r>
    <x v="1"/>
    <n v="923989"/>
  </r>
  <r>
    <x v="2"/>
    <n v="860030"/>
  </r>
  <r>
    <x v="3"/>
    <n v="199000"/>
  </r>
  <r>
    <x v="3"/>
    <n v="113058"/>
  </r>
  <r>
    <x v="2"/>
    <n v="45387"/>
  </r>
  <r>
    <x v="0"/>
    <n v="81053"/>
  </r>
  <r>
    <x v="0"/>
    <n v="675519"/>
  </r>
  <r>
    <x v="2"/>
    <n v="268618"/>
  </r>
  <r>
    <x v="0"/>
    <n v="297276"/>
  </r>
  <r>
    <x v="3"/>
    <n v="245040"/>
  </r>
  <r>
    <x v="1"/>
    <n v="129143"/>
  </r>
  <r>
    <x v="1"/>
    <n v="116124"/>
  </r>
  <r>
    <x v="3"/>
    <n v="848448"/>
  </r>
  <r>
    <x v="3"/>
    <n v="44082"/>
  </r>
  <r>
    <x v="3"/>
    <n v="181020"/>
  </r>
  <r>
    <x v="1"/>
    <n v="324989"/>
  </r>
  <r>
    <x v="3"/>
    <n v="463668"/>
  </r>
  <r>
    <x v="2"/>
    <n v="94240"/>
  </r>
  <r>
    <x v="1"/>
    <n v="254475"/>
  </r>
  <r>
    <x v="1"/>
    <n v="850170"/>
  </r>
  <r>
    <x v="0"/>
    <n v="248654"/>
  </r>
  <r>
    <x v="1"/>
    <n v="48804"/>
  </r>
  <r>
    <x v="3"/>
    <n v="253035"/>
  </r>
  <r>
    <x v="2"/>
    <n v="950940"/>
  </r>
  <r>
    <x v="3"/>
    <n v="18815"/>
  </r>
  <r>
    <x v="1"/>
    <n v="696473"/>
  </r>
  <r>
    <x v="0"/>
    <n v="248080"/>
  </r>
  <r>
    <x v="2"/>
    <n v="86780"/>
  </r>
  <r>
    <x v="1"/>
    <n v="375324"/>
  </r>
  <r>
    <x v="1"/>
    <n v="512100"/>
  </r>
  <r>
    <x v="2"/>
    <n v="245825"/>
  </r>
  <r>
    <x v="1"/>
    <n v="34256"/>
  </r>
  <r>
    <x v="1"/>
    <n v="950004"/>
  </r>
  <r>
    <x v="3"/>
    <n v="108816"/>
  </r>
  <r>
    <x v="1"/>
    <n v="400288"/>
  </r>
  <r>
    <x v="2"/>
    <n v="5804"/>
  </r>
  <r>
    <x v="1"/>
    <n v="518323"/>
  </r>
  <r>
    <x v="2"/>
    <n v="134184"/>
  </r>
  <r>
    <x v="3"/>
    <n v="495252"/>
  </r>
  <r>
    <x v="1"/>
    <n v="61827"/>
  </r>
  <r>
    <x v="3"/>
    <n v="374144"/>
  </r>
  <r>
    <x v="3"/>
    <n v="126360"/>
  </r>
  <r>
    <x v="0"/>
    <n v="477711"/>
  </r>
  <r>
    <x v="0"/>
    <n v="351945"/>
  </r>
  <r>
    <x v="0"/>
    <n v="109575"/>
  </r>
  <r>
    <x v="3"/>
    <n v="167587"/>
  </r>
  <r>
    <x v="1"/>
    <n v="199824"/>
  </r>
  <r>
    <x v="0"/>
    <n v="46606"/>
  </r>
  <r>
    <x v="1"/>
    <n v="557840"/>
  </r>
  <r>
    <x v="2"/>
    <n v="129204"/>
  </r>
  <r>
    <x v="2"/>
    <n v="679294"/>
  </r>
  <r>
    <x v="1"/>
    <n v="538270"/>
  </r>
  <r>
    <x v="2"/>
    <n v="789444"/>
  </r>
  <r>
    <x v="1"/>
    <n v="19610"/>
  </r>
  <r>
    <x v="3"/>
    <n v="757104"/>
  </r>
  <r>
    <x v="2"/>
    <n v="237680"/>
  </r>
  <r>
    <x v="1"/>
    <n v="124688"/>
  </r>
  <r>
    <x v="0"/>
    <n v="27342"/>
  </r>
  <r>
    <x v="1"/>
    <n v="461980"/>
  </r>
  <r>
    <x v="2"/>
    <n v="640455"/>
  </r>
  <r>
    <x v="2"/>
    <n v="475670"/>
  </r>
  <r>
    <x v="3"/>
    <n v="197092"/>
  </r>
  <r>
    <x v="0"/>
    <n v="59500"/>
  </r>
  <r>
    <x v="0"/>
    <n v="149352"/>
  </r>
  <r>
    <x v="2"/>
    <n v="170904"/>
  </r>
  <r>
    <x v="2"/>
    <n v="48075"/>
  </r>
  <r>
    <x v="3"/>
    <n v="362712"/>
  </r>
  <r>
    <x v="3"/>
    <n v="574230"/>
  </r>
  <r>
    <x v="1"/>
    <n v="508312"/>
  </r>
  <r>
    <x v="3"/>
    <n v="533832"/>
  </r>
  <r>
    <x v="3"/>
    <n v="11508"/>
  </r>
  <r>
    <x v="3"/>
    <n v="15527"/>
  </r>
  <r>
    <x v="0"/>
    <n v="267920"/>
  </r>
  <r>
    <x v="1"/>
    <n v="113575"/>
  </r>
  <r>
    <x v="1"/>
    <n v="106976"/>
  </r>
  <r>
    <x v="2"/>
    <n v="18702"/>
  </r>
  <r>
    <x v="2"/>
    <n v="137937"/>
  </r>
  <r>
    <x v="3"/>
    <n v="11460"/>
  </r>
  <r>
    <x v="3"/>
    <n v="200412"/>
  </r>
  <r>
    <x v="0"/>
    <n v="29898"/>
  </r>
  <r>
    <x v="3"/>
    <n v="62784"/>
  </r>
  <r>
    <x v="1"/>
    <n v="1082639"/>
  </r>
  <r>
    <x v="2"/>
    <n v="131073"/>
  </r>
  <r>
    <x v="1"/>
    <n v="214980"/>
  </r>
  <r>
    <x v="0"/>
    <n v="889488"/>
  </r>
  <r>
    <x v="3"/>
    <n v="262672"/>
  </r>
  <r>
    <x v="0"/>
    <n v="329076"/>
  </r>
  <r>
    <x v="0"/>
    <n v="149464"/>
  </r>
  <r>
    <x v="0"/>
    <n v="527408"/>
  </r>
  <r>
    <x v="1"/>
    <n v="683028"/>
  </r>
  <r>
    <x v="3"/>
    <n v="455521"/>
  </r>
  <r>
    <x v="1"/>
    <n v="36003"/>
  </r>
  <r>
    <x v="3"/>
    <n v="424622"/>
  </r>
  <r>
    <x v="3"/>
    <n v="647416"/>
  </r>
  <r>
    <x v="0"/>
    <n v="53304"/>
  </r>
  <r>
    <x v="0"/>
    <n v="487296"/>
  </r>
  <r>
    <x v="0"/>
    <n v="973692"/>
  </r>
  <r>
    <x v="1"/>
    <n v="473391"/>
  </r>
  <r>
    <x v="3"/>
    <n v="125489"/>
  </r>
  <r>
    <x v="3"/>
    <n v="33754"/>
  </r>
  <r>
    <x v="3"/>
    <n v="930716"/>
  </r>
  <r>
    <x v="0"/>
    <n v="277191"/>
  </r>
  <r>
    <x v="1"/>
    <n v="470782"/>
  </r>
  <r>
    <x v="1"/>
    <n v="66368"/>
  </r>
  <r>
    <x v="1"/>
    <n v="1122691"/>
  </r>
  <r>
    <x v="2"/>
    <n v="829935"/>
  </r>
  <r>
    <x v="1"/>
    <n v="64174"/>
  </r>
  <r>
    <x v="2"/>
    <n v="96368"/>
  </r>
  <r>
    <x v="1"/>
    <n v="721440"/>
  </r>
  <r>
    <x v="3"/>
    <n v="146520"/>
  </r>
  <r>
    <x v="3"/>
    <n v="404396"/>
  </r>
  <r>
    <x v="0"/>
    <n v="139660"/>
  </r>
  <r>
    <x v="1"/>
    <n v="183000"/>
  </r>
  <r>
    <x v="1"/>
    <n v="9464"/>
  </r>
  <r>
    <x v="2"/>
    <n v="668743"/>
  </r>
  <r>
    <x v="2"/>
    <n v="23592"/>
  </r>
  <r>
    <x v="0"/>
    <n v="336336"/>
  </r>
  <r>
    <x v="1"/>
    <n v="637963"/>
  </r>
  <r>
    <x v="3"/>
    <n v="443235"/>
  </r>
  <r>
    <x v="3"/>
    <n v="63972"/>
  </r>
  <r>
    <x v="0"/>
    <n v="490960"/>
  </r>
  <r>
    <x v="0"/>
    <n v="275989"/>
  </r>
  <r>
    <x v="0"/>
    <n v="246850"/>
  </r>
  <r>
    <x v="2"/>
    <n v="226964"/>
  </r>
  <r>
    <x v="3"/>
    <n v="130165"/>
  </r>
  <r>
    <x v="3"/>
    <n v="579633"/>
  </r>
  <r>
    <x v="1"/>
    <n v="96152"/>
  </r>
  <r>
    <x v="2"/>
    <n v="529310"/>
  </r>
  <r>
    <x v="2"/>
    <n v="95193"/>
  </r>
  <r>
    <x v="1"/>
    <n v="52782"/>
  </r>
  <r>
    <x v="0"/>
    <n v="79865"/>
  </r>
  <r>
    <x v="0"/>
    <n v="45924"/>
  </r>
  <r>
    <x v="0"/>
    <n v="441440"/>
  </r>
  <r>
    <x v="3"/>
    <n v="694785"/>
  </r>
  <r>
    <x v="1"/>
    <n v="16450"/>
  </r>
  <r>
    <x v="1"/>
    <n v="247563"/>
  </r>
  <r>
    <x v="1"/>
    <n v="427630"/>
  </r>
  <r>
    <x v="2"/>
    <n v="419556"/>
  </r>
  <r>
    <x v="2"/>
    <n v="50337"/>
  </r>
  <r>
    <x v="2"/>
    <n v="52154"/>
  </r>
  <r>
    <x v="0"/>
    <n v="56643"/>
  </r>
  <r>
    <x v="2"/>
    <n v="199318"/>
  </r>
  <r>
    <x v="2"/>
    <n v="680190"/>
  </r>
  <r>
    <x v="3"/>
    <n v="207975"/>
  </r>
  <r>
    <x v="1"/>
    <n v="31291"/>
  </r>
  <r>
    <x v="1"/>
    <n v="157024"/>
  </r>
  <r>
    <x v="1"/>
    <n v="261355"/>
  </r>
  <r>
    <x v="2"/>
    <n v="30476"/>
  </r>
  <r>
    <x v="1"/>
    <n v="552430"/>
  </r>
  <r>
    <x v="2"/>
    <n v="11175"/>
  </r>
  <r>
    <x v="2"/>
    <n v="16478"/>
  </r>
  <r>
    <x v="3"/>
    <n v="139576"/>
  </r>
  <r>
    <x v="0"/>
    <n v="49758"/>
  </r>
  <r>
    <x v="2"/>
    <n v="65120"/>
  </r>
  <r>
    <x v="2"/>
    <n v="579615"/>
  </r>
  <r>
    <x v="1"/>
    <n v="76617"/>
  </r>
  <r>
    <x v="3"/>
    <n v="55916"/>
  </r>
  <r>
    <x v="3"/>
    <n v="18489"/>
  </r>
  <r>
    <x v="0"/>
    <n v="653172"/>
  </r>
  <r>
    <x v="2"/>
    <n v="317576"/>
  </r>
  <r>
    <x v="3"/>
    <n v="443807"/>
  </r>
  <r>
    <x v="2"/>
    <n v="147183"/>
  </r>
  <r>
    <x v="1"/>
    <n v="62770"/>
  </r>
  <r>
    <x v="2"/>
    <n v="116904"/>
  </r>
  <r>
    <x v="1"/>
    <n v="502208"/>
  </r>
  <r>
    <x v="0"/>
    <n v="886665"/>
  </r>
  <r>
    <x v="0"/>
    <n v="314037"/>
  </r>
  <r>
    <x v="2"/>
    <n v="124380"/>
  </r>
  <r>
    <x v="3"/>
    <n v="29992"/>
  </r>
  <r>
    <x v="3"/>
    <n v="628602"/>
  </r>
  <r>
    <x v="0"/>
    <n v="65170"/>
  </r>
  <r>
    <x v="1"/>
    <n v="813664"/>
  </r>
  <r>
    <x v="0"/>
    <n v="462984"/>
  </r>
  <r>
    <x v="2"/>
    <n v="67797"/>
  </r>
  <r>
    <x v="1"/>
    <n v="156960"/>
  </r>
  <r>
    <x v="3"/>
    <n v="339414"/>
  </r>
  <r>
    <x v="3"/>
    <n v="35928"/>
  </r>
  <r>
    <x v="2"/>
    <n v="616662"/>
  </r>
  <r>
    <x v="1"/>
    <n v="306670"/>
  </r>
  <r>
    <x v="3"/>
    <n v="508079"/>
  </r>
  <r>
    <x v="3"/>
    <n v="436600"/>
  </r>
  <r>
    <x v="1"/>
    <n v="63584"/>
  </r>
  <r>
    <x v="3"/>
    <n v="585530"/>
  </r>
  <r>
    <x v="0"/>
    <n v="354958"/>
  </r>
  <r>
    <x v="1"/>
    <n v="4508"/>
  </r>
  <r>
    <x v="2"/>
    <n v="59161"/>
  </r>
  <r>
    <x v="1"/>
    <n v="834368"/>
  </r>
  <r>
    <x v="0"/>
    <n v="179360"/>
  </r>
  <r>
    <x v="0"/>
    <n v="202464"/>
  </r>
  <r>
    <x v="0"/>
    <n v="221914"/>
  </r>
  <r>
    <x v="3"/>
    <n v="424206"/>
  </r>
  <r>
    <x v="2"/>
    <n v="111504"/>
  </r>
  <r>
    <x v="2"/>
    <n v="45784"/>
  </r>
  <r>
    <x v="3"/>
    <n v="11370"/>
  </r>
  <r>
    <x v="2"/>
    <n v="666216"/>
  </r>
  <r>
    <x v="2"/>
    <n v="295685"/>
  </r>
  <r>
    <x v="0"/>
    <n v="260154"/>
  </r>
  <r>
    <x v="1"/>
    <n v="157542"/>
  </r>
  <r>
    <x v="3"/>
    <n v="191752"/>
  </r>
  <r>
    <x v="0"/>
    <n v="27902"/>
  </r>
  <r>
    <x v="3"/>
    <n v="266120"/>
  </r>
  <r>
    <x v="2"/>
    <n v="515300"/>
  </r>
  <r>
    <x v="0"/>
    <n v="256120"/>
  </r>
  <r>
    <x v="0"/>
    <n v="396136"/>
  </r>
  <r>
    <x v="0"/>
    <n v="560053"/>
  </r>
  <r>
    <x v="2"/>
    <n v="44338"/>
  </r>
  <r>
    <x v="2"/>
    <n v="41472"/>
  </r>
  <r>
    <x v="1"/>
    <n v="21448"/>
  </r>
  <r>
    <x v="1"/>
    <n v="6471"/>
  </r>
  <r>
    <x v="2"/>
    <n v="55375"/>
  </r>
  <r>
    <x v="3"/>
    <n v="188394"/>
  </r>
  <r>
    <x v="2"/>
    <n v="113245"/>
  </r>
  <r>
    <x v="1"/>
    <n v="98205"/>
  </r>
  <r>
    <x v="3"/>
    <n v="747707"/>
  </r>
  <r>
    <x v="0"/>
    <n v="220070"/>
  </r>
  <r>
    <x v="2"/>
    <n v="475982"/>
  </r>
  <r>
    <x v="2"/>
    <n v="28260"/>
  </r>
  <r>
    <x v="1"/>
    <n v="724472"/>
  </r>
  <r>
    <x v="3"/>
    <n v="14600"/>
  </r>
  <r>
    <x v="2"/>
    <n v="116127"/>
  </r>
  <r>
    <x v="3"/>
    <n v="454402"/>
  </r>
  <r>
    <x v="2"/>
    <n v="9569"/>
  </r>
  <r>
    <x v="0"/>
    <n v="642538"/>
  </r>
  <r>
    <x v="3"/>
    <n v="243630"/>
  </r>
  <r>
    <x v="2"/>
    <n v="331128"/>
  </r>
  <r>
    <x v="2"/>
    <n v="557445"/>
  </r>
  <r>
    <x v="1"/>
    <n v="351180"/>
  </r>
  <r>
    <x v="0"/>
    <n v="171315"/>
  </r>
  <r>
    <x v="1"/>
    <n v="222935"/>
  </r>
  <r>
    <x v="1"/>
    <n v="282030"/>
  </r>
  <r>
    <x v="0"/>
    <n v="697404"/>
  </r>
  <r>
    <x v="3"/>
    <n v="150350"/>
  </r>
  <r>
    <x v="0"/>
    <n v="124900"/>
  </r>
  <r>
    <x v="1"/>
    <n v="688864"/>
  </r>
  <r>
    <x v="1"/>
    <n v="161857"/>
  </r>
  <r>
    <x v="3"/>
    <n v="464835"/>
  </r>
  <r>
    <x v="1"/>
    <n v="253011"/>
  </r>
  <r>
    <x v="0"/>
    <n v="367860"/>
  </r>
  <r>
    <x v="1"/>
    <n v="177259"/>
  </r>
  <r>
    <x v="1"/>
    <n v="171564"/>
  </r>
  <r>
    <x v="1"/>
    <n v="736100"/>
  </r>
  <r>
    <x v="0"/>
    <n v="424208"/>
  </r>
  <r>
    <x v="0"/>
    <n v="13926"/>
  </r>
  <r>
    <x v="2"/>
    <n v="186660"/>
  </r>
  <r>
    <x v="2"/>
    <n v="649154"/>
  </r>
  <r>
    <x v="3"/>
    <n v="122955"/>
  </r>
  <r>
    <x v="0"/>
    <n v="218757"/>
  </r>
  <r>
    <x v="2"/>
    <n v="51090"/>
  </r>
  <r>
    <x v="3"/>
    <n v="517635"/>
  </r>
  <r>
    <x v="0"/>
    <n v="29088"/>
  </r>
  <r>
    <x v="0"/>
    <n v="172860"/>
  </r>
  <r>
    <x v="2"/>
    <n v="351460"/>
  </r>
  <r>
    <x v="2"/>
    <n v="29184"/>
  </r>
  <r>
    <x v="1"/>
    <n v="135660"/>
  </r>
  <r>
    <x v="2"/>
    <n v="153027"/>
  </r>
  <r>
    <x v="2"/>
    <n v="371360"/>
  </r>
  <r>
    <x v="0"/>
    <n v="125377"/>
  </r>
  <r>
    <x v="3"/>
    <n v="561355"/>
  </r>
  <r>
    <x v="3"/>
    <n v="350306"/>
  </r>
  <r>
    <x v="2"/>
    <n v="204347"/>
  </r>
  <r>
    <x v="3"/>
    <n v="200608"/>
  </r>
  <r>
    <x v="1"/>
    <n v="139824"/>
  </r>
  <r>
    <x v="3"/>
    <n v="648975"/>
  </r>
  <r>
    <x v="0"/>
    <n v="23250"/>
  </r>
  <r>
    <x v="2"/>
    <n v="445113"/>
  </r>
  <r>
    <x v="0"/>
    <n v="380094"/>
  </r>
  <r>
    <x v="2"/>
    <n v="565185"/>
  </r>
  <r>
    <x v="3"/>
    <n v="970578"/>
  </r>
  <r>
    <x v="3"/>
    <n v="464760"/>
  </r>
  <r>
    <x v="2"/>
    <n v="118144"/>
  </r>
  <r>
    <x v="2"/>
    <n v="728195"/>
  </r>
  <r>
    <x v="3"/>
    <n v="916215"/>
  </r>
  <r>
    <x v="0"/>
    <n v="529368"/>
  </r>
  <r>
    <x v="0"/>
    <n v="59189"/>
  </r>
  <r>
    <x v="3"/>
    <n v="626924"/>
  </r>
  <r>
    <x v="0"/>
    <n v="249424"/>
  </r>
  <r>
    <x v="2"/>
    <n v="128744"/>
  </r>
  <r>
    <x v="1"/>
    <n v="111404"/>
  </r>
  <r>
    <x v="0"/>
    <n v="314584"/>
  </r>
  <r>
    <x v="0"/>
    <n v="926128"/>
  </r>
  <r>
    <x v="3"/>
    <n v="667109"/>
  </r>
  <r>
    <x v="0"/>
    <n v="87944"/>
  </r>
  <r>
    <x v="1"/>
    <n v="762166"/>
  </r>
  <r>
    <x v="2"/>
    <n v="89415"/>
  </r>
  <r>
    <x v="3"/>
    <n v="508915"/>
  </r>
  <r>
    <x v="3"/>
    <n v="38000"/>
  </r>
  <r>
    <x v="0"/>
    <n v="246950"/>
  </r>
  <r>
    <x v="2"/>
    <n v="148630"/>
  </r>
  <r>
    <x v="3"/>
    <n v="83928"/>
  </r>
  <r>
    <x v="0"/>
    <n v="709291"/>
  </r>
  <r>
    <x v="3"/>
    <n v="207630"/>
  </r>
  <r>
    <x v="0"/>
    <n v="360019"/>
  </r>
  <r>
    <x v="3"/>
    <n v="99390"/>
  </r>
  <r>
    <x v="3"/>
    <n v="287130"/>
  </r>
  <r>
    <x v="0"/>
    <n v="398928"/>
  </r>
  <r>
    <x v="3"/>
    <n v="485469"/>
  </r>
  <r>
    <x v="3"/>
    <n v="402828"/>
  </r>
  <r>
    <x v="1"/>
    <n v="222155"/>
  </r>
  <r>
    <x v="1"/>
    <n v="148248"/>
  </r>
  <r>
    <x v="3"/>
    <n v="131140"/>
  </r>
  <r>
    <x v="1"/>
    <n v="265050"/>
  </r>
  <r>
    <x v="1"/>
    <n v="180756"/>
  </r>
  <r>
    <x v="3"/>
    <n v="39906"/>
  </r>
  <r>
    <x v="1"/>
    <n v="119640"/>
  </r>
  <r>
    <x v="0"/>
    <n v="50846"/>
  </r>
  <r>
    <x v="1"/>
    <n v="80160"/>
  </r>
  <r>
    <x v="3"/>
    <n v="792484"/>
  </r>
  <r>
    <x v="2"/>
    <n v="327954"/>
  </r>
  <r>
    <x v="0"/>
    <n v="390325"/>
  </r>
  <r>
    <x v="3"/>
    <n v="982638"/>
  </r>
  <r>
    <x v="2"/>
    <n v="54960"/>
  </r>
  <r>
    <x v="3"/>
    <n v="144340"/>
  </r>
  <r>
    <x v="3"/>
    <n v="614664"/>
  </r>
  <r>
    <x v="1"/>
    <n v="167684"/>
  </r>
  <r>
    <x v="1"/>
    <n v="12246"/>
  </r>
  <r>
    <x v="1"/>
    <n v="354060"/>
  </r>
  <r>
    <x v="2"/>
    <n v="575185"/>
  </r>
  <r>
    <x v="2"/>
    <n v="1080454"/>
  </r>
  <r>
    <x v="0"/>
    <n v="66189"/>
  </r>
  <r>
    <x v="0"/>
    <n v="601425"/>
  </r>
  <r>
    <x v="3"/>
    <n v="354213"/>
  </r>
  <r>
    <x v="0"/>
    <n v="135243"/>
  </r>
  <r>
    <x v="2"/>
    <n v="39347"/>
  </r>
  <r>
    <x v="2"/>
    <n v="14380"/>
  </r>
  <r>
    <x v="0"/>
    <n v="113860"/>
  </r>
  <r>
    <x v="1"/>
    <n v="658720"/>
  </r>
  <r>
    <x v="1"/>
    <n v="118083"/>
  </r>
  <r>
    <x v="2"/>
    <n v="154910"/>
  </r>
  <r>
    <x v="0"/>
    <n v="354612"/>
  </r>
  <r>
    <x v="0"/>
    <n v="118431"/>
  </r>
  <r>
    <x v="2"/>
    <n v="284512"/>
  </r>
  <r>
    <x v="0"/>
    <n v="78960"/>
  </r>
  <r>
    <x v="3"/>
    <n v="147396"/>
  </r>
  <r>
    <x v="1"/>
    <n v="115210"/>
  </r>
  <r>
    <x v="1"/>
    <n v="450576"/>
  </r>
  <r>
    <x v="1"/>
    <n v="749189"/>
  </r>
  <r>
    <x v="3"/>
    <n v="130872"/>
  </r>
  <r>
    <x v="1"/>
    <n v="496296"/>
  </r>
  <r>
    <x v="0"/>
    <n v="171144"/>
  </r>
  <r>
    <x v="2"/>
    <n v="337363"/>
  </r>
  <r>
    <x v="3"/>
    <n v="104206"/>
  </r>
  <r>
    <x v="1"/>
    <n v="618982"/>
  </r>
  <r>
    <x v="0"/>
    <n v="555570"/>
  </r>
  <r>
    <x v="0"/>
    <n v="845184"/>
  </r>
  <r>
    <x v="3"/>
    <n v="40621"/>
  </r>
  <r>
    <x v="3"/>
    <n v="28223"/>
  </r>
  <r>
    <x v="3"/>
    <n v="36294"/>
  </r>
  <r>
    <x v="2"/>
    <n v="133830"/>
  </r>
  <r>
    <x v="0"/>
    <n v="10668"/>
  </r>
  <r>
    <x v="0"/>
    <n v="143322"/>
  </r>
  <r>
    <x v="2"/>
    <n v="581592"/>
  </r>
  <r>
    <x v="3"/>
    <n v="261512"/>
  </r>
  <r>
    <x v="1"/>
    <n v="14229"/>
  </r>
  <r>
    <x v="0"/>
    <n v="175616"/>
  </r>
  <r>
    <x v="0"/>
    <n v="344233"/>
  </r>
  <r>
    <x v="2"/>
    <n v="13402"/>
  </r>
  <r>
    <x v="0"/>
    <n v="84732"/>
  </r>
  <r>
    <x v="2"/>
    <n v="47304"/>
  </r>
  <r>
    <x v="2"/>
    <n v="821904"/>
  </r>
  <r>
    <x v="1"/>
    <n v="377902"/>
  </r>
  <r>
    <x v="3"/>
    <n v="473310"/>
  </r>
  <r>
    <x v="2"/>
    <n v="486109"/>
  </r>
  <r>
    <x v="2"/>
    <n v="259893"/>
  </r>
  <r>
    <x v="3"/>
    <n v="489668"/>
  </r>
  <r>
    <x v="3"/>
    <n v="388680"/>
  </r>
  <r>
    <x v="3"/>
    <n v="1119280"/>
  </r>
  <r>
    <x v="2"/>
    <n v="191156"/>
  </r>
  <r>
    <x v="0"/>
    <n v="11348"/>
  </r>
  <r>
    <x v="1"/>
    <n v="121317"/>
  </r>
  <r>
    <x v="1"/>
    <n v="290694"/>
  </r>
  <r>
    <x v="1"/>
    <n v="900160"/>
  </r>
  <r>
    <x v="1"/>
    <n v="297150"/>
  </r>
  <r>
    <x v="3"/>
    <n v="275778"/>
  </r>
  <r>
    <x v="2"/>
    <n v="662560"/>
  </r>
  <r>
    <x v="3"/>
    <n v="205161"/>
  </r>
  <r>
    <x v="0"/>
    <n v="25158"/>
  </r>
  <r>
    <x v="2"/>
    <n v="631080"/>
  </r>
  <r>
    <x v="3"/>
    <n v="45474"/>
  </r>
  <r>
    <x v="1"/>
    <n v="84392"/>
  </r>
  <r>
    <x v="2"/>
    <n v="662304"/>
  </r>
  <r>
    <x v="2"/>
    <n v="427548"/>
  </r>
  <r>
    <x v="3"/>
    <n v="51980"/>
  </r>
  <r>
    <x v="1"/>
    <n v="14120"/>
  </r>
  <r>
    <x v="2"/>
    <n v="651831"/>
  </r>
  <r>
    <x v="0"/>
    <n v="208818"/>
  </r>
  <r>
    <x v="1"/>
    <n v="148070"/>
  </r>
  <r>
    <x v="3"/>
    <n v="184795"/>
  </r>
  <r>
    <x v="3"/>
    <n v="207620"/>
  </r>
  <r>
    <x v="0"/>
    <n v="614916"/>
  </r>
  <r>
    <x v="0"/>
    <n v="1041300"/>
  </r>
  <r>
    <x v="0"/>
    <n v="69069"/>
  </r>
  <r>
    <x v="1"/>
    <n v="51104"/>
  </r>
  <r>
    <x v="2"/>
    <n v="150038"/>
  </r>
  <r>
    <x v="0"/>
    <n v="768280"/>
  </r>
  <r>
    <x v="2"/>
    <n v="252119"/>
  </r>
  <r>
    <x v="0"/>
    <n v="415908"/>
  </r>
  <r>
    <x v="0"/>
    <n v="78552"/>
  </r>
  <r>
    <x v="3"/>
    <n v="195377"/>
  </r>
  <r>
    <x v="3"/>
    <n v="354078"/>
  </r>
  <r>
    <x v="0"/>
    <n v="620058"/>
  </r>
  <r>
    <x v="0"/>
    <n v="570000"/>
  </r>
  <r>
    <x v="1"/>
    <n v="455004"/>
  </r>
  <r>
    <x v="0"/>
    <n v="292864"/>
  </r>
  <r>
    <x v="1"/>
    <n v="100800"/>
  </r>
  <r>
    <x v="3"/>
    <n v="364252"/>
  </r>
  <r>
    <x v="1"/>
    <n v="357940"/>
  </r>
  <r>
    <x v="1"/>
    <n v="150492"/>
  </r>
  <r>
    <x v="3"/>
    <n v="684068"/>
  </r>
  <r>
    <x v="0"/>
    <n v="1006411"/>
  </r>
  <r>
    <x v="3"/>
    <n v="165662"/>
  </r>
  <r>
    <x v="0"/>
    <n v="237786"/>
  </r>
  <r>
    <x v="1"/>
    <n v="377498"/>
  </r>
  <r>
    <x v="3"/>
    <n v="458238"/>
  </r>
  <r>
    <x v="2"/>
    <n v="326172"/>
  </r>
  <r>
    <x v="2"/>
    <n v="23760"/>
  </r>
  <r>
    <x v="0"/>
    <n v="57200"/>
  </r>
  <r>
    <x v="1"/>
    <n v="72546"/>
  </r>
  <r>
    <x v="1"/>
    <n v="75807"/>
  </r>
  <r>
    <x v="3"/>
    <n v="216636"/>
  </r>
  <r>
    <x v="3"/>
    <n v="20505"/>
  </r>
  <r>
    <x v="2"/>
    <n v="954144"/>
  </r>
  <r>
    <x v="2"/>
    <n v="72150"/>
  </r>
  <r>
    <x v="1"/>
    <n v="105768"/>
  </r>
  <r>
    <x v="1"/>
    <n v="213776"/>
  </r>
  <r>
    <x v="1"/>
    <n v="48516"/>
  </r>
  <r>
    <x v="0"/>
    <n v="97572"/>
  </r>
  <r>
    <x v="3"/>
    <n v="74784"/>
  </r>
  <r>
    <x v="1"/>
    <n v="815252"/>
  </r>
  <r>
    <x v="2"/>
    <n v="1003248"/>
  </r>
  <r>
    <x v="3"/>
    <n v="1084140"/>
  </r>
  <r>
    <x v="2"/>
    <n v="191304"/>
  </r>
  <r>
    <x v="1"/>
    <n v="471296"/>
  </r>
  <r>
    <x v="2"/>
    <n v="1009885"/>
  </r>
  <r>
    <x v="1"/>
    <n v="742360"/>
  </r>
  <r>
    <x v="1"/>
    <n v="429020"/>
  </r>
  <r>
    <x v="1"/>
    <n v="713160"/>
  </r>
  <r>
    <x v="3"/>
    <n v="255960"/>
  </r>
  <r>
    <x v="1"/>
    <n v="311838"/>
  </r>
  <r>
    <x v="3"/>
    <n v="74973"/>
  </r>
  <r>
    <x v="3"/>
    <n v="464644"/>
  </r>
  <r>
    <x v="3"/>
    <n v="51444"/>
  </r>
  <r>
    <x v="1"/>
    <n v="207812"/>
  </r>
  <r>
    <x v="0"/>
    <n v="80956"/>
  </r>
  <r>
    <x v="1"/>
    <n v="504977"/>
  </r>
  <r>
    <x v="2"/>
    <n v="966600"/>
  </r>
  <r>
    <x v="1"/>
    <n v="112904"/>
  </r>
  <r>
    <x v="0"/>
    <n v="267427"/>
  </r>
  <r>
    <x v="1"/>
    <n v="100916"/>
  </r>
  <r>
    <x v="3"/>
    <n v="20852"/>
  </r>
  <r>
    <x v="3"/>
    <n v="77584"/>
  </r>
  <r>
    <x v="2"/>
    <n v="217628"/>
  </r>
  <r>
    <x v="2"/>
    <n v="474844"/>
  </r>
  <r>
    <x v="3"/>
    <n v="295229"/>
  </r>
  <r>
    <x v="3"/>
    <n v="510208"/>
  </r>
  <r>
    <x v="0"/>
    <n v="183931"/>
  </r>
  <r>
    <x v="0"/>
    <n v="366024"/>
  </r>
  <r>
    <x v="3"/>
    <n v="1024128"/>
  </r>
  <r>
    <x v="2"/>
    <n v="208560"/>
  </r>
  <r>
    <x v="1"/>
    <n v="78924"/>
  </r>
  <r>
    <x v="2"/>
    <n v="726444"/>
  </r>
  <r>
    <x v="0"/>
    <n v="116896"/>
  </r>
  <r>
    <x v="0"/>
    <n v="176454"/>
  </r>
  <r>
    <x v="3"/>
    <n v="332750"/>
  </r>
  <r>
    <x v="0"/>
    <n v="98217"/>
  </r>
  <r>
    <x v="3"/>
    <n v="203448"/>
  </r>
  <r>
    <x v="1"/>
    <n v="64560"/>
  </r>
  <r>
    <x v="2"/>
    <n v="402306"/>
  </r>
  <r>
    <x v="0"/>
    <n v="175335"/>
  </r>
  <r>
    <x v="3"/>
    <n v="116879"/>
  </r>
  <r>
    <x v="2"/>
    <n v="706144"/>
  </r>
  <r>
    <x v="3"/>
    <n v="321069"/>
  </r>
  <r>
    <x v="2"/>
    <n v="177420"/>
  </r>
  <r>
    <x v="2"/>
    <n v="180540"/>
  </r>
  <r>
    <x v="2"/>
    <n v="554596"/>
  </r>
  <r>
    <x v="0"/>
    <n v="16262"/>
  </r>
  <r>
    <x v="0"/>
    <n v="16884"/>
  </r>
  <r>
    <x v="1"/>
    <n v="655551"/>
  </r>
  <r>
    <x v="3"/>
    <n v="804510"/>
  </r>
  <r>
    <x v="0"/>
    <n v="319140"/>
  </r>
  <r>
    <x v="2"/>
    <n v="841014"/>
  </r>
  <r>
    <x v="1"/>
    <n v="72060"/>
  </r>
  <r>
    <x v="3"/>
    <n v="399960"/>
  </r>
  <r>
    <x v="3"/>
    <n v="41439"/>
  </r>
  <r>
    <x v="0"/>
    <n v="129751"/>
  </r>
  <r>
    <x v="3"/>
    <n v="455499"/>
  </r>
  <r>
    <x v="1"/>
    <n v="15762"/>
  </r>
  <r>
    <x v="0"/>
    <n v="467412"/>
  </r>
  <r>
    <x v="0"/>
    <n v="531652"/>
  </r>
  <r>
    <x v="3"/>
    <n v="362133"/>
  </r>
  <r>
    <x v="3"/>
    <n v="30436"/>
  </r>
  <r>
    <x v="1"/>
    <n v="141525"/>
  </r>
  <r>
    <x v="3"/>
    <n v="559308"/>
  </r>
  <r>
    <x v="2"/>
    <n v="16401"/>
  </r>
  <r>
    <x v="1"/>
    <n v="124173"/>
  </r>
  <r>
    <x v="0"/>
    <n v="163224"/>
  </r>
  <r>
    <x v="1"/>
    <n v="207315"/>
  </r>
  <r>
    <x v="3"/>
    <n v="1073215"/>
  </r>
  <r>
    <x v="0"/>
    <n v="645638"/>
  </r>
  <r>
    <x v="2"/>
    <n v="315931"/>
  </r>
  <r>
    <x v="3"/>
    <n v="295020"/>
  </r>
  <r>
    <x v="1"/>
    <n v="228024"/>
  </r>
  <r>
    <x v="2"/>
    <n v="608880"/>
  </r>
  <r>
    <x v="1"/>
    <n v="356760"/>
  </r>
  <r>
    <x v="2"/>
    <n v="214640"/>
  </r>
  <r>
    <x v="2"/>
    <n v="32322"/>
  </r>
  <r>
    <x v="2"/>
    <n v="692832"/>
  </r>
  <r>
    <x v="0"/>
    <n v="557280"/>
  </r>
  <r>
    <x v="1"/>
    <n v="56756"/>
  </r>
  <r>
    <x v="1"/>
    <n v="478115"/>
  </r>
  <r>
    <x v="0"/>
    <n v="473640"/>
  </r>
  <r>
    <x v="0"/>
    <n v="82985"/>
  </r>
  <r>
    <x v="0"/>
    <n v="77502"/>
  </r>
  <r>
    <x v="0"/>
    <n v="45640"/>
  </r>
  <r>
    <x v="2"/>
    <n v="455565"/>
  </r>
  <r>
    <x v="2"/>
    <n v="158323"/>
  </r>
  <r>
    <x v="3"/>
    <n v="971460"/>
  </r>
  <r>
    <x v="0"/>
    <n v="233520"/>
  </r>
  <r>
    <x v="2"/>
    <n v="300048"/>
  </r>
  <r>
    <x v="2"/>
    <n v="15018"/>
  </r>
  <r>
    <x v="0"/>
    <n v="333108"/>
  </r>
  <r>
    <x v="2"/>
    <n v="326370"/>
  </r>
  <r>
    <x v="3"/>
    <n v="717808"/>
  </r>
  <r>
    <x v="3"/>
    <n v="279631"/>
  </r>
  <r>
    <x v="0"/>
    <n v="111007"/>
  </r>
  <r>
    <x v="0"/>
    <n v="250910"/>
  </r>
  <r>
    <x v="0"/>
    <n v="78444"/>
  </r>
  <r>
    <x v="0"/>
    <n v="303114"/>
  </r>
  <r>
    <x v="2"/>
    <n v="244000"/>
  </r>
  <r>
    <x v="1"/>
    <n v="50462"/>
  </r>
  <r>
    <x v="3"/>
    <n v="650232"/>
  </r>
  <r>
    <x v="2"/>
    <n v="220792"/>
  </r>
  <r>
    <x v="0"/>
    <n v="270320"/>
  </r>
  <r>
    <x v="0"/>
    <n v="366448"/>
  </r>
  <r>
    <x v="0"/>
    <n v="272802"/>
  </r>
  <r>
    <x v="1"/>
    <n v="20556"/>
  </r>
  <r>
    <x v="0"/>
    <n v="304716"/>
  </r>
  <r>
    <x v="3"/>
    <n v="331464"/>
  </r>
  <r>
    <x v="1"/>
    <n v="103770"/>
  </r>
  <r>
    <x v="2"/>
    <n v="360932"/>
  </r>
  <r>
    <x v="2"/>
    <n v="281052"/>
  </r>
  <r>
    <x v="2"/>
    <n v="106824"/>
  </r>
  <r>
    <x v="0"/>
    <n v="145445"/>
  </r>
  <r>
    <x v="0"/>
    <n v="121660"/>
  </r>
  <r>
    <x v="1"/>
    <n v="450466"/>
  </r>
  <r>
    <x v="2"/>
    <n v="115906"/>
  </r>
  <r>
    <x v="3"/>
    <n v="601560"/>
  </r>
  <r>
    <x v="3"/>
    <n v="538859"/>
  </r>
  <r>
    <x v="2"/>
    <n v="215160"/>
  </r>
  <r>
    <x v="1"/>
    <n v="305592"/>
  </r>
  <r>
    <x v="0"/>
    <n v="126293"/>
  </r>
  <r>
    <x v="0"/>
    <n v="628480"/>
  </r>
  <r>
    <x v="0"/>
    <n v="26058"/>
  </r>
  <r>
    <x v="1"/>
    <n v="34752"/>
  </r>
  <r>
    <x v="3"/>
    <n v="162054"/>
  </r>
  <r>
    <x v="2"/>
    <n v="608292"/>
  </r>
  <r>
    <x v="0"/>
    <n v="255897"/>
  </r>
  <r>
    <x v="3"/>
    <n v="419220"/>
  </r>
  <r>
    <x v="3"/>
    <n v="46936"/>
  </r>
  <r>
    <x v="0"/>
    <n v="15175"/>
  </r>
  <r>
    <x v="3"/>
    <n v="711660"/>
  </r>
  <r>
    <x v="2"/>
    <n v="180136"/>
  </r>
  <r>
    <x v="2"/>
    <n v="595452"/>
  </r>
  <r>
    <x v="3"/>
    <n v="336070"/>
  </r>
  <r>
    <x v="3"/>
    <n v="335688"/>
  </r>
  <r>
    <x v="1"/>
    <n v="107430"/>
  </r>
  <r>
    <x v="0"/>
    <n v="537984"/>
  </r>
  <r>
    <x v="2"/>
    <n v="194628"/>
  </r>
  <r>
    <x v="2"/>
    <n v="679380"/>
  </r>
  <r>
    <x v="0"/>
    <n v="343970"/>
  </r>
  <r>
    <x v="2"/>
    <n v="750285"/>
  </r>
  <r>
    <x v="3"/>
    <n v="424120"/>
  </r>
  <r>
    <x v="3"/>
    <n v="1137416"/>
  </r>
  <r>
    <x v="3"/>
    <n v="454698"/>
  </r>
  <r>
    <x v="3"/>
    <n v="547330"/>
  </r>
  <r>
    <x v="2"/>
    <n v="759984"/>
  </r>
  <r>
    <x v="3"/>
    <n v="1070520"/>
  </r>
  <r>
    <x v="1"/>
    <n v="420852"/>
  </r>
  <r>
    <x v="2"/>
    <n v="287555"/>
  </r>
  <r>
    <x v="2"/>
    <n v="68742"/>
  </r>
  <r>
    <x v="3"/>
    <n v="77749"/>
  </r>
  <r>
    <x v="1"/>
    <n v="790400"/>
  </r>
  <r>
    <x v="3"/>
    <n v="1166440"/>
  </r>
  <r>
    <x v="1"/>
    <n v="907160"/>
  </r>
  <r>
    <x v="3"/>
    <n v="666198"/>
  </r>
  <r>
    <x v="1"/>
    <n v="306014"/>
  </r>
  <r>
    <x v="1"/>
    <n v="413910"/>
  </r>
  <r>
    <x v="1"/>
    <n v="915728"/>
  </r>
  <r>
    <x v="0"/>
    <n v="146832"/>
  </r>
  <r>
    <x v="1"/>
    <n v="659106"/>
  </r>
  <r>
    <x v="0"/>
    <n v="195704"/>
  </r>
  <r>
    <x v="0"/>
    <n v="100970"/>
  </r>
  <r>
    <x v="0"/>
    <n v="84240"/>
  </r>
  <r>
    <x v="1"/>
    <n v="276024"/>
  </r>
  <r>
    <x v="1"/>
    <n v="245934"/>
  </r>
  <r>
    <x v="0"/>
    <n v="738000"/>
  </r>
  <r>
    <x v="2"/>
    <n v="40245"/>
  </r>
  <r>
    <x v="1"/>
    <n v="211365"/>
  </r>
  <r>
    <x v="1"/>
    <n v="997668"/>
  </r>
  <r>
    <x v="2"/>
    <n v="400548"/>
  </r>
  <r>
    <x v="0"/>
    <n v="158356"/>
  </r>
  <r>
    <x v="0"/>
    <n v="393240"/>
  </r>
  <r>
    <x v="3"/>
    <n v="357585"/>
  </r>
  <r>
    <x v="0"/>
    <n v="138180"/>
  </r>
  <r>
    <x v="2"/>
    <n v="97340"/>
  </r>
  <r>
    <x v="3"/>
    <n v="244410"/>
  </r>
  <r>
    <x v="3"/>
    <n v="157905"/>
  </r>
  <r>
    <x v="2"/>
    <n v="565516"/>
  </r>
  <r>
    <x v="3"/>
    <n v="467352"/>
  </r>
  <r>
    <x v="1"/>
    <n v="139491"/>
  </r>
  <r>
    <x v="3"/>
    <n v="492060"/>
  </r>
  <r>
    <x v="1"/>
    <n v="872400"/>
  </r>
  <r>
    <x v="1"/>
    <n v="116974"/>
  </r>
  <r>
    <x v="3"/>
    <n v="178192"/>
  </r>
  <r>
    <x v="1"/>
    <n v="113946"/>
  </r>
  <r>
    <x v="3"/>
    <n v="347941"/>
  </r>
  <r>
    <x v="1"/>
    <n v="63390"/>
  </r>
  <r>
    <x v="0"/>
    <n v="438096"/>
  </r>
  <r>
    <x v="2"/>
    <n v="455944"/>
  </r>
  <r>
    <x v="3"/>
    <n v="268560"/>
  </r>
  <r>
    <x v="3"/>
    <n v="219060"/>
  </r>
  <r>
    <x v="3"/>
    <n v="25815"/>
  </r>
  <r>
    <x v="1"/>
    <n v="536139"/>
  </r>
  <r>
    <x v="2"/>
    <n v="85004"/>
  </r>
  <r>
    <x v="3"/>
    <n v="445340"/>
  </r>
  <r>
    <x v="2"/>
    <n v="476784"/>
  </r>
  <r>
    <x v="0"/>
    <n v="208630"/>
  </r>
  <r>
    <x v="1"/>
    <n v="1008593"/>
  </r>
  <r>
    <x v="0"/>
    <n v="1111937"/>
  </r>
  <r>
    <x v="1"/>
    <n v="300800"/>
  </r>
  <r>
    <x v="3"/>
    <n v="739011"/>
  </r>
  <r>
    <x v="2"/>
    <n v="645176"/>
  </r>
  <r>
    <x v="0"/>
    <n v="839420"/>
  </r>
  <r>
    <x v="2"/>
    <n v="464880"/>
  </r>
  <r>
    <x v="1"/>
    <n v="668040"/>
  </r>
  <r>
    <x v="0"/>
    <n v="187520"/>
  </r>
  <r>
    <x v="3"/>
    <n v="63980"/>
  </r>
  <r>
    <x v="2"/>
    <n v="7206"/>
  </r>
  <r>
    <x v="2"/>
    <n v="151584"/>
  </r>
  <r>
    <x v="1"/>
    <n v="82116"/>
  </r>
  <r>
    <x v="0"/>
    <n v="141222"/>
  </r>
  <r>
    <x v="2"/>
    <n v="226870"/>
  </r>
  <r>
    <x v="0"/>
    <n v="245940"/>
  </r>
  <r>
    <x v="0"/>
    <n v="103665"/>
  </r>
  <r>
    <x v="2"/>
    <n v="687144"/>
  </r>
  <r>
    <x v="0"/>
    <n v="336348"/>
  </r>
  <r>
    <x v="3"/>
    <n v="100725"/>
  </r>
  <r>
    <x v="2"/>
    <n v="224210"/>
  </r>
  <r>
    <x v="2"/>
    <n v="204160"/>
  </r>
  <r>
    <x v="3"/>
    <n v="315582"/>
  </r>
  <r>
    <x v="2"/>
    <n v="212096"/>
  </r>
  <r>
    <x v="2"/>
    <n v="673358"/>
  </r>
  <r>
    <x v="0"/>
    <n v="274428"/>
  </r>
  <r>
    <x v="1"/>
    <n v="219066"/>
  </r>
  <r>
    <x v="3"/>
    <n v="2394"/>
  </r>
  <r>
    <x v="3"/>
    <n v="389907"/>
  </r>
  <r>
    <x v="1"/>
    <n v="338949"/>
  </r>
  <r>
    <x v="1"/>
    <n v="710866"/>
  </r>
  <r>
    <x v="0"/>
    <n v="289312"/>
  </r>
  <r>
    <x v="2"/>
    <n v="190012"/>
  </r>
  <r>
    <x v="0"/>
    <n v="160050"/>
  </r>
  <r>
    <x v="1"/>
    <n v="842197"/>
  </r>
  <r>
    <x v="2"/>
    <n v="803142"/>
  </r>
  <r>
    <x v="1"/>
    <n v="787192"/>
  </r>
  <r>
    <x v="2"/>
    <n v="687401"/>
  </r>
  <r>
    <x v="2"/>
    <n v="631296"/>
  </r>
  <r>
    <x v="1"/>
    <n v="218175"/>
  </r>
  <r>
    <x v="2"/>
    <n v="74009"/>
  </r>
  <r>
    <x v="0"/>
    <n v="870825"/>
  </r>
  <r>
    <x v="0"/>
    <n v="11410"/>
  </r>
  <r>
    <x v="2"/>
    <n v="151305"/>
  </r>
  <r>
    <x v="3"/>
    <n v="708066"/>
  </r>
  <r>
    <x v="1"/>
    <n v="431908"/>
  </r>
  <r>
    <x v="2"/>
    <n v="596820"/>
  </r>
  <r>
    <x v="2"/>
    <n v="198336"/>
  </r>
  <r>
    <x v="0"/>
    <n v="99808"/>
  </r>
  <r>
    <x v="3"/>
    <n v="147045"/>
  </r>
  <r>
    <x v="1"/>
    <n v="55422"/>
  </r>
  <r>
    <x v="1"/>
    <n v="482244"/>
  </r>
  <r>
    <x v="1"/>
    <n v="30758"/>
  </r>
  <r>
    <x v="3"/>
    <n v="487602"/>
  </r>
  <r>
    <x v="1"/>
    <n v="573060"/>
  </r>
  <r>
    <x v="3"/>
    <n v="242240"/>
  </r>
  <r>
    <x v="2"/>
    <n v="208116"/>
  </r>
  <r>
    <x v="1"/>
    <n v="299184"/>
  </r>
  <r>
    <x v="1"/>
    <n v="294504"/>
  </r>
  <r>
    <x v="3"/>
    <n v="315980"/>
  </r>
  <r>
    <x v="0"/>
    <n v="56596"/>
  </r>
  <r>
    <x v="3"/>
    <n v="801766"/>
  </r>
  <r>
    <x v="2"/>
    <n v="705232"/>
  </r>
  <r>
    <x v="3"/>
    <n v="210735"/>
  </r>
  <r>
    <x v="1"/>
    <n v="736032"/>
  </r>
  <r>
    <x v="2"/>
    <n v="351120"/>
  </r>
  <r>
    <x v="3"/>
    <n v="41352"/>
  </r>
  <r>
    <x v="2"/>
    <n v="126544"/>
  </r>
  <r>
    <x v="0"/>
    <n v="474696"/>
  </r>
  <r>
    <x v="1"/>
    <n v="5272"/>
  </r>
  <r>
    <x v="3"/>
    <n v="558765"/>
  </r>
  <r>
    <x v="0"/>
    <n v="4180"/>
  </r>
  <r>
    <x v="2"/>
    <n v="652620"/>
  </r>
  <r>
    <x v="0"/>
    <n v="273447"/>
  </r>
  <r>
    <x v="0"/>
    <n v="62478"/>
  </r>
  <r>
    <x v="0"/>
    <n v="178200"/>
  </r>
  <r>
    <x v="2"/>
    <n v="237932"/>
  </r>
  <r>
    <x v="1"/>
    <n v="59930"/>
  </r>
  <r>
    <x v="3"/>
    <n v="266380"/>
  </r>
  <r>
    <x v="1"/>
    <n v="74610"/>
  </r>
  <r>
    <x v="0"/>
    <n v="214985"/>
  </r>
  <r>
    <x v="1"/>
    <n v="335460"/>
  </r>
  <r>
    <x v="1"/>
    <n v="768833"/>
  </r>
  <r>
    <x v="2"/>
    <n v="1038140"/>
  </r>
  <r>
    <x v="3"/>
    <n v="202716"/>
  </r>
  <r>
    <x v="1"/>
    <n v="32010"/>
  </r>
  <r>
    <x v="1"/>
    <n v="528540"/>
  </r>
  <r>
    <x v="0"/>
    <n v="721560"/>
  </r>
  <r>
    <x v="0"/>
    <n v="385020"/>
  </r>
  <r>
    <x v="0"/>
    <n v="370305"/>
  </r>
  <r>
    <x v="0"/>
    <n v="214225"/>
  </r>
  <r>
    <x v="1"/>
    <n v="139818"/>
  </r>
  <r>
    <x v="2"/>
    <n v="367540"/>
  </r>
  <r>
    <x v="3"/>
    <n v="613508"/>
  </r>
  <r>
    <x v="1"/>
    <n v="1555"/>
  </r>
  <r>
    <x v="2"/>
    <n v="434016"/>
  </r>
  <r>
    <x v="2"/>
    <n v="627840"/>
  </r>
  <r>
    <x v="3"/>
    <n v="16533"/>
  </r>
  <r>
    <x v="0"/>
    <n v="111372"/>
  </r>
  <r>
    <x v="2"/>
    <n v="471213"/>
  </r>
  <r>
    <x v="0"/>
    <n v="647505"/>
  </r>
  <r>
    <x v="1"/>
    <n v="502606"/>
  </r>
  <r>
    <x v="3"/>
    <n v="1197000"/>
  </r>
  <r>
    <x v="0"/>
    <n v="950133"/>
  </r>
  <r>
    <x v="2"/>
    <n v="384358"/>
  </r>
  <r>
    <x v="1"/>
    <n v="300597"/>
  </r>
  <r>
    <x v="2"/>
    <n v="46324"/>
  </r>
  <r>
    <x v="3"/>
    <n v="369405"/>
  </r>
  <r>
    <x v="1"/>
    <n v="107310"/>
  </r>
  <r>
    <x v="2"/>
    <n v="172650"/>
  </r>
  <r>
    <x v="2"/>
    <n v="646860"/>
  </r>
  <r>
    <x v="3"/>
    <n v="86265"/>
  </r>
  <r>
    <x v="0"/>
    <n v="103652"/>
  </r>
  <r>
    <x v="0"/>
    <n v="820534"/>
  </r>
  <r>
    <x v="1"/>
    <n v="145590"/>
  </r>
  <r>
    <x v="1"/>
    <n v="1022976"/>
  </r>
  <r>
    <x v="3"/>
    <n v="580404"/>
  </r>
  <r>
    <x v="2"/>
    <n v="98800"/>
  </r>
  <r>
    <x v="1"/>
    <n v="149247"/>
  </r>
  <r>
    <x v="1"/>
    <n v="275190"/>
  </r>
  <r>
    <x v="3"/>
    <n v="38880"/>
  </r>
  <r>
    <x v="1"/>
    <n v="146007"/>
  </r>
  <r>
    <x v="3"/>
    <n v="38484"/>
  </r>
  <r>
    <x v="0"/>
    <n v="320411"/>
  </r>
  <r>
    <x v="0"/>
    <n v="233514"/>
  </r>
  <r>
    <x v="2"/>
    <n v="327864"/>
  </r>
  <r>
    <x v="0"/>
    <n v="208880"/>
  </r>
  <r>
    <x v="0"/>
    <n v="91272"/>
  </r>
  <r>
    <x v="1"/>
    <n v="619860"/>
  </r>
  <r>
    <x v="3"/>
    <n v="562142"/>
  </r>
  <r>
    <x v="3"/>
    <n v="42222"/>
  </r>
  <r>
    <x v="0"/>
    <n v="297996"/>
  </r>
  <r>
    <x v="0"/>
    <n v="66759"/>
  </r>
  <r>
    <x v="1"/>
    <n v="721312"/>
  </r>
  <r>
    <x v="1"/>
    <n v="705497"/>
  </r>
  <r>
    <x v="1"/>
    <n v="173181"/>
  </r>
  <r>
    <x v="3"/>
    <n v="677222"/>
  </r>
  <r>
    <x v="3"/>
    <n v="243570"/>
  </r>
  <r>
    <x v="3"/>
    <n v="1397"/>
  </r>
  <r>
    <x v="3"/>
    <n v="277312"/>
  </r>
  <r>
    <x v="0"/>
    <n v="285200"/>
  </r>
  <r>
    <x v="1"/>
    <n v="173433"/>
  </r>
  <r>
    <x v="3"/>
    <n v="217134"/>
  </r>
  <r>
    <x v="1"/>
    <n v="95410"/>
  </r>
  <r>
    <x v="1"/>
    <n v="808944"/>
  </r>
  <r>
    <x v="3"/>
    <n v="841104"/>
  </r>
  <r>
    <x v="0"/>
    <n v="76715"/>
  </r>
  <r>
    <x v="1"/>
    <n v="48042"/>
  </r>
  <r>
    <x v="3"/>
    <n v="36394"/>
  </r>
  <r>
    <x v="2"/>
    <n v="195220"/>
  </r>
  <r>
    <x v="3"/>
    <n v="575460"/>
  </r>
  <r>
    <x v="2"/>
    <n v="191248"/>
  </r>
  <r>
    <x v="2"/>
    <n v="821940"/>
  </r>
  <r>
    <x v="1"/>
    <n v="81744"/>
  </r>
  <r>
    <x v="0"/>
    <n v="35210"/>
  </r>
  <r>
    <x v="2"/>
    <n v="62720"/>
  </r>
  <r>
    <x v="3"/>
    <n v="34188"/>
  </r>
  <r>
    <x v="3"/>
    <n v="9396"/>
  </r>
  <r>
    <x v="1"/>
    <n v="568840"/>
  </r>
  <r>
    <x v="1"/>
    <n v="166600"/>
  </r>
  <r>
    <x v="2"/>
    <n v="56408"/>
  </r>
  <r>
    <x v="2"/>
    <n v="146000"/>
  </r>
  <r>
    <x v="2"/>
    <n v="74262"/>
  </r>
  <r>
    <x v="2"/>
    <n v="777840"/>
  </r>
  <r>
    <x v="1"/>
    <n v="763290"/>
  </r>
  <r>
    <x v="3"/>
    <n v="204925"/>
  </r>
  <r>
    <x v="2"/>
    <n v="404944"/>
  </r>
  <r>
    <x v="3"/>
    <n v="218511"/>
  </r>
  <r>
    <x v="2"/>
    <n v="251520"/>
  </r>
  <r>
    <x v="0"/>
    <n v="198916"/>
  </r>
  <r>
    <x v="2"/>
    <n v="490635"/>
  </r>
  <r>
    <x v="0"/>
    <n v="56149"/>
  </r>
  <r>
    <x v="0"/>
    <n v="427584"/>
  </r>
  <r>
    <x v="1"/>
    <n v="464211"/>
  </r>
  <r>
    <x v="0"/>
    <n v="228670"/>
  </r>
  <r>
    <x v="3"/>
    <n v="1078160"/>
  </r>
  <r>
    <x v="2"/>
    <n v="327060"/>
  </r>
  <r>
    <x v="2"/>
    <n v="375869"/>
  </r>
  <r>
    <x v="2"/>
    <n v="548828"/>
  </r>
  <r>
    <x v="3"/>
    <n v="140232"/>
  </r>
  <r>
    <x v="3"/>
    <n v="452055"/>
  </r>
  <r>
    <x v="3"/>
    <n v="110970"/>
  </r>
  <r>
    <x v="3"/>
    <n v="172532"/>
  </r>
  <r>
    <x v="0"/>
    <n v="173058"/>
  </r>
  <r>
    <x v="1"/>
    <n v="883025"/>
  </r>
  <r>
    <x v="3"/>
    <n v="613860"/>
  </r>
  <r>
    <x v="1"/>
    <n v="2762"/>
  </r>
  <r>
    <x v="1"/>
    <n v="228136"/>
  </r>
  <r>
    <x v="0"/>
    <n v="68676"/>
  </r>
  <r>
    <x v="3"/>
    <n v="379248"/>
  </r>
  <r>
    <x v="3"/>
    <n v="382980"/>
  </r>
  <r>
    <x v="3"/>
    <n v="247608"/>
  </r>
  <r>
    <x v="2"/>
    <n v="52728"/>
  </r>
  <r>
    <x v="2"/>
    <n v="567660"/>
  </r>
  <r>
    <x v="0"/>
    <n v="361872"/>
  </r>
  <r>
    <x v="0"/>
    <n v="408288"/>
  </r>
  <r>
    <x v="2"/>
    <n v="80024"/>
  </r>
  <r>
    <x v="0"/>
    <n v="156712"/>
  </r>
  <r>
    <x v="3"/>
    <n v="761670"/>
  </r>
  <r>
    <x v="0"/>
    <n v="104160"/>
  </r>
  <r>
    <x v="2"/>
    <n v="276760"/>
  </r>
  <r>
    <x v="2"/>
    <n v="299431"/>
  </r>
  <r>
    <x v="2"/>
    <n v="310128"/>
  </r>
  <r>
    <x v="3"/>
    <n v="34385"/>
  </r>
  <r>
    <x v="1"/>
    <n v="181760"/>
  </r>
  <r>
    <x v="1"/>
    <n v="258312"/>
  </r>
  <r>
    <x v="3"/>
    <n v="15080"/>
  </r>
  <r>
    <x v="2"/>
    <n v="124539"/>
  </r>
  <r>
    <x v="0"/>
    <n v="60822"/>
  </r>
  <r>
    <x v="2"/>
    <n v="500136"/>
  </r>
  <r>
    <x v="3"/>
    <n v="31086"/>
  </r>
  <r>
    <x v="1"/>
    <n v="363734"/>
  </r>
  <r>
    <x v="0"/>
    <n v="811692"/>
  </r>
  <r>
    <x v="1"/>
    <n v="873791"/>
  </r>
  <r>
    <x v="2"/>
    <n v="3628"/>
  </r>
  <r>
    <x v="3"/>
    <n v="426732"/>
  </r>
  <r>
    <x v="3"/>
    <n v="347230"/>
  </r>
  <r>
    <x v="3"/>
    <n v="230295"/>
  </r>
  <r>
    <x v="1"/>
    <n v="105660"/>
  </r>
  <r>
    <x v="0"/>
    <n v="85878"/>
  </r>
  <r>
    <x v="0"/>
    <n v="245828"/>
  </r>
  <r>
    <x v="2"/>
    <n v="638742"/>
  </r>
  <r>
    <x v="2"/>
    <n v="115152"/>
  </r>
  <r>
    <x v="2"/>
    <n v="14916"/>
  </r>
  <r>
    <x v="1"/>
    <n v="430521"/>
  </r>
  <r>
    <x v="1"/>
    <n v="103620"/>
  </r>
  <r>
    <x v="2"/>
    <n v="84100"/>
  </r>
  <r>
    <x v="0"/>
    <n v="106607"/>
  </r>
  <r>
    <x v="2"/>
    <n v="471696"/>
  </r>
  <r>
    <x v="1"/>
    <n v="145164"/>
  </r>
  <r>
    <x v="2"/>
    <n v="33765"/>
  </r>
  <r>
    <x v="2"/>
    <n v="392769"/>
  </r>
  <r>
    <x v="2"/>
    <n v="52012"/>
  </r>
  <r>
    <x v="1"/>
    <n v="609585"/>
  </r>
  <r>
    <x v="0"/>
    <n v="291096"/>
  </r>
  <r>
    <x v="0"/>
    <n v="427089"/>
  </r>
  <r>
    <x v="3"/>
    <n v="1081020"/>
  </r>
  <r>
    <x v="2"/>
    <n v="277515"/>
  </r>
  <r>
    <x v="1"/>
    <n v="121959"/>
  </r>
  <r>
    <x v="1"/>
    <n v="552040"/>
  </r>
  <r>
    <x v="3"/>
    <n v="563004"/>
  </r>
  <r>
    <x v="0"/>
    <n v="738608"/>
  </r>
  <r>
    <x v="0"/>
    <n v="350559"/>
  </r>
  <r>
    <x v="3"/>
    <n v="141568"/>
  </r>
  <r>
    <x v="3"/>
    <n v="415446"/>
  </r>
  <r>
    <x v="0"/>
    <n v="802417"/>
  </r>
  <r>
    <x v="2"/>
    <n v="648414"/>
  </r>
  <r>
    <x v="0"/>
    <n v="15978"/>
  </r>
  <r>
    <x v="0"/>
    <n v="223408"/>
  </r>
  <r>
    <x v="2"/>
    <n v="58485"/>
  </r>
  <r>
    <x v="3"/>
    <n v="474760"/>
  </r>
  <r>
    <x v="1"/>
    <n v="44832"/>
  </r>
  <r>
    <x v="0"/>
    <n v="369279"/>
  </r>
  <r>
    <x v="3"/>
    <n v="732108"/>
  </r>
  <r>
    <x v="3"/>
    <n v="121247"/>
  </r>
  <r>
    <x v="0"/>
    <n v="804160"/>
  </r>
  <r>
    <x v="1"/>
    <n v="164160"/>
  </r>
  <r>
    <x v="1"/>
    <n v="596910"/>
  </r>
  <r>
    <x v="2"/>
    <n v="234304"/>
  </r>
  <r>
    <x v="0"/>
    <n v="51520"/>
  </r>
  <r>
    <x v="2"/>
    <n v="451495"/>
  </r>
  <r>
    <x v="1"/>
    <n v="565684"/>
  </r>
  <r>
    <x v="3"/>
    <n v="346533"/>
  </r>
  <r>
    <x v="3"/>
    <n v="753424"/>
  </r>
  <r>
    <x v="2"/>
    <n v="862200"/>
  </r>
  <r>
    <x v="3"/>
    <n v="508776"/>
  </r>
  <r>
    <x v="1"/>
    <n v="118296"/>
  </r>
  <r>
    <x v="2"/>
    <n v="72735"/>
  </r>
  <r>
    <x v="1"/>
    <n v="609552"/>
  </r>
  <r>
    <x v="0"/>
    <n v="42534"/>
  </r>
  <r>
    <x v="1"/>
    <n v="81600"/>
  </r>
  <r>
    <x v="3"/>
    <n v="134930"/>
  </r>
  <r>
    <x v="2"/>
    <n v="752850"/>
  </r>
  <r>
    <x v="2"/>
    <n v="453012"/>
  </r>
  <r>
    <x v="1"/>
    <n v="91886"/>
  </r>
  <r>
    <x v="0"/>
    <n v="477126"/>
  </r>
  <r>
    <x v="1"/>
    <n v="50804"/>
  </r>
  <r>
    <x v="0"/>
    <n v="384696"/>
  </r>
  <r>
    <x v="3"/>
    <n v="836480"/>
  </r>
  <r>
    <x v="0"/>
    <n v="62660"/>
  </r>
  <r>
    <x v="2"/>
    <n v="921960"/>
  </r>
  <r>
    <x v="3"/>
    <n v="147798"/>
  </r>
  <r>
    <x v="2"/>
    <n v="164288"/>
  </r>
  <r>
    <x v="3"/>
    <n v="406968"/>
  </r>
  <r>
    <x v="2"/>
    <n v="92391"/>
  </r>
  <r>
    <x v="1"/>
    <n v="18337"/>
  </r>
  <r>
    <x v="2"/>
    <n v="62496"/>
  </r>
  <r>
    <x v="1"/>
    <n v="303810"/>
  </r>
  <r>
    <x v="3"/>
    <n v="736400"/>
  </r>
  <r>
    <x v="2"/>
    <n v="49018"/>
  </r>
  <r>
    <x v="3"/>
    <n v="265932"/>
  </r>
  <r>
    <x v="1"/>
    <n v="555674"/>
  </r>
  <r>
    <x v="3"/>
    <n v="718776"/>
  </r>
  <r>
    <x v="0"/>
    <n v="93868"/>
  </r>
  <r>
    <x v="2"/>
    <n v="407043"/>
  </r>
  <r>
    <x v="2"/>
    <n v="291780"/>
  </r>
  <r>
    <x v="3"/>
    <n v="412515"/>
  </r>
  <r>
    <x v="2"/>
    <n v="45102"/>
  </r>
  <r>
    <x v="3"/>
    <n v="62664"/>
  </r>
  <r>
    <x v="3"/>
    <n v="424996"/>
  </r>
  <r>
    <x v="3"/>
    <n v="901493"/>
  </r>
  <r>
    <x v="3"/>
    <n v="414234"/>
  </r>
  <r>
    <x v="0"/>
    <n v="115432"/>
  </r>
  <r>
    <x v="2"/>
    <n v="45809"/>
  </r>
  <r>
    <x v="2"/>
    <n v="147660"/>
  </r>
  <r>
    <x v="2"/>
    <n v="18842"/>
  </r>
  <r>
    <x v="2"/>
    <n v="541065"/>
  </r>
  <r>
    <x v="2"/>
    <n v="336140"/>
  </r>
  <r>
    <x v="0"/>
    <n v="53070"/>
  </r>
  <r>
    <x v="0"/>
    <n v="245935"/>
  </r>
  <r>
    <x v="0"/>
    <n v="301232"/>
  </r>
  <r>
    <x v="1"/>
    <n v="537229"/>
  </r>
  <r>
    <x v="1"/>
    <n v="765830"/>
  </r>
  <r>
    <x v="0"/>
    <n v="373088"/>
  </r>
  <r>
    <x v="3"/>
    <n v="32013"/>
  </r>
  <r>
    <x v="0"/>
    <n v="215504"/>
  </r>
  <r>
    <x v="0"/>
    <n v="341370"/>
  </r>
  <r>
    <x v="0"/>
    <n v="118943"/>
  </r>
  <r>
    <x v="3"/>
    <n v="352768"/>
  </r>
  <r>
    <x v="1"/>
    <n v="489110"/>
  </r>
  <r>
    <x v="0"/>
    <n v="958600"/>
  </r>
  <r>
    <x v="3"/>
    <n v="500049"/>
  </r>
  <r>
    <x v="1"/>
    <n v="14352"/>
  </r>
  <r>
    <x v="0"/>
    <n v="21391"/>
  </r>
  <r>
    <x v="1"/>
    <n v="403496"/>
  </r>
  <r>
    <x v="1"/>
    <n v="341264"/>
  </r>
  <r>
    <x v="2"/>
    <n v="177955"/>
  </r>
  <r>
    <x v="2"/>
    <n v="406485"/>
  </r>
  <r>
    <x v="3"/>
    <n v="425880"/>
  </r>
  <r>
    <x v="1"/>
    <n v="365040"/>
  </r>
  <r>
    <x v="3"/>
    <n v="43455"/>
  </r>
  <r>
    <x v="3"/>
    <n v="131480"/>
  </r>
  <r>
    <x v="0"/>
    <n v="351237"/>
  </r>
  <r>
    <x v="3"/>
    <n v="209950"/>
  </r>
  <r>
    <x v="2"/>
    <n v="182730"/>
  </r>
  <r>
    <x v="2"/>
    <n v="274842"/>
  </r>
  <r>
    <x v="3"/>
    <n v="154790"/>
  </r>
  <r>
    <x v="2"/>
    <n v="228172"/>
  </r>
  <r>
    <x v="2"/>
    <n v="44650"/>
  </r>
  <r>
    <x v="3"/>
    <n v="223560"/>
  </r>
  <r>
    <x v="1"/>
    <n v="188248"/>
  </r>
  <r>
    <x v="3"/>
    <n v="234084"/>
  </r>
  <r>
    <x v="3"/>
    <n v="40338"/>
  </r>
  <r>
    <x v="2"/>
    <n v="563442"/>
  </r>
  <r>
    <x v="2"/>
    <n v="408564"/>
  </r>
  <r>
    <x v="1"/>
    <n v="41877"/>
  </r>
  <r>
    <x v="0"/>
    <n v="438970"/>
  </r>
  <r>
    <x v="0"/>
    <n v="317046"/>
  </r>
  <r>
    <x v="2"/>
    <n v="234117"/>
  </r>
  <r>
    <x v="3"/>
    <n v="54549"/>
  </r>
  <r>
    <x v="3"/>
    <n v="132622"/>
  </r>
  <r>
    <x v="1"/>
    <n v="357629"/>
  </r>
  <r>
    <x v="3"/>
    <n v="22600"/>
  </r>
  <r>
    <x v="3"/>
    <n v="15373"/>
  </r>
  <r>
    <x v="1"/>
    <n v="495770"/>
  </r>
  <r>
    <x v="0"/>
    <n v="1176520"/>
  </r>
  <r>
    <x v="0"/>
    <n v="163168"/>
  </r>
  <r>
    <x v="2"/>
    <n v="756257"/>
  </r>
  <r>
    <x v="1"/>
    <n v="44450"/>
  </r>
  <r>
    <x v="1"/>
    <n v="316944"/>
  </r>
  <r>
    <x v="2"/>
    <n v="979887"/>
  </r>
  <r>
    <x v="1"/>
    <n v="113528"/>
  </r>
  <r>
    <x v="3"/>
    <n v="978720"/>
  </r>
  <r>
    <x v="1"/>
    <n v="472752"/>
  </r>
  <r>
    <x v="3"/>
    <n v="19552"/>
  </r>
  <r>
    <x v="1"/>
    <n v="236160"/>
  </r>
  <r>
    <x v="1"/>
    <n v="262600"/>
  </r>
  <r>
    <x v="2"/>
    <n v="50166"/>
  </r>
  <r>
    <x v="3"/>
    <n v="77675"/>
  </r>
  <r>
    <x v="3"/>
    <n v="78240"/>
  </r>
  <r>
    <x v="2"/>
    <n v="396488"/>
  </r>
  <r>
    <x v="1"/>
    <n v="215125"/>
  </r>
  <r>
    <x v="1"/>
    <n v="202191"/>
  </r>
  <r>
    <x v="2"/>
    <n v="400456"/>
  </r>
  <r>
    <x v="3"/>
    <n v="429804"/>
  </r>
  <r>
    <x v="1"/>
    <n v="880398"/>
  </r>
  <r>
    <x v="2"/>
    <n v="64305"/>
  </r>
  <r>
    <x v="1"/>
    <n v="901100"/>
  </r>
  <r>
    <x v="1"/>
    <n v="477750"/>
  </r>
  <r>
    <x v="1"/>
    <n v="527481"/>
  </r>
  <r>
    <x v="0"/>
    <n v="685984"/>
  </r>
  <r>
    <x v="2"/>
    <n v="18540"/>
  </r>
  <r>
    <x v="3"/>
    <n v="206280"/>
  </r>
  <r>
    <x v="1"/>
    <n v="426400"/>
  </r>
  <r>
    <x v="3"/>
    <n v="438100"/>
  </r>
  <r>
    <x v="2"/>
    <n v="128268"/>
  </r>
  <r>
    <x v="2"/>
    <n v="35952"/>
  </r>
  <r>
    <x v="0"/>
    <n v="429024"/>
  </r>
  <r>
    <x v="3"/>
    <n v="129016"/>
  </r>
  <r>
    <x v="2"/>
    <n v="48664"/>
  </r>
  <r>
    <x v="2"/>
    <n v="96894"/>
  </r>
  <r>
    <x v="1"/>
    <n v="92794"/>
  </r>
  <r>
    <x v="2"/>
    <n v="107212"/>
  </r>
  <r>
    <x v="0"/>
    <n v="155343"/>
  </r>
  <r>
    <x v="1"/>
    <n v="257930"/>
  </r>
  <r>
    <x v="3"/>
    <n v="608904"/>
  </r>
  <r>
    <x v="3"/>
    <n v="700804"/>
  </r>
  <r>
    <x v="3"/>
    <n v="56220"/>
  </r>
  <r>
    <x v="2"/>
    <n v="119740"/>
  </r>
  <r>
    <x v="3"/>
    <n v="119584"/>
  </r>
  <r>
    <x v="2"/>
    <n v="242500"/>
  </r>
  <r>
    <x v="1"/>
    <n v="260611"/>
  </r>
  <r>
    <x v="3"/>
    <n v="75375"/>
  </r>
  <r>
    <x v="1"/>
    <n v="169897"/>
  </r>
  <r>
    <x v="3"/>
    <n v="456340"/>
  </r>
  <r>
    <x v="2"/>
    <n v="264405"/>
  </r>
  <r>
    <x v="2"/>
    <n v="69381"/>
  </r>
  <r>
    <x v="3"/>
    <n v="264620"/>
  </r>
  <r>
    <x v="3"/>
    <n v="328055"/>
  </r>
  <r>
    <x v="1"/>
    <n v="901640"/>
  </r>
  <r>
    <x v="1"/>
    <n v="279984"/>
  </r>
  <r>
    <x v="3"/>
    <n v="473140"/>
  </r>
  <r>
    <x v="1"/>
    <n v="755960"/>
  </r>
  <r>
    <x v="3"/>
    <n v="987496"/>
  </r>
  <r>
    <x v="1"/>
    <n v="828571"/>
  </r>
  <r>
    <x v="1"/>
    <n v="42867"/>
  </r>
  <r>
    <x v="3"/>
    <n v="222984"/>
  </r>
  <r>
    <x v="1"/>
    <n v="526914"/>
  </r>
  <r>
    <x v="1"/>
    <n v="5956"/>
  </r>
  <r>
    <x v="3"/>
    <n v="30648"/>
  </r>
  <r>
    <x v="1"/>
    <n v="503234"/>
  </r>
  <r>
    <x v="0"/>
    <n v="526666"/>
  </r>
  <r>
    <x v="1"/>
    <n v="772707"/>
  </r>
  <r>
    <x v="1"/>
    <n v="420804"/>
  </r>
  <r>
    <x v="1"/>
    <n v="627390"/>
  </r>
  <r>
    <x v="3"/>
    <n v="721700"/>
  </r>
  <r>
    <x v="2"/>
    <n v="35901"/>
  </r>
  <r>
    <x v="2"/>
    <n v="429275"/>
  </r>
  <r>
    <x v="2"/>
    <n v="298634"/>
  </r>
  <r>
    <x v="1"/>
    <n v="165792"/>
  </r>
  <r>
    <x v="0"/>
    <n v="763368"/>
  </r>
  <r>
    <x v="2"/>
    <n v="313452"/>
  </r>
  <r>
    <x v="0"/>
    <n v="227028"/>
  </r>
  <r>
    <x v="3"/>
    <n v="54128"/>
  </r>
  <r>
    <x v="2"/>
    <n v="621396"/>
  </r>
  <r>
    <x v="3"/>
    <n v="363564"/>
  </r>
  <r>
    <x v="3"/>
    <n v="379224"/>
  </r>
  <r>
    <x v="2"/>
    <n v="450606"/>
  </r>
  <r>
    <x v="1"/>
    <n v="132702"/>
  </r>
  <r>
    <x v="1"/>
    <n v="682144"/>
  </r>
  <r>
    <x v="2"/>
    <n v="24368"/>
  </r>
  <r>
    <x v="2"/>
    <n v="31467"/>
  </r>
  <r>
    <x v="2"/>
    <n v="34559"/>
  </r>
  <r>
    <x v="2"/>
    <n v="248685"/>
  </r>
  <r>
    <x v="2"/>
    <n v="128082"/>
  </r>
  <r>
    <x v="2"/>
    <n v="49836"/>
  </r>
  <r>
    <x v="1"/>
    <n v="127638"/>
  </r>
  <r>
    <x v="3"/>
    <n v="197550"/>
  </r>
  <r>
    <x v="1"/>
    <n v="160590"/>
  </r>
  <r>
    <x v="2"/>
    <n v="570430"/>
  </r>
  <r>
    <x v="0"/>
    <n v="211092"/>
  </r>
  <r>
    <x v="0"/>
    <n v="47035"/>
  </r>
  <r>
    <x v="0"/>
    <n v="883008"/>
  </r>
  <r>
    <x v="0"/>
    <n v="343330"/>
  </r>
  <r>
    <x v="2"/>
    <n v="818816"/>
  </r>
  <r>
    <x v="2"/>
    <n v="411453"/>
  </r>
  <r>
    <x v="0"/>
    <n v="187230"/>
  </r>
  <r>
    <x v="3"/>
    <n v="78282"/>
  </r>
  <r>
    <x v="1"/>
    <n v="228844"/>
  </r>
  <r>
    <x v="3"/>
    <n v="858135"/>
  </r>
  <r>
    <x v="2"/>
    <n v="9500"/>
  </r>
  <r>
    <x v="1"/>
    <n v="16780"/>
  </r>
  <r>
    <x v="0"/>
    <n v="191520"/>
  </r>
  <r>
    <x v="3"/>
    <n v="405384"/>
  </r>
  <r>
    <x v="0"/>
    <n v="985359"/>
  </r>
  <r>
    <x v="3"/>
    <n v="309690"/>
  </r>
  <r>
    <x v="3"/>
    <n v="576384"/>
  </r>
  <r>
    <x v="0"/>
    <n v="794310"/>
  </r>
  <r>
    <x v="2"/>
    <n v="42804"/>
  </r>
  <r>
    <x v="3"/>
    <n v="274648"/>
  </r>
  <r>
    <x v="3"/>
    <n v="116149"/>
  </r>
  <r>
    <x v="2"/>
    <n v="15228"/>
  </r>
  <r>
    <x v="3"/>
    <n v="706200"/>
  </r>
  <r>
    <x v="0"/>
    <n v="271068"/>
  </r>
  <r>
    <x v="3"/>
    <n v="531808"/>
  </r>
  <r>
    <x v="2"/>
    <n v="163536"/>
  </r>
  <r>
    <x v="3"/>
    <n v="154200"/>
  </r>
  <r>
    <x v="3"/>
    <n v="831280"/>
  </r>
  <r>
    <x v="1"/>
    <n v="266541"/>
  </r>
  <r>
    <x v="1"/>
    <n v="526048"/>
  </r>
  <r>
    <x v="2"/>
    <n v="812820"/>
  </r>
  <r>
    <x v="1"/>
    <n v="83182"/>
  </r>
  <r>
    <x v="3"/>
    <n v="54484"/>
  </r>
  <r>
    <x v="1"/>
    <n v="32958"/>
  </r>
  <r>
    <x v="1"/>
    <n v="499400"/>
  </r>
  <r>
    <x v="0"/>
    <n v="201201"/>
  </r>
  <r>
    <x v="1"/>
    <n v="684324"/>
  </r>
  <r>
    <x v="2"/>
    <n v="36927"/>
  </r>
  <r>
    <x v="3"/>
    <n v="336051"/>
  </r>
  <r>
    <x v="1"/>
    <n v="357861"/>
  </r>
  <r>
    <x v="0"/>
    <n v="223062"/>
  </r>
  <r>
    <x v="2"/>
    <n v="613496"/>
  </r>
  <r>
    <x v="2"/>
    <n v="411370"/>
  </r>
  <r>
    <x v="1"/>
    <n v="202964"/>
  </r>
  <r>
    <x v="1"/>
    <n v="123888"/>
  </r>
  <r>
    <x v="3"/>
    <n v="247965"/>
  </r>
  <r>
    <x v="1"/>
    <n v="811870"/>
  </r>
  <r>
    <x v="3"/>
    <n v="135882"/>
  </r>
  <r>
    <x v="2"/>
    <n v="22090"/>
  </r>
  <r>
    <x v="1"/>
    <n v="373167"/>
  </r>
  <r>
    <x v="0"/>
    <n v="372053"/>
  </r>
  <r>
    <x v="1"/>
    <n v="1007208"/>
  </r>
  <r>
    <x v="0"/>
    <n v="52055"/>
  </r>
  <r>
    <x v="2"/>
    <n v="246992"/>
  </r>
  <r>
    <x v="2"/>
    <n v="96340"/>
  </r>
  <r>
    <x v="2"/>
    <n v="46880"/>
  </r>
  <r>
    <x v="0"/>
    <n v="227255"/>
  </r>
  <r>
    <x v="2"/>
    <n v="208740"/>
  </r>
  <r>
    <x v="1"/>
    <n v="166683"/>
  </r>
  <r>
    <x v="1"/>
    <n v="178505"/>
  </r>
  <r>
    <x v="3"/>
    <n v="431532"/>
  </r>
  <r>
    <x v="1"/>
    <n v="32751"/>
  </r>
  <r>
    <x v="3"/>
    <n v="79712"/>
  </r>
  <r>
    <x v="1"/>
    <n v="75753"/>
  </r>
  <r>
    <x v="1"/>
    <n v="93114"/>
  </r>
  <r>
    <x v="0"/>
    <n v="221102"/>
  </r>
  <r>
    <x v="2"/>
    <n v="526471"/>
  </r>
  <r>
    <x v="1"/>
    <n v="161152"/>
  </r>
  <r>
    <x v="0"/>
    <n v="87302"/>
  </r>
  <r>
    <x v="1"/>
    <n v="528350"/>
  </r>
  <r>
    <x v="2"/>
    <n v="102924"/>
  </r>
  <r>
    <x v="3"/>
    <n v="340002"/>
  </r>
  <r>
    <x v="1"/>
    <n v="616932"/>
  </r>
  <r>
    <x v="2"/>
    <n v="105580"/>
  </r>
  <r>
    <x v="1"/>
    <n v="132000"/>
  </r>
  <r>
    <x v="2"/>
    <n v="33252"/>
  </r>
  <r>
    <x v="3"/>
    <n v="565065"/>
  </r>
  <r>
    <x v="3"/>
    <n v="160092"/>
  </r>
  <r>
    <x v="2"/>
    <n v="28737"/>
  </r>
  <r>
    <x v="1"/>
    <n v="577456"/>
  </r>
  <r>
    <x v="0"/>
    <n v="198695"/>
  </r>
  <r>
    <x v="2"/>
    <n v="250936"/>
  </r>
  <r>
    <x v="2"/>
    <n v="138828"/>
  </r>
  <r>
    <x v="1"/>
    <n v="203990"/>
  </r>
  <r>
    <x v="3"/>
    <n v="347339"/>
  </r>
  <r>
    <x v="0"/>
    <n v="302760"/>
  </r>
  <r>
    <x v="3"/>
    <n v="538485"/>
  </r>
  <r>
    <x v="0"/>
    <n v="204496"/>
  </r>
  <r>
    <x v="0"/>
    <n v="69201"/>
  </r>
  <r>
    <x v="3"/>
    <n v="145776"/>
  </r>
  <r>
    <x v="0"/>
    <n v="712104"/>
  </r>
  <r>
    <x v="0"/>
    <n v="850880"/>
  </r>
  <r>
    <x v="2"/>
    <n v="396461"/>
  </r>
  <r>
    <x v="0"/>
    <n v="1028120"/>
  </r>
  <r>
    <x v="2"/>
    <n v="616539"/>
  </r>
  <r>
    <x v="3"/>
    <n v="97560"/>
  </r>
  <r>
    <x v="0"/>
    <n v="165368"/>
  </r>
  <r>
    <x v="3"/>
    <n v="262290"/>
  </r>
  <r>
    <x v="0"/>
    <n v="149034"/>
  </r>
  <r>
    <x v="3"/>
    <n v="125088"/>
  </r>
  <r>
    <x v="1"/>
    <n v="291300"/>
  </r>
  <r>
    <x v="1"/>
    <n v="118536"/>
  </r>
  <r>
    <x v="3"/>
    <n v="147360"/>
  </r>
  <r>
    <x v="3"/>
    <n v="199590"/>
  </r>
  <r>
    <x v="1"/>
    <n v="38820"/>
  </r>
  <r>
    <x v="3"/>
    <n v="26546"/>
  </r>
  <r>
    <x v="3"/>
    <n v="234286"/>
  </r>
  <r>
    <x v="1"/>
    <n v="219165"/>
  </r>
  <r>
    <x v="2"/>
    <n v="372249"/>
  </r>
  <r>
    <x v="3"/>
    <n v="43460"/>
  </r>
  <r>
    <x v="0"/>
    <n v="594045"/>
  </r>
  <r>
    <x v="0"/>
    <n v="604846"/>
  </r>
  <r>
    <x v="3"/>
    <n v="300339"/>
  </r>
  <r>
    <x v="3"/>
    <n v="43983"/>
  </r>
  <r>
    <x v="2"/>
    <n v="189827"/>
  </r>
  <r>
    <x v="1"/>
    <n v="139590"/>
  </r>
  <r>
    <x v="3"/>
    <n v="541931"/>
  </r>
  <r>
    <x v="3"/>
    <n v="411754"/>
  </r>
  <r>
    <x v="0"/>
    <n v="60884"/>
  </r>
  <r>
    <x v="3"/>
    <n v="578228"/>
  </r>
  <r>
    <x v="2"/>
    <n v="72278"/>
  </r>
  <r>
    <x v="1"/>
    <n v="129620"/>
  </r>
  <r>
    <x v="3"/>
    <n v="311332"/>
  </r>
  <r>
    <x v="1"/>
    <n v="463545"/>
  </r>
  <r>
    <x v="2"/>
    <n v="173949"/>
  </r>
  <r>
    <x v="0"/>
    <n v="303660"/>
  </r>
  <r>
    <x v="3"/>
    <n v="422912"/>
  </r>
  <r>
    <x v="1"/>
    <n v="95870"/>
  </r>
  <r>
    <x v="1"/>
    <n v="161020"/>
  </r>
  <r>
    <x v="0"/>
    <n v="540277"/>
  </r>
  <r>
    <x v="2"/>
    <n v="193248"/>
  </r>
  <r>
    <x v="0"/>
    <n v="616392"/>
  </r>
  <r>
    <x v="3"/>
    <n v="721221"/>
  </r>
  <r>
    <x v="0"/>
    <n v="69540"/>
  </r>
  <r>
    <x v="2"/>
    <n v="411380"/>
  </r>
  <r>
    <x v="2"/>
    <n v="425700"/>
  </r>
  <r>
    <x v="2"/>
    <n v="20952"/>
  </r>
  <r>
    <x v="2"/>
    <n v="817600"/>
  </r>
  <r>
    <x v="0"/>
    <n v="556738"/>
  </r>
  <r>
    <x v="2"/>
    <n v="465136"/>
  </r>
  <r>
    <x v="1"/>
    <n v="317106"/>
  </r>
  <r>
    <x v="3"/>
    <n v="344659"/>
  </r>
  <r>
    <x v="1"/>
    <n v="228120"/>
  </r>
  <r>
    <x v="1"/>
    <n v="24240"/>
  </r>
  <r>
    <x v="3"/>
    <n v="171400"/>
  </r>
  <r>
    <x v="0"/>
    <n v="313027"/>
  </r>
  <r>
    <x v="2"/>
    <n v="855870"/>
  </r>
  <r>
    <x v="2"/>
    <n v="326370"/>
  </r>
  <r>
    <x v="0"/>
    <n v="869567"/>
  </r>
  <r>
    <x v="0"/>
    <n v="81555"/>
  </r>
  <r>
    <x v="0"/>
    <n v="328662"/>
  </r>
  <r>
    <x v="3"/>
    <n v="648771"/>
  </r>
  <r>
    <x v="0"/>
    <n v="378613"/>
  </r>
  <r>
    <x v="3"/>
    <n v="326396"/>
  </r>
  <r>
    <x v="2"/>
    <n v="68592"/>
  </r>
  <r>
    <x v="2"/>
    <n v="944623"/>
  </r>
  <r>
    <x v="1"/>
    <n v="44425"/>
  </r>
  <r>
    <x v="0"/>
    <n v="747872"/>
  </r>
  <r>
    <x v="2"/>
    <n v="125545"/>
  </r>
  <r>
    <x v="3"/>
    <n v="859860"/>
  </r>
  <r>
    <x v="0"/>
    <n v="84885"/>
  </r>
  <r>
    <x v="3"/>
    <n v="382445"/>
  </r>
  <r>
    <x v="3"/>
    <n v="806860"/>
  </r>
  <r>
    <x v="2"/>
    <n v="244728"/>
  </r>
  <r>
    <x v="3"/>
    <n v="78672"/>
  </r>
  <r>
    <x v="1"/>
    <n v="380288"/>
  </r>
  <r>
    <x v="2"/>
    <n v="208830"/>
  </r>
  <r>
    <x v="2"/>
    <n v="181965"/>
  </r>
  <r>
    <x v="1"/>
    <n v="162440"/>
  </r>
  <r>
    <x v="3"/>
    <n v="58962"/>
  </r>
  <r>
    <x v="2"/>
    <n v="429648"/>
  </r>
  <r>
    <x v="0"/>
    <n v="252364"/>
  </r>
  <r>
    <x v="2"/>
    <n v="49966"/>
  </r>
  <r>
    <x v="3"/>
    <n v="258784"/>
  </r>
  <r>
    <x v="1"/>
    <n v="831744"/>
  </r>
  <r>
    <x v="1"/>
    <n v="129768"/>
  </r>
  <r>
    <x v="1"/>
    <n v="443696"/>
  </r>
  <r>
    <x v="0"/>
    <n v="8660"/>
  </r>
  <r>
    <x v="1"/>
    <n v="159474"/>
  </r>
  <r>
    <x v="3"/>
    <n v="917552"/>
  </r>
  <r>
    <x v="1"/>
    <n v="551045"/>
  </r>
  <r>
    <x v="2"/>
    <n v="645957"/>
  </r>
  <r>
    <x v="1"/>
    <n v="36282"/>
  </r>
  <r>
    <x v="1"/>
    <n v="37270"/>
  </r>
  <r>
    <x v="1"/>
    <n v="433404"/>
  </r>
  <r>
    <x v="1"/>
    <n v="97952"/>
  </r>
  <r>
    <x v="0"/>
    <n v="389750"/>
  </r>
  <r>
    <x v="1"/>
    <n v="223983"/>
  </r>
  <r>
    <x v="2"/>
    <n v="426951"/>
  </r>
  <r>
    <x v="1"/>
    <n v="831600"/>
  </r>
  <r>
    <x v="2"/>
    <n v="1037862"/>
  </r>
  <r>
    <x v="3"/>
    <n v="125796"/>
  </r>
  <r>
    <x v="0"/>
    <n v="131936"/>
  </r>
  <r>
    <x v="0"/>
    <n v="406360"/>
  </r>
  <r>
    <x v="0"/>
    <n v="332106"/>
  </r>
  <r>
    <x v="1"/>
    <n v="922940"/>
  </r>
  <r>
    <x v="1"/>
    <n v="672318"/>
  </r>
  <r>
    <x v="1"/>
    <n v="284571"/>
  </r>
  <r>
    <x v="1"/>
    <n v="758352"/>
  </r>
  <r>
    <x v="1"/>
    <n v="2502"/>
  </r>
  <r>
    <x v="0"/>
    <n v="34884"/>
  </r>
  <r>
    <x v="3"/>
    <n v="310812"/>
  </r>
  <r>
    <x v="0"/>
    <n v="137704"/>
  </r>
  <r>
    <x v="2"/>
    <n v="10908"/>
  </r>
  <r>
    <x v="1"/>
    <n v="1105840"/>
  </r>
  <r>
    <x v="0"/>
    <n v="159955"/>
  </r>
  <r>
    <x v="3"/>
    <n v="1161960"/>
  </r>
  <r>
    <x v="1"/>
    <n v="253694"/>
  </r>
  <r>
    <x v="2"/>
    <n v="568260"/>
  </r>
  <r>
    <x v="2"/>
    <n v="192416"/>
  </r>
  <r>
    <x v="0"/>
    <n v="101768"/>
  </r>
  <r>
    <x v="2"/>
    <n v="138404"/>
  </r>
  <r>
    <x v="1"/>
    <n v="866196"/>
  </r>
  <r>
    <x v="0"/>
    <n v="257880"/>
  </r>
  <r>
    <x v="2"/>
    <n v="39840"/>
  </r>
  <r>
    <x v="3"/>
    <n v="44045"/>
  </r>
  <r>
    <x v="2"/>
    <n v="871641"/>
  </r>
  <r>
    <x v="0"/>
    <n v="739248"/>
  </r>
  <r>
    <x v="1"/>
    <n v="208895"/>
  </r>
  <r>
    <x v="0"/>
    <n v="536832"/>
  </r>
  <r>
    <x v="1"/>
    <n v="250701"/>
  </r>
  <r>
    <x v="2"/>
    <n v="313740"/>
  </r>
  <r>
    <x v="3"/>
    <n v="528547"/>
  </r>
  <r>
    <x v="2"/>
    <n v="126990"/>
  </r>
  <r>
    <x v="3"/>
    <n v="605968"/>
  </r>
  <r>
    <x v="3"/>
    <n v="10178"/>
  </r>
  <r>
    <x v="3"/>
    <n v="99789"/>
  </r>
  <r>
    <x v="1"/>
    <n v="472239"/>
  </r>
  <r>
    <x v="2"/>
    <n v="586927"/>
  </r>
  <r>
    <x v="0"/>
    <n v="678150"/>
  </r>
  <r>
    <x v="3"/>
    <n v="288768"/>
  </r>
  <r>
    <x v="1"/>
    <n v="163218"/>
  </r>
  <r>
    <x v="0"/>
    <n v="324510"/>
  </r>
  <r>
    <x v="2"/>
    <n v="109095"/>
  </r>
  <r>
    <x v="3"/>
    <n v="100530"/>
  </r>
  <r>
    <x v="0"/>
    <n v="248124"/>
  </r>
  <r>
    <x v="3"/>
    <n v="285894"/>
  </r>
  <r>
    <x v="1"/>
    <n v="400617"/>
  </r>
  <r>
    <x v="0"/>
    <n v="1055580"/>
  </r>
  <r>
    <x v="2"/>
    <n v="22685"/>
  </r>
  <r>
    <x v="2"/>
    <n v="165924"/>
  </r>
  <r>
    <x v="2"/>
    <n v="94299"/>
  </r>
  <r>
    <x v="3"/>
    <n v="68478"/>
  </r>
  <r>
    <x v="3"/>
    <n v="829396"/>
  </r>
  <r>
    <x v="3"/>
    <n v="110736"/>
  </r>
  <r>
    <x v="0"/>
    <n v="403029"/>
  </r>
  <r>
    <x v="3"/>
    <n v="237575"/>
  </r>
  <r>
    <x v="3"/>
    <n v="152525"/>
  </r>
  <r>
    <x v="0"/>
    <n v="294176"/>
  </r>
  <r>
    <x v="1"/>
    <n v="41665"/>
  </r>
  <r>
    <x v="1"/>
    <n v="501606"/>
  </r>
  <r>
    <x v="0"/>
    <n v="174096"/>
  </r>
  <r>
    <x v="3"/>
    <n v="951246"/>
  </r>
  <r>
    <x v="3"/>
    <n v="630216"/>
  </r>
  <r>
    <x v="0"/>
    <n v="43860"/>
  </r>
  <r>
    <x v="0"/>
    <n v="22400"/>
  </r>
  <r>
    <x v="1"/>
    <n v="107008"/>
  </r>
  <r>
    <x v="2"/>
    <n v="91176"/>
  </r>
  <r>
    <x v="3"/>
    <n v="199459"/>
  </r>
  <r>
    <x v="1"/>
    <n v="796365"/>
  </r>
  <r>
    <x v="1"/>
    <n v="15676"/>
  </r>
  <r>
    <x v="1"/>
    <n v="13894"/>
  </r>
  <r>
    <x v="2"/>
    <n v="362152"/>
  </r>
  <r>
    <x v="3"/>
    <n v="77994"/>
  </r>
  <r>
    <x v="1"/>
    <n v="381456"/>
  </r>
  <r>
    <x v="3"/>
    <n v="243810"/>
  </r>
  <r>
    <x v="0"/>
    <n v="846192"/>
  </r>
  <r>
    <x v="0"/>
    <n v="384795"/>
  </r>
  <r>
    <x v="0"/>
    <n v="20217"/>
  </r>
  <r>
    <x v="3"/>
    <n v="463640"/>
  </r>
  <r>
    <x v="2"/>
    <n v="53272"/>
  </r>
  <r>
    <x v="0"/>
    <n v="183432"/>
  </r>
  <r>
    <x v="1"/>
    <n v="500948"/>
  </r>
  <r>
    <x v="3"/>
    <n v="154938"/>
  </r>
  <r>
    <x v="1"/>
    <n v="148578"/>
  </r>
  <r>
    <x v="3"/>
    <n v="350568"/>
  </r>
  <r>
    <x v="1"/>
    <n v="779229"/>
  </r>
  <r>
    <x v="1"/>
    <n v="832580"/>
  </r>
  <r>
    <x v="3"/>
    <n v="36344"/>
  </r>
  <r>
    <x v="1"/>
    <n v="17494"/>
  </r>
  <r>
    <x v="3"/>
    <n v="540470"/>
  </r>
  <r>
    <x v="0"/>
    <n v="115458"/>
  </r>
  <r>
    <x v="0"/>
    <n v="208860"/>
  </r>
  <r>
    <x v="3"/>
    <n v="101452"/>
  </r>
  <r>
    <x v="2"/>
    <n v="289142"/>
  </r>
  <r>
    <x v="1"/>
    <n v="122656"/>
  </r>
  <r>
    <x v="2"/>
    <n v="459844"/>
  </r>
  <r>
    <x v="0"/>
    <n v="541453"/>
  </r>
  <r>
    <x v="0"/>
    <n v="1170500"/>
  </r>
  <r>
    <x v="3"/>
    <n v="57449"/>
  </r>
  <r>
    <x v="0"/>
    <n v="800520"/>
  </r>
  <r>
    <x v="2"/>
    <n v="94320"/>
  </r>
  <r>
    <x v="0"/>
    <n v="699680"/>
  </r>
  <r>
    <x v="1"/>
    <n v="26320"/>
  </r>
  <r>
    <x v="2"/>
    <n v="8450"/>
  </r>
  <r>
    <x v="3"/>
    <n v="955400"/>
  </r>
  <r>
    <x v="3"/>
    <n v="594036"/>
  </r>
  <r>
    <x v="3"/>
    <n v="17391"/>
  </r>
  <r>
    <x v="3"/>
    <n v="212320"/>
  </r>
  <r>
    <x v="3"/>
    <n v="178594"/>
  </r>
  <r>
    <x v="0"/>
    <n v="150688"/>
  </r>
  <r>
    <x v="1"/>
    <n v="518532"/>
  </r>
  <r>
    <x v="1"/>
    <n v="450376"/>
  </r>
  <r>
    <x v="2"/>
    <n v="316989"/>
  </r>
  <r>
    <x v="0"/>
    <n v="103140"/>
  </r>
  <r>
    <x v="3"/>
    <n v="62505"/>
  </r>
  <r>
    <x v="2"/>
    <n v="884565"/>
  </r>
  <r>
    <x v="1"/>
    <n v="54564"/>
  </r>
  <r>
    <x v="1"/>
    <n v="49047"/>
  </r>
  <r>
    <x v="0"/>
    <n v="111078"/>
  </r>
  <r>
    <x v="3"/>
    <n v="540480"/>
  </r>
  <r>
    <x v="0"/>
    <n v="12250"/>
  </r>
  <r>
    <x v="3"/>
    <n v="816601"/>
  </r>
  <r>
    <x v="0"/>
    <n v="164440"/>
  </r>
  <r>
    <x v="3"/>
    <n v="153156"/>
  </r>
  <r>
    <x v="3"/>
    <n v="525584"/>
  </r>
  <r>
    <x v="1"/>
    <n v="23723"/>
  </r>
  <r>
    <x v="3"/>
    <n v="28254"/>
  </r>
  <r>
    <x v="3"/>
    <n v="569008"/>
  </r>
  <r>
    <x v="0"/>
    <n v="46041"/>
  </r>
  <r>
    <x v="1"/>
    <n v="31872"/>
  </r>
  <r>
    <x v="0"/>
    <n v="142160"/>
  </r>
  <r>
    <x v="3"/>
    <n v="37652"/>
  </r>
  <r>
    <x v="3"/>
    <n v="1003840"/>
  </r>
  <r>
    <x v="3"/>
    <n v="101745"/>
  </r>
  <r>
    <x v="1"/>
    <n v="44440"/>
  </r>
  <r>
    <x v="2"/>
    <n v="313842"/>
  </r>
  <r>
    <x v="3"/>
    <n v="281488"/>
  </r>
  <r>
    <x v="3"/>
    <n v="650936"/>
  </r>
  <r>
    <x v="0"/>
    <n v="322440"/>
  </r>
  <r>
    <x v="0"/>
    <n v="336546"/>
  </r>
  <r>
    <x v="3"/>
    <n v="478971"/>
  </r>
  <r>
    <x v="3"/>
    <n v="417765"/>
  </r>
  <r>
    <x v="1"/>
    <n v="396816"/>
  </r>
  <r>
    <x v="2"/>
    <n v="140418"/>
  </r>
  <r>
    <x v="2"/>
    <n v="438984"/>
  </r>
  <r>
    <x v="3"/>
    <n v="30770"/>
  </r>
  <r>
    <x v="2"/>
    <n v="119328"/>
  </r>
  <r>
    <x v="3"/>
    <n v="74990"/>
  </r>
  <r>
    <x v="1"/>
    <n v="88212"/>
  </r>
  <r>
    <x v="3"/>
    <n v="47070"/>
  </r>
  <r>
    <x v="1"/>
    <n v="619667"/>
  </r>
  <r>
    <x v="0"/>
    <n v="472606"/>
  </r>
  <r>
    <x v="0"/>
    <n v="126460"/>
  </r>
  <r>
    <x v="3"/>
    <n v="856935"/>
  </r>
  <r>
    <x v="3"/>
    <n v="456963"/>
  </r>
  <r>
    <x v="0"/>
    <n v="55518"/>
  </r>
  <r>
    <x v="1"/>
    <n v="371232"/>
  </r>
  <r>
    <x v="3"/>
    <n v="386480"/>
  </r>
  <r>
    <x v="3"/>
    <n v="17146"/>
  </r>
  <r>
    <x v="2"/>
    <n v="241164"/>
  </r>
  <r>
    <x v="1"/>
    <n v="496914"/>
  </r>
  <r>
    <x v="1"/>
    <n v="13478"/>
  </r>
  <r>
    <x v="2"/>
    <n v="614145"/>
  </r>
  <r>
    <x v="1"/>
    <n v="467226"/>
  </r>
  <r>
    <x v="1"/>
    <n v="68056"/>
  </r>
  <r>
    <x v="3"/>
    <n v="713355"/>
  </r>
  <r>
    <x v="2"/>
    <n v="215568"/>
  </r>
  <r>
    <x v="3"/>
    <n v="597924"/>
  </r>
  <r>
    <x v="2"/>
    <n v="116976"/>
  </r>
  <r>
    <x v="1"/>
    <n v="481657"/>
  </r>
  <r>
    <x v="0"/>
    <n v="137679"/>
  </r>
  <r>
    <x v="2"/>
    <n v="45579"/>
  </r>
  <r>
    <x v="3"/>
    <n v="454285"/>
  </r>
  <r>
    <x v="2"/>
    <n v="505044"/>
  </r>
  <r>
    <x v="3"/>
    <n v="114260"/>
  </r>
  <r>
    <x v="3"/>
    <n v="32760"/>
  </r>
  <r>
    <x v="2"/>
    <n v="431618"/>
  </r>
  <r>
    <x v="3"/>
    <n v="441909"/>
  </r>
  <r>
    <x v="0"/>
    <n v="625142"/>
  </r>
  <r>
    <x v="1"/>
    <n v="368616"/>
  </r>
  <r>
    <x v="1"/>
    <n v="413801"/>
  </r>
  <r>
    <x v="0"/>
    <n v="1039585"/>
  </r>
  <r>
    <x v="0"/>
    <n v="389925"/>
  </r>
  <r>
    <x v="2"/>
    <n v="340056"/>
  </r>
  <r>
    <x v="3"/>
    <n v="531760"/>
  </r>
  <r>
    <x v="1"/>
    <n v="105514"/>
  </r>
  <r>
    <x v="3"/>
    <n v="241524"/>
  </r>
  <r>
    <x v="3"/>
    <n v="365859"/>
  </r>
  <r>
    <x v="3"/>
    <n v="155862"/>
  </r>
  <r>
    <x v="0"/>
    <n v="7388"/>
  </r>
  <r>
    <x v="2"/>
    <n v="21699"/>
  </r>
  <r>
    <x v="1"/>
    <n v="147840"/>
  </r>
  <r>
    <x v="0"/>
    <n v="165074"/>
  </r>
  <r>
    <x v="1"/>
    <n v="654048"/>
  </r>
  <r>
    <x v="1"/>
    <n v="889400"/>
  </r>
  <r>
    <x v="3"/>
    <n v="290178"/>
  </r>
  <r>
    <x v="3"/>
    <n v="83886"/>
  </r>
  <r>
    <x v="1"/>
    <n v="448884"/>
  </r>
  <r>
    <x v="2"/>
    <n v="46428"/>
  </r>
  <r>
    <x v="3"/>
    <n v="744158"/>
  </r>
  <r>
    <x v="3"/>
    <n v="59160"/>
  </r>
  <r>
    <x v="3"/>
    <n v="816144"/>
  </r>
  <r>
    <x v="1"/>
    <n v="19758"/>
  </r>
  <r>
    <x v="2"/>
    <n v="154413"/>
  </r>
  <r>
    <x v="0"/>
    <n v="976956"/>
  </r>
  <r>
    <x v="1"/>
    <n v="244650"/>
  </r>
  <r>
    <x v="2"/>
    <n v="268878"/>
  </r>
  <r>
    <x v="1"/>
    <n v="121030"/>
  </r>
  <r>
    <x v="3"/>
    <n v="4983"/>
  </r>
  <r>
    <x v="1"/>
    <n v="186258"/>
  </r>
  <r>
    <x v="2"/>
    <n v="139072"/>
  </r>
  <r>
    <x v="2"/>
    <n v="397856"/>
  </r>
  <r>
    <x v="0"/>
    <n v="818595"/>
  </r>
  <r>
    <x v="2"/>
    <n v="2392"/>
  </r>
  <r>
    <x v="3"/>
    <n v="183480"/>
  </r>
  <r>
    <x v="0"/>
    <n v="210817"/>
  </r>
  <r>
    <x v="0"/>
    <n v="413216"/>
  </r>
  <r>
    <x v="3"/>
    <n v="75772"/>
  </r>
  <r>
    <x v="2"/>
    <n v="339492"/>
  </r>
  <r>
    <x v="2"/>
    <n v="149226"/>
  </r>
  <r>
    <x v="1"/>
    <n v="214510"/>
  </r>
  <r>
    <x v="0"/>
    <n v="890700"/>
  </r>
  <r>
    <x v="1"/>
    <n v="160664"/>
  </r>
  <r>
    <x v="3"/>
    <n v="5110"/>
  </r>
  <r>
    <x v="2"/>
    <n v="534038"/>
  </r>
  <r>
    <x v="3"/>
    <n v="129655"/>
  </r>
  <r>
    <x v="2"/>
    <n v="9821"/>
  </r>
  <r>
    <x v="0"/>
    <n v="366340"/>
  </r>
  <r>
    <x v="2"/>
    <n v="147810"/>
  </r>
  <r>
    <x v="0"/>
    <n v="4254"/>
  </r>
  <r>
    <x v="3"/>
    <n v="103896"/>
  </r>
  <r>
    <x v="2"/>
    <n v="59457"/>
  </r>
  <r>
    <x v="2"/>
    <n v="159418"/>
  </r>
  <r>
    <x v="3"/>
    <n v="138210"/>
  </r>
  <r>
    <x v="0"/>
    <n v="96200"/>
  </r>
  <r>
    <x v="0"/>
    <n v="225570"/>
  </r>
  <r>
    <x v="0"/>
    <n v="236929"/>
  </r>
  <r>
    <x v="2"/>
    <n v="12408"/>
  </r>
  <r>
    <x v="2"/>
    <n v="51728"/>
  </r>
  <r>
    <x v="0"/>
    <n v="557447"/>
  </r>
  <r>
    <x v="3"/>
    <n v="36142"/>
  </r>
  <r>
    <x v="2"/>
    <n v="224838"/>
  </r>
  <r>
    <x v="2"/>
    <n v="238384"/>
  </r>
  <r>
    <x v="1"/>
    <n v="127232"/>
  </r>
  <r>
    <x v="2"/>
    <n v="75285"/>
  </r>
  <r>
    <x v="2"/>
    <n v="184368"/>
  </r>
  <r>
    <x v="3"/>
    <n v="45813"/>
  </r>
  <r>
    <x v="3"/>
    <n v="941511"/>
  </r>
  <r>
    <x v="1"/>
    <n v="88375"/>
  </r>
  <r>
    <x v="2"/>
    <n v="66429"/>
  </r>
  <r>
    <x v="0"/>
    <n v="128848"/>
  </r>
  <r>
    <x v="1"/>
    <n v="228495"/>
  </r>
  <r>
    <x v="2"/>
    <n v="180278"/>
  </r>
  <r>
    <x v="0"/>
    <n v="48240"/>
  </r>
  <r>
    <x v="2"/>
    <n v="57465"/>
  </r>
  <r>
    <x v="1"/>
    <n v="782656"/>
  </r>
  <r>
    <x v="3"/>
    <n v="692172"/>
  </r>
  <r>
    <x v="3"/>
    <n v="52650"/>
  </r>
  <r>
    <x v="0"/>
    <n v="52968"/>
  </r>
  <r>
    <x v="1"/>
    <n v="163248"/>
  </r>
  <r>
    <x v="1"/>
    <n v="119196"/>
  </r>
  <r>
    <x v="2"/>
    <n v="844092"/>
  </r>
  <r>
    <x v="2"/>
    <n v="212888"/>
  </r>
  <r>
    <x v="3"/>
    <n v="388134"/>
  </r>
  <r>
    <x v="1"/>
    <n v="431944"/>
  </r>
  <r>
    <x v="3"/>
    <n v="36126"/>
  </r>
  <r>
    <x v="2"/>
    <n v="41550"/>
  </r>
  <r>
    <x v="1"/>
    <n v="49544"/>
  </r>
  <r>
    <x v="0"/>
    <n v="586677"/>
  </r>
  <r>
    <x v="0"/>
    <n v="531440"/>
  </r>
  <r>
    <x v="0"/>
    <n v="160216"/>
  </r>
  <r>
    <x v="0"/>
    <n v="141344"/>
  </r>
  <r>
    <x v="1"/>
    <n v="521486"/>
  </r>
  <r>
    <x v="3"/>
    <n v="33514"/>
  </r>
  <r>
    <x v="1"/>
    <n v="147556"/>
  </r>
  <r>
    <x v="3"/>
    <n v="260615"/>
  </r>
  <r>
    <x v="2"/>
    <n v="345150"/>
  </r>
  <r>
    <x v="3"/>
    <n v="819641"/>
  </r>
  <r>
    <x v="3"/>
    <n v="70419"/>
  </r>
  <r>
    <x v="3"/>
    <n v="113418"/>
  </r>
  <r>
    <x v="3"/>
    <n v="490968"/>
  </r>
  <r>
    <x v="3"/>
    <n v="518063"/>
  </r>
  <r>
    <x v="3"/>
    <n v="259784"/>
  </r>
  <r>
    <x v="0"/>
    <n v="139190"/>
  </r>
  <r>
    <x v="3"/>
    <n v="19022"/>
  </r>
  <r>
    <x v="2"/>
    <n v="200039"/>
  </r>
  <r>
    <x v="3"/>
    <n v="407216"/>
  </r>
  <r>
    <x v="2"/>
    <n v="68526"/>
  </r>
  <r>
    <x v="2"/>
    <n v="534177"/>
  </r>
  <r>
    <x v="2"/>
    <n v="41760"/>
  </r>
  <r>
    <x v="3"/>
    <n v="23012"/>
  </r>
  <r>
    <x v="0"/>
    <n v="381780"/>
  </r>
  <r>
    <x v="2"/>
    <n v="128451"/>
  </r>
  <r>
    <x v="3"/>
    <n v="382158"/>
  </r>
  <r>
    <x v="2"/>
    <n v="211220"/>
  </r>
  <r>
    <x v="0"/>
    <n v="85550"/>
  </r>
  <r>
    <x v="1"/>
    <n v="50870"/>
  </r>
  <r>
    <x v="3"/>
    <n v="382648"/>
  </r>
  <r>
    <x v="1"/>
    <n v="558768"/>
  </r>
  <r>
    <x v="0"/>
    <n v="863930"/>
  </r>
  <r>
    <x v="2"/>
    <n v="18810"/>
  </r>
  <r>
    <x v="3"/>
    <n v="401258"/>
  </r>
  <r>
    <x v="0"/>
    <n v="591270"/>
  </r>
  <r>
    <x v="1"/>
    <n v="30592"/>
  </r>
  <r>
    <x v="3"/>
    <n v="66060"/>
  </r>
  <r>
    <x v="0"/>
    <n v="242400"/>
  </r>
  <r>
    <x v="2"/>
    <n v="136413"/>
  </r>
  <r>
    <x v="1"/>
    <n v="90460"/>
  </r>
  <r>
    <x v="1"/>
    <n v="63420"/>
  </r>
  <r>
    <x v="2"/>
    <n v="505370"/>
  </r>
  <r>
    <x v="1"/>
    <n v="579820"/>
  </r>
  <r>
    <x v="3"/>
    <n v="417456"/>
  </r>
  <r>
    <x v="2"/>
    <n v="128408"/>
  </r>
  <r>
    <x v="0"/>
    <n v="114907"/>
  </r>
  <r>
    <x v="2"/>
    <n v="464640"/>
  </r>
  <r>
    <x v="0"/>
    <n v="43910"/>
  </r>
  <r>
    <x v="2"/>
    <n v="217090"/>
  </r>
  <r>
    <x v="2"/>
    <n v="369411"/>
  </r>
  <r>
    <x v="2"/>
    <n v="44784"/>
  </r>
  <r>
    <x v="1"/>
    <n v="268500"/>
  </r>
  <r>
    <x v="2"/>
    <n v="111930"/>
  </r>
  <r>
    <x v="2"/>
    <n v="186232"/>
  </r>
  <r>
    <x v="0"/>
    <n v="1125560"/>
  </r>
  <r>
    <x v="2"/>
    <n v="50499"/>
  </r>
  <r>
    <x v="3"/>
    <n v="456423"/>
  </r>
  <r>
    <x v="2"/>
    <n v="88104"/>
  </r>
  <r>
    <x v="0"/>
    <n v="306642"/>
  </r>
  <r>
    <x v="0"/>
    <n v="364490"/>
  </r>
  <r>
    <x v="3"/>
    <n v="70686"/>
  </r>
  <r>
    <x v="0"/>
    <n v="395031"/>
  </r>
  <r>
    <x v="3"/>
    <n v="389456"/>
  </r>
  <r>
    <x v="3"/>
    <n v="384500"/>
  </r>
  <r>
    <x v="2"/>
    <n v="388164"/>
  </r>
  <r>
    <x v="1"/>
    <n v="62178"/>
  </r>
  <r>
    <x v="3"/>
    <n v="207464"/>
  </r>
  <r>
    <x v="3"/>
    <n v="76950"/>
  </r>
  <r>
    <x v="0"/>
    <n v="90020"/>
  </r>
  <r>
    <x v="0"/>
    <n v="396612"/>
  </r>
  <r>
    <x v="1"/>
    <n v="313551"/>
  </r>
  <r>
    <x v="0"/>
    <n v="228437"/>
  </r>
  <r>
    <x v="1"/>
    <n v="217875"/>
  </r>
  <r>
    <x v="2"/>
    <n v="284510"/>
  </r>
  <r>
    <x v="2"/>
    <n v="243184"/>
  </r>
  <r>
    <x v="0"/>
    <n v="934680"/>
  </r>
  <r>
    <x v="3"/>
    <n v="223984"/>
  </r>
  <r>
    <x v="1"/>
    <n v="46225"/>
  </r>
  <r>
    <x v="1"/>
    <n v="655088"/>
  </r>
  <r>
    <x v="2"/>
    <n v="293008"/>
  </r>
  <r>
    <x v="3"/>
    <n v="485730"/>
  </r>
  <r>
    <x v="0"/>
    <n v="562752"/>
  </r>
  <r>
    <x v="2"/>
    <n v="113905"/>
  </r>
  <r>
    <x v="3"/>
    <n v="633724"/>
  </r>
  <r>
    <x v="3"/>
    <n v="490890"/>
  </r>
  <r>
    <x v="0"/>
    <n v="840360"/>
  </r>
  <r>
    <x v="2"/>
    <n v="138906"/>
  </r>
  <r>
    <x v="2"/>
    <n v="392232"/>
  </r>
  <r>
    <x v="3"/>
    <n v="217800"/>
  </r>
  <r>
    <x v="0"/>
    <n v="481848"/>
  </r>
  <r>
    <x v="2"/>
    <n v="767180"/>
  </r>
  <r>
    <x v="0"/>
    <n v="237710"/>
  </r>
  <r>
    <x v="1"/>
    <n v="321474"/>
  </r>
  <r>
    <x v="2"/>
    <n v="896160"/>
  </r>
  <r>
    <x v="3"/>
    <n v="217464"/>
  </r>
  <r>
    <x v="2"/>
    <n v="447868"/>
  </r>
  <r>
    <x v="3"/>
    <n v="21384"/>
  </r>
  <r>
    <x v="3"/>
    <n v="169722"/>
  </r>
  <r>
    <x v="0"/>
    <n v="492780"/>
  </r>
  <r>
    <x v="0"/>
    <n v="470457"/>
  </r>
  <r>
    <x v="3"/>
    <n v="92748"/>
  </r>
  <r>
    <x v="0"/>
    <n v="112359"/>
  </r>
  <r>
    <x v="3"/>
    <n v="414528"/>
  </r>
  <r>
    <x v="0"/>
    <n v="166980"/>
  </r>
  <r>
    <x v="1"/>
    <n v="46416"/>
  </r>
  <r>
    <x v="0"/>
    <n v="638316"/>
  </r>
  <r>
    <x v="0"/>
    <n v="471928"/>
  </r>
  <r>
    <x v="1"/>
    <n v="264236"/>
  </r>
  <r>
    <x v="0"/>
    <n v="633600"/>
  </r>
  <r>
    <x v="1"/>
    <n v="751198"/>
  </r>
  <r>
    <x v="0"/>
    <n v="542970"/>
  </r>
  <r>
    <x v="0"/>
    <n v="262314"/>
  </r>
  <r>
    <x v="1"/>
    <n v="29300"/>
  </r>
  <r>
    <x v="3"/>
    <n v="359919"/>
  </r>
  <r>
    <x v="2"/>
    <n v="526560"/>
  </r>
  <r>
    <x v="0"/>
    <n v="184068"/>
  </r>
  <r>
    <x v="0"/>
    <n v="391119"/>
  </r>
  <r>
    <x v="0"/>
    <n v="145365"/>
  </r>
  <r>
    <x v="1"/>
    <n v="16198"/>
  </r>
  <r>
    <x v="0"/>
    <n v="335174"/>
  </r>
  <r>
    <x v="0"/>
    <n v="491610"/>
  </r>
  <r>
    <x v="1"/>
    <n v="162246"/>
  </r>
  <r>
    <x v="1"/>
    <n v="484220"/>
  </r>
  <r>
    <x v="3"/>
    <n v="179244"/>
  </r>
  <r>
    <x v="1"/>
    <n v="162200"/>
  </r>
  <r>
    <x v="1"/>
    <n v="290920"/>
  </r>
  <r>
    <x v="2"/>
    <n v="512303"/>
  </r>
  <r>
    <x v="3"/>
    <n v="830509"/>
  </r>
  <r>
    <x v="1"/>
    <n v="355760"/>
  </r>
  <r>
    <x v="0"/>
    <n v="707184"/>
  </r>
  <r>
    <x v="3"/>
    <n v="583848"/>
  </r>
  <r>
    <x v="1"/>
    <n v="732496"/>
  </r>
  <r>
    <x v="2"/>
    <n v="378917"/>
  </r>
  <r>
    <x v="0"/>
    <n v="293715"/>
  </r>
  <r>
    <x v="1"/>
    <n v="769520"/>
  </r>
  <r>
    <x v="2"/>
    <n v="126177"/>
  </r>
  <r>
    <x v="3"/>
    <n v="1131300"/>
  </r>
  <r>
    <x v="2"/>
    <n v="409656"/>
  </r>
  <r>
    <x v="1"/>
    <n v="242220"/>
  </r>
  <r>
    <x v="0"/>
    <n v="605352"/>
  </r>
  <r>
    <x v="1"/>
    <n v="500820"/>
  </r>
  <r>
    <x v="1"/>
    <n v="182944"/>
  </r>
  <r>
    <x v="3"/>
    <n v="179260"/>
  </r>
  <r>
    <x v="3"/>
    <n v="18528"/>
  </r>
  <r>
    <x v="0"/>
    <n v="513594"/>
  </r>
  <r>
    <x v="2"/>
    <n v="68584"/>
  </r>
  <r>
    <x v="0"/>
    <n v="71780"/>
  </r>
  <r>
    <x v="1"/>
    <n v="126100"/>
  </r>
  <r>
    <x v="1"/>
    <n v="131152"/>
  </r>
  <r>
    <x v="1"/>
    <n v="731880"/>
  </r>
  <r>
    <x v="1"/>
    <n v="210990"/>
  </r>
  <r>
    <x v="0"/>
    <n v="70353"/>
  </r>
  <r>
    <x v="0"/>
    <n v="85994"/>
  </r>
  <r>
    <x v="0"/>
    <n v="337410"/>
  </r>
  <r>
    <x v="1"/>
    <n v="155144"/>
  </r>
  <r>
    <x v="0"/>
    <n v="105064"/>
  </r>
  <r>
    <x v="2"/>
    <n v="715590"/>
  </r>
  <r>
    <x v="3"/>
    <n v="716794"/>
  </r>
  <r>
    <x v="0"/>
    <n v="3006"/>
  </r>
  <r>
    <x v="2"/>
    <n v="163152"/>
  </r>
  <r>
    <x v="0"/>
    <n v="29734"/>
  </r>
  <r>
    <x v="0"/>
    <n v="116376"/>
  </r>
  <r>
    <x v="0"/>
    <n v="207892"/>
  </r>
  <r>
    <x v="3"/>
    <n v="554515"/>
  </r>
  <r>
    <x v="1"/>
    <n v="273275"/>
  </r>
  <r>
    <x v="3"/>
    <n v="361056"/>
  </r>
  <r>
    <x v="2"/>
    <n v="15549"/>
  </r>
  <r>
    <x v="0"/>
    <n v="86728"/>
  </r>
  <r>
    <x v="0"/>
    <n v="202888"/>
  </r>
  <r>
    <x v="2"/>
    <n v="743115"/>
  </r>
  <r>
    <x v="3"/>
    <n v="243105"/>
  </r>
  <r>
    <x v="3"/>
    <n v="135752"/>
  </r>
  <r>
    <x v="0"/>
    <n v="22656"/>
  </r>
  <r>
    <x v="3"/>
    <n v="751451"/>
  </r>
  <r>
    <x v="3"/>
    <n v="151375"/>
  </r>
  <r>
    <x v="2"/>
    <n v="369408"/>
  </r>
  <r>
    <x v="3"/>
    <n v="435677"/>
  </r>
  <r>
    <x v="2"/>
    <n v="59978"/>
  </r>
  <r>
    <x v="0"/>
    <n v="26082"/>
  </r>
  <r>
    <x v="3"/>
    <n v="456930"/>
  </r>
  <r>
    <x v="1"/>
    <n v="8961"/>
  </r>
  <r>
    <x v="2"/>
    <n v="98672"/>
  </r>
  <r>
    <x v="2"/>
    <n v="63410"/>
  </r>
  <r>
    <x v="2"/>
    <n v="76856"/>
  </r>
  <r>
    <x v="2"/>
    <n v="259168"/>
  </r>
  <r>
    <x v="1"/>
    <n v="355520"/>
  </r>
  <r>
    <x v="1"/>
    <n v="52610"/>
  </r>
  <r>
    <x v="0"/>
    <n v="642360"/>
  </r>
  <r>
    <x v="3"/>
    <n v="734730"/>
  </r>
  <r>
    <x v="2"/>
    <n v="235212"/>
  </r>
  <r>
    <x v="1"/>
    <n v="185940"/>
  </r>
  <r>
    <x v="2"/>
    <n v="402952"/>
  </r>
  <r>
    <x v="2"/>
    <n v="98176"/>
  </r>
  <r>
    <x v="2"/>
    <n v="239500"/>
  </r>
  <r>
    <x v="2"/>
    <n v="178965"/>
  </r>
  <r>
    <x v="2"/>
    <n v="59205"/>
  </r>
  <r>
    <x v="0"/>
    <n v="493207"/>
  </r>
  <r>
    <x v="3"/>
    <n v="422636"/>
  </r>
  <r>
    <x v="3"/>
    <n v="206620"/>
  </r>
  <r>
    <x v="2"/>
    <n v="353595"/>
  </r>
  <r>
    <x v="0"/>
    <n v="598310"/>
  </r>
  <r>
    <x v="2"/>
    <n v="876907"/>
  </r>
  <r>
    <x v="3"/>
    <n v="538615"/>
  </r>
  <r>
    <x v="2"/>
    <n v="41363"/>
  </r>
  <r>
    <x v="1"/>
    <n v="134253"/>
  </r>
  <r>
    <x v="1"/>
    <n v="26376"/>
  </r>
  <r>
    <x v="3"/>
    <n v="237700"/>
  </r>
  <r>
    <x v="3"/>
    <n v="138000"/>
  </r>
  <r>
    <x v="2"/>
    <n v="258950"/>
  </r>
  <r>
    <x v="2"/>
    <n v="162890"/>
  </r>
  <r>
    <x v="1"/>
    <n v="353045"/>
  </r>
  <r>
    <x v="2"/>
    <n v="825912"/>
  </r>
  <r>
    <x v="3"/>
    <n v="93584"/>
  </r>
  <r>
    <x v="1"/>
    <n v="304733"/>
  </r>
  <r>
    <x v="1"/>
    <n v="172452"/>
  </r>
  <r>
    <x v="3"/>
    <n v="258720"/>
  </r>
  <r>
    <x v="3"/>
    <n v="17146"/>
  </r>
  <r>
    <x v="0"/>
    <n v="192780"/>
  </r>
  <r>
    <x v="3"/>
    <n v="251427"/>
  </r>
  <r>
    <x v="0"/>
    <n v="177758"/>
  </r>
  <r>
    <x v="2"/>
    <n v="216160"/>
  </r>
  <r>
    <x v="0"/>
    <n v="17871"/>
  </r>
  <r>
    <x v="1"/>
    <n v="285952"/>
  </r>
  <r>
    <x v="2"/>
    <n v="11256"/>
  </r>
  <r>
    <x v="2"/>
    <n v="488620"/>
  </r>
  <r>
    <x v="2"/>
    <n v="424402"/>
  </r>
  <r>
    <x v="0"/>
    <n v="47172"/>
  </r>
  <r>
    <x v="0"/>
    <n v="8469"/>
  </r>
  <r>
    <x v="2"/>
    <n v="46797"/>
  </r>
  <r>
    <x v="1"/>
    <n v="193616"/>
  </r>
  <r>
    <x v="0"/>
    <n v="127183"/>
  </r>
  <r>
    <x v="0"/>
    <n v="295316"/>
  </r>
  <r>
    <x v="1"/>
    <n v="46040"/>
  </r>
  <r>
    <x v="3"/>
    <n v="141630"/>
  </r>
  <r>
    <x v="3"/>
    <n v="370158"/>
  </r>
  <r>
    <x v="3"/>
    <n v="440352"/>
  </r>
  <r>
    <x v="1"/>
    <n v="812000"/>
  </r>
  <r>
    <x v="0"/>
    <n v="81772"/>
  </r>
  <r>
    <x v="1"/>
    <n v="71175"/>
  </r>
  <r>
    <x v="1"/>
    <n v="399312"/>
  </r>
  <r>
    <x v="1"/>
    <n v="454048"/>
  </r>
  <r>
    <x v="3"/>
    <n v="193665"/>
  </r>
  <r>
    <x v="2"/>
    <n v="28486"/>
  </r>
  <r>
    <x v="1"/>
    <n v="513461"/>
  </r>
  <r>
    <x v="2"/>
    <n v="266580"/>
  </r>
  <r>
    <x v="3"/>
    <n v="780640"/>
  </r>
  <r>
    <x v="0"/>
    <n v="225420"/>
  </r>
  <r>
    <x v="2"/>
    <n v="292656"/>
  </r>
  <r>
    <x v="2"/>
    <n v="123476"/>
  </r>
  <r>
    <x v="0"/>
    <n v="629220"/>
  </r>
  <r>
    <x v="0"/>
    <n v="297078"/>
  </r>
  <r>
    <x v="2"/>
    <n v="209223"/>
  </r>
  <r>
    <x v="3"/>
    <n v="17976"/>
  </r>
  <r>
    <x v="0"/>
    <n v="130604"/>
  </r>
  <r>
    <x v="2"/>
    <n v="356382"/>
  </r>
  <r>
    <x v="0"/>
    <n v="1650"/>
  </r>
  <r>
    <x v="1"/>
    <n v="30232"/>
  </r>
  <r>
    <x v="1"/>
    <n v="593460"/>
  </r>
  <r>
    <x v="0"/>
    <n v="343530"/>
  </r>
  <r>
    <x v="2"/>
    <n v="126372"/>
  </r>
  <r>
    <x v="3"/>
    <n v="1592"/>
  </r>
  <r>
    <x v="3"/>
    <n v="106629"/>
  </r>
  <r>
    <x v="2"/>
    <n v="39492"/>
  </r>
  <r>
    <x v="0"/>
    <n v="1697"/>
  </r>
  <r>
    <x v="2"/>
    <n v="160480"/>
  </r>
  <r>
    <x v="0"/>
    <n v="99470"/>
  </r>
  <r>
    <x v="1"/>
    <n v="240400"/>
  </r>
  <r>
    <x v="0"/>
    <n v="43248"/>
  </r>
  <r>
    <x v="1"/>
    <n v="538452"/>
  </r>
  <r>
    <x v="1"/>
    <n v="330915"/>
  </r>
  <r>
    <x v="1"/>
    <n v="277185"/>
  </r>
  <r>
    <x v="2"/>
    <n v="88191"/>
  </r>
  <r>
    <x v="3"/>
    <n v="56756"/>
  </r>
  <r>
    <x v="1"/>
    <n v="157023"/>
  </r>
  <r>
    <x v="2"/>
    <n v="684665"/>
  </r>
  <r>
    <x v="3"/>
    <n v="605060"/>
  </r>
  <r>
    <x v="3"/>
    <n v="124856"/>
  </r>
  <r>
    <x v="3"/>
    <n v="166938"/>
  </r>
  <r>
    <x v="0"/>
    <n v="255642"/>
  </r>
  <r>
    <x v="3"/>
    <n v="794716"/>
  </r>
  <r>
    <x v="3"/>
    <n v="65824"/>
  </r>
  <r>
    <x v="2"/>
    <n v="1018609"/>
  </r>
  <r>
    <x v="3"/>
    <n v="530898"/>
  </r>
  <r>
    <x v="3"/>
    <n v="954900"/>
  </r>
  <r>
    <x v="0"/>
    <n v="527985"/>
  </r>
  <r>
    <x v="0"/>
    <n v="509010"/>
  </r>
  <r>
    <x v="0"/>
    <n v="188235"/>
  </r>
  <r>
    <x v="0"/>
    <n v="414270"/>
  </r>
  <r>
    <x v="3"/>
    <n v="449640"/>
  </r>
  <r>
    <x v="2"/>
    <n v="440730"/>
  </r>
  <r>
    <x v="2"/>
    <n v="671268"/>
  </r>
  <r>
    <x v="0"/>
    <n v="278862"/>
  </r>
  <r>
    <x v="2"/>
    <n v="85024"/>
  </r>
  <r>
    <x v="1"/>
    <n v="204624"/>
  </r>
  <r>
    <x v="1"/>
    <n v="190880"/>
  </r>
  <r>
    <x v="0"/>
    <n v="722293"/>
  </r>
  <r>
    <x v="3"/>
    <n v="128296"/>
  </r>
  <r>
    <x v="1"/>
    <n v="834638"/>
  </r>
  <r>
    <x v="2"/>
    <n v="201858"/>
  </r>
  <r>
    <x v="3"/>
    <n v="67263"/>
  </r>
  <r>
    <x v="2"/>
    <n v="653676"/>
  </r>
  <r>
    <x v="1"/>
    <n v="404361"/>
  </r>
  <r>
    <x v="1"/>
    <n v="599320"/>
  </r>
  <r>
    <x v="1"/>
    <n v="322500"/>
  </r>
  <r>
    <x v="3"/>
    <n v="13526"/>
  </r>
  <r>
    <x v="3"/>
    <n v="58047"/>
  </r>
  <r>
    <x v="1"/>
    <n v="265000"/>
  </r>
  <r>
    <x v="0"/>
    <n v="723478"/>
  </r>
  <r>
    <x v="2"/>
    <n v="192122"/>
  </r>
  <r>
    <x v="0"/>
    <n v="94716"/>
  </r>
  <r>
    <x v="0"/>
    <n v="540980"/>
  </r>
  <r>
    <x v="2"/>
    <n v="860192"/>
  </r>
  <r>
    <x v="1"/>
    <n v="671904"/>
  </r>
  <r>
    <x v="3"/>
    <n v="762382"/>
  </r>
  <r>
    <x v="1"/>
    <n v="356775"/>
  </r>
  <r>
    <x v="2"/>
    <n v="40788"/>
  </r>
  <r>
    <x v="3"/>
    <n v="48024"/>
  </r>
  <r>
    <x v="1"/>
    <n v="278825"/>
  </r>
  <r>
    <x v="0"/>
    <n v="629642"/>
  </r>
  <r>
    <x v="3"/>
    <n v="162624"/>
  </r>
  <r>
    <x v="2"/>
    <n v="322665"/>
  </r>
  <r>
    <x v="2"/>
    <n v="110874"/>
  </r>
  <r>
    <x v="1"/>
    <n v="81944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n v="2"/>
  </r>
  <r>
    <x v="1"/>
    <n v="13"/>
  </r>
  <r>
    <x v="0"/>
    <n v="17"/>
  </r>
  <r>
    <x v="1"/>
    <n v="1"/>
  </r>
  <r>
    <x v="1"/>
    <n v="15"/>
  </r>
  <r>
    <x v="0"/>
    <n v="18"/>
  </r>
  <r>
    <x v="2"/>
    <n v="11"/>
  </r>
  <r>
    <x v="0"/>
    <n v="17"/>
  </r>
  <r>
    <x v="2"/>
    <n v="1"/>
  </r>
  <r>
    <x v="3"/>
    <n v="15"/>
  </r>
  <r>
    <x v="3"/>
    <n v="3"/>
  </r>
  <r>
    <x v="2"/>
    <n v="15"/>
  </r>
  <r>
    <x v="2"/>
    <n v="12"/>
  </r>
  <r>
    <x v="3"/>
    <n v="6"/>
  </r>
  <r>
    <x v="4"/>
    <n v="5"/>
  </r>
  <r>
    <x v="4"/>
    <n v="1"/>
  </r>
  <r>
    <x v="2"/>
    <n v="3"/>
  </r>
  <r>
    <x v="1"/>
    <n v="12"/>
  </r>
  <r>
    <x v="5"/>
    <n v="6"/>
  </r>
  <r>
    <x v="5"/>
    <n v="14"/>
  </r>
  <r>
    <x v="2"/>
    <n v="14"/>
  </r>
  <r>
    <x v="5"/>
    <n v="1"/>
  </r>
  <r>
    <x v="3"/>
    <n v="3"/>
  </r>
  <r>
    <x v="5"/>
    <n v="1"/>
  </r>
  <r>
    <x v="4"/>
    <n v="3"/>
  </r>
  <r>
    <x v="3"/>
    <n v="2"/>
  </r>
  <r>
    <x v="4"/>
    <n v="11"/>
  </r>
  <r>
    <x v="1"/>
    <n v="17"/>
  </r>
  <r>
    <x v="5"/>
    <n v="19"/>
  </r>
  <r>
    <x v="3"/>
    <n v="19"/>
  </r>
  <r>
    <x v="3"/>
    <n v="5"/>
  </r>
  <r>
    <x v="5"/>
    <n v="4"/>
  </r>
  <r>
    <x v="5"/>
    <n v="13"/>
  </r>
  <r>
    <x v="4"/>
    <n v="11"/>
  </r>
  <r>
    <x v="2"/>
    <n v="1"/>
  </r>
  <r>
    <x v="0"/>
    <n v="11"/>
  </r>
  <r>
    <x v="2"/>
    <n v="15"/>
  </r>
  <r>
    <x v="0"/>
    <n v="16"/>
  </r>
  <r>
    <x v="5"/>
    <n v="9"/>
  </r>
  <r>
    <x v="5"/>
    <n v="8"/>
  </r>
  <r>
    <x v="4"/>
    <n v="18"/>
  </r>
  <r>
    <x v="1"/>
    <n v="19"/>
  </r>
  <r>
    <x v="2"/>
    <n v="3"/>
  </r>
  <r>
    <x v="0"/>
    <n v="11"/>
  </r>
  <r>
    <x v="0"/>
    <n v="7"/>
  </r>
  <r>
    <x v="5"/>
    <n v="9"/>
  </r>
  <r>
    <x v="3"/>
    <n v="4"/>
  </r>
  <r>
    <x v="1"/>
    <n v="1"/>
  </r>
  <r>
    <x v="3"/>
    <n v="3"/>
  </r>
  <r>
    <x v="0"/>
    <n v="20"/>
  </r>
  <r>
    <x v="3"/>
    <n v="10"/>
  </r>
  <r>
    <x v="5"/>
    <n v="10"/>
  </r>
  <r>
    <x v="0"/>
    <n v="10"/>
  </r>
  <r>
    <x v="3"/>
    <n v="5"/>
  </r>
  <r>
    <x v="2"/>
    <n v="15"/>
  </r>
  <r>
    <x v="4"/>
    <n v="2"/>
  </r>
  <r>
    <x v="3"/>
    <n v="20"/>
  </r>
  <r>
    <x v="1"/>
    <n v="8"/>
  </r>
  <r>
    <x v="1"/>
    <n v="2"/>
  </r>
  <r>
    <x v="5"/>
    <n v="4"/>
  </r>
  <r>
    <x v="4"/>
    <n v="4"/>
  </r>
  <r>
    <x v="3"/>
    <n v="17"/>
  </r>
  <r>
    <x v="0"/>
    <n v="8"/>
  </r>
  <r>
    <x v="1"/>
    <n v="14"/>
  </r>
  <r>
    <x v="3"/>
    <n v="11"/>
  </r>
  <r>
    <x v="1"/>
    <n v="8"/>
  </r>
  <r>
    <x v="4"/>
    <n v="16"/>
  </r>
  <r>
    <x v="5"/>
    <n v="13"/>
  </r>
  <r>
    <x v="3"/>
    <n v="11"/>
  </r>
  <r>
    <x v="5"/>
    <n v="5"/>
  </r>
  <r>
    <x v="1"/>
    <n v="20"/>
  </r>
  <r>
    <x v="1"/>
    <n v="16"/>
  </r>
  <r>
    <x v="3"/>
    <n v="2"/>
  </r>
  <r>
    <x v="3"/>
    <n v="17"/>
  </r>
  <r>
    <x v="0"/>
    <n v="3"/>
  </r>
  <r>
    <x v="4"/>
    <n v="12"/>
  </r>
  <r>
    <x v="1"/>
    <n v="4"/>
  </r>
  <r>
    <x v="2"/>
    <n v="18"/>
  </r>
  <r>
    <x v="5"/>
    <n v="18"/>
  </r>
  <r>
    <x v="3"/>
    <n v="6"/>
  </r>
  <r>
    <x v="4"/>
    <n v="14"/>
  </r>
  <r>
    <x v="2"/>
    <n v="18"/>
  </r>
  <r>
    <x v="2"/>
    <n v="15"/>
  </r>
  <r>
    <x v="1"/>
    <n v="16"/>
  </r>
  <r>
    <x v="1"/>
    <n v="5"/>
  </r>
  <r>
    <x v="2"/>
    <n v="7"/>
  </r>
  <r>
    <x v="4"/>
    <n v="8"/>
  </r>
  <r>
    <x v="2"/>
    <n v="10"/>
  </r>
  <r>
    <x v="0"/>
    <n v="2"/>
  </r>
  <r>
    <x v="3"/>
    <n v="6"/>
  </r>
  <r>
    <x v="5"/>
    <n v="17"/>
  </r>
  <r>
    <x v="4"/>
    <n v="19"/>
  </r>
  <r>
    <x v="4"/>
    <n v="8"/>
  </r>
  <r>
    <x v="0"/>
    <n v="4"/>
  </r>
  <r>
    <x v="5"/>
    <n v="16"/>
  </r>
  <r>
    <x v="2"/>
    <n v="7"/>
  </r>
  <r>
    <x v="4"/>
    <n v="4"/>
  </r>
  <r>
    <x v="3"/>
    <n v="8"/>
  </r>
  <r>
    <x v="4"/>
    <n v="11"/>
  </r>
  <r>
    <x v="2"/>
    <n v="4"/>
  </r>
  <r>
    <x v="1"/>
    <n v="13"/>
  </r>
  <r>
    <x v="2"/>
    <n v="4"/>
  </r>
  <r>
    <x v="1"/>
    <n v="9"/>
  </r>
  <r>
    <x v="2"/>
    <n v="18"/>
  </r>
  <r>
    <x v="5"/>
    <n v="7"/>
  </r>
  <r>
    <x v="0"/>
    <n v="1"/>
  </r>
  <r>
    <x v="2"/>
    <n v="4"/>
  </r>
  <r>
    <x v="0"/>
    <n v="1"/>
  </r>
  <r>
    <x v="0"/>
    <n v="6"/>
  </r>
  <r>
    <x v="3"/>
    <n v="11"/>
  </r>
  <r>
    <x v="1"/>
    <n v="6"/>
  </r>
  <r>
    <x v="5"/>
    <n v="11"/>
  </r>
  <r>
    <x v="3"/>
    <n v="12"/>
  </r>
  <r>
    <x v="2"/>
    <n v="9"/>
  </r>
  <r>
    <x v="1"/>
    <n v="12"/>
  </r>
  <r>
    <x v="3"/>
    <n v="16"/>
  </r>
  <r>
    <x v="1"/>
    <n v="14"/>
  </r>
  <r>
    <x v="3"/>
    <n v="19"/>
  </r>
  <r>
    <x v="5"/>
    <n v="2"/>
  </r>
  <r>
    <x v="2"/>
    <n v="4"/>
  </r>
  <r>
    <x v="1"/>
    <n v="20"/>
  </r>
  <r>
    <x v="4"/>
    <n v="7"/>
  </r>
  <r>
    <x v="2"/>
    <n v="9"/>
  </r>
  <r>
    <x v="4"/>
    <n v="16"/>
  </r>
  <r>
    <x v="5"/>
    <n v="19"/>
  </r>
  <r>
    <x v="2"/>
    <n v="20"/>
  </r>
  <r>
    <x v="5"/>
    <n v="13"/>
  </r>
  <r>
    <x v="5"/>
    <n v="16"/>
  </r>
  <r>
    <x v="2"/>
    <n v="18"/>
  </r>
  <r>
    <x v="0"/>
    <n v="8"/>
  </r>
  <r>
    <x v="1"/>
    <n v="7"/>
  </r>
  <r>
    <x v="3"/>
    <n v="6"/>
  </r>
  <r>
    <x v="1"/>
    <n v="16"/>
  </r>
  <r>
    <x v="3"/>
    <n v="14"/>
  </r>
  <r>
    <x v="3"/>
    <n v="9"/>
  </r>
  <r>
    <x v="0"/>
    <n v="20"/>
  </r>
  <r>
    <x v="2"/>
    <n v="20"/>
  </r>
  <r>
    <x v="1"/>
    <n v="9"/>
  </r>
  <r>
    <x v="2"/>
    <n v="2"/>
  </r>
  <r>
    <x v="4"/>
    <n v="6"/>
  </r>
  <r>
    <x v="5"/>
    <n v="3"/>
  </r>
  <r>
    <x v="3"/>
    <n v="10"/>
  </r>
  <r>
    <x v="2"/>
    <n v="12"/>
  </r>
  <r>
    <x v="2"/>
    <n v="6"/>
  </r>
  <r>
    <x v="4"/>
    <n v="15"/>
  </r>
  <r>
    <x v="3"/>
    <n v="3"/>
  </r>
  <r>
    <x v="4"/>
    <n v="20"/>
  </r>
  <r>
    <x v="2"/>
    <n v="20"/>
  </r>
  <r>
    <x v="5"/>
    <n v="13"/>
  </r>
  <r>
    <x v="4"/>
    <n v="6"/>
  </r>
  <r>
    <x v="4"/>
    <n v="8"/>
  </r>
  <r>
    <x v="5"/>
    <n v="1"/>
  </r>
  <r>
    <x v="1"/>
    <n v="5"/>
  </r>
  <r>
    <x v="4"/>
    <n v="7"/>
  </r>
  <r>
    <x v="2"/>
    <n v="6"/>
  </r>
  <r>
    <x v="4"/>
    <n v="1"/>
  </r>
  <r>
    <x v="0"/>
    <n v="5"/>
  </r>
  <r>
    <x v="4"/>
    <n v="1"/>
  </r>
  <r>
    <x v="1"/>
    <n v="12"/>
  </r>
  <r>
    <x v="4"/>
    <n v="17"/>
  </r>
  <r>
    <x v="3"/>
    <n v="7"/>
  </r>
  <r>
    <x v="1"/>
    <n v="18"/>
  </r>
  <r>
    <x v="5"/>
    <n v="7"/>
  </r>
  <r>
    <x v="5"/>
    <n v="18"/>
  </r>
  <r>
    <x v="4"/>
    <n v="4"/>
  </r>
  <r>
    <x v="0"/>
    <n v="18"/>
  </r>
  <r>
    <x v="0"/>
    <n v="14"/>
  </r>
  <r>
    <x v="3"/>
    <n v="8"/>
  </r>
  <r>
    <x v="4"/>
    <n v="9"/>
  </r>
  <r>
    <x v="0"/>
    <n v="9"/>
  </r>
  <r>
    <x v="3"/>
    <n v="4"/>
  </r>
  <r>
    <x v="2"/>
    <n v="5"/>
  </r>
  <r>
    <x v="1"/>
    <n v="12"/>
  </r>
  <r>
    <x v="2"/>
    <n v="7"/>
  </r>
  <r>
    <x v="4"/>
    <n v="18"/>
  </r>
  <r>
    <x v="0"/>
    <n v="8"/>
  </r>
  <r>
    <x v="1"/>
    <n v="15"/>
  </r>
  <r>
    <x v="3"/>
    <n v="19"/>
  </r>
  <r>
    <x v="2"/>
    <n v="8"/>
  </r>
  <r>
    <x v="2"/>
    <n v="6"/>
  </r>
  <r>
    <x v="3"/>
    <n v="5"/>
  </r>
  <r>
    <x v="3"/>
    <n v="13"/>
  </r>
  <r>
    <x v="1"/>
    <n v="1"/>
  </r>
  <r>
    <x v="1"/>
    <n v="4"/>
  </r>
  <r>
    <x v="3"/>
    <n v="15"/>
  </r>
  <r>
    <x v="3"/>
    <n v="1"/>
  </r>
  <r>
    <x v="0"/>
    <n v="16"/>
  </r>
  <r>
    <x v="3"/>
    <n v="16"/>
  </r>
  <r>
    <x v="3"/>
    <n v="5"/>
  </r>
  <r>
    <x v="1"/>
    <n v="19"/>
  </r>
  <r>
    <x v="2"/>
    <n v="16"/>
  </r>
  <r>
    <x v="5"/>
    <n v="18"/>
  </r>
  <r>
    <x v="2"/>
    <n v="12"/>
  </r>
  <r>
    <x v="3"/>
    <n v="19"/>
  </r>
  <r>
    <x v="1"/>
    <n v="1"/>
  </r>
  <r>
    <x v="4"/>
    <n v="18"/>
  </r>
  <r>
    <x v="2"/>
    <n v="5"/>
  </r>
  <r>
    <x v="0"/>
    <n v="18"/>
  </r>
  <r>
    <x v="4"/>
    <n v="2"/>
  </r>
  <r>
    <x v="4"/>
    <n v="19"/>
  </r>
  <r>
    <x v="3"/>
    <n v="15"/>
  </r>
  <r>
    <x v="0"/>
    <n v="18"/>
  </r>
  <r>
    <x v="1"/>
    <n v="13"/>
  </r>
  <r>
    <x v="2"/>
    <n v="16"/>
  </r>
  <r>
    <x v="0"/>
    <n v="1"/>
  </r>
  <r>
    <x v="5"/>
    <n v="15"/>
  </r>
  <r>
    <x v="2"/>
    <n v="8"/>
  </r>
  <r>
    <x v="4"/>
    <n v="5"/>
  </r>
  <r>
    <x v="1"/>
    <n v="8"/>
  </r>
  <r>
    <x v="2"/>
    <n v="1"/>
  </r>
  <r>
    <x v="5"/>
    <n v="15"/>
  </r>
  <r>
    <x v="0"/>
    <n v="15"/>
  </r>
  <r>
    <x v="1"/>
    <n v="11"/>
  </r>
  <r>
    <x v="3"/>
    <n v="14"/>
  </r>
  <r>
    <x v="2"/>
    <n v="8"/>
  </r>
  <r>
    <x v="4"/>
    <n v="6"/>
  </r>
  <r>
    <x v="4"/>
    <n v="8"/>
  </r>
  <r>
    <x v="5"/>
    <n v="5"/>
  </r>
  <r>
    <x v="2"/>
    <n v="9"/>
  </r>
  <r>
    <x v="0"/>
    <n v="9"/>
  </r>
  <r>
    <x v="0"/>
    <n v="6"/>
  </r>
  <r>
    <x v="0"/>
    <n v="5"/>
  </r>
  <r>
    <x v="3"/>
    <n v="19"/>
  </r>
  <r>
    <x v="4"/>
    <n v="3"/>
  </r>
  <r>
    <x v="0"/>
    <n v="3"/>
  </r>
  <r>
    <x v="2"/>
    <n v="19"/>
  </r>
  <r>
    <x v="5"/>
    <n v="14"/>
  </r>
  <r>
    <x v="2"/>
    <n v="8"/>
  </r>
  <r>
    <x v="5"/>
    <n v="12"/>
  </r>
  <r>
    <x v="0"/>
    <n v="13"/>
  </r>
  <r>
    <x v="2"/>
    <n v="5"/>
  </r>
  <r>
    <x v="4"/>
    <n v="4"/>
  </r>
  <r>
    <x v="0"/>
    <n v="20"/>
  </r>
  <r>
    <x v="4"/>
    <n v="13"/>
  </r>
  <r>
    <x v="1"/>
    <n v="18"/>
  </r>
  <r>
    <x v="0"/>
    <n v="17"/>
  </r>
  <r>
    <x v="2"/>
    <n v="9"/>
  </r>
  <r>
    <x v="1"/>
    <n v="18"/>
  </r>
  <r>
    <x v="0"/>
    <n v="5"/>
  </r>
  <r>
    <x v="4"/>
    <n v="1"/>
  </r>
  <r>
    <x v="2"/>
    <n v="2"/>
  </r>
  <r>
    <x v="4"/>
    <n v="14"/>
  </r>
  <r>
    <x v="5"/>
    <n v="18"/>
  </r>
  <r>
    <x v="0"/>
    <n v="12"/>
  </r>
  <r>
    <x v="1"/>
    <n v="6"/>
  </r>
  <r>
    <x v="2"/>
    <n v="8"/>
  </r>
  <r>
    <x v="1"/>
    <n v="17"/>
  </r>
  <r>
    <x v="1"/>
    <n v="2"/>
  </r>
  <r>
    <x v="3"/>
    <n v="17"/>
  </r>
  <r>
    <x v="0"/>
    <n v="10"/>
  </r>
  <r>
    <x v="3"/>
    <n v="2"/>
  </r>
  <r>
    <x v="4"/>
    <n v="9"/>
  </r>
  <r>
    <x v="0"/>
    <n v="13"/>
  </r>
  <r>
    <x v="4"/>
    <n v="6"/>
  </r>
  <r>
    <x v="5"/>
    <n v="2"/>
  </r>
  <r>
    <x v="4"/>
    <n v="17"/>
  </r>
  <r>
    <x v="4"/>
    <n v="20"/>
  </r>
  <r>
    <x v="2"/>
    <n v="15"/>
  </r>
  <r>
    <x v="2"/>
    <n v="16"/>
  </r>
  <r>
    <x v="1"/>
    <n v="7"/>
  </r>
  <r>
    <x v="1"/>
    <n v="2"/>
  </r>
  <r>
    <x v="4"/>
    <n v="16"/>
  </r>
  <r>
    <x v="2"/>
    <n v="7"/>
  </r>
  <r>
    <x v="4"/>
    <n v="13"/>
  </r>
  <r>
    <x v="1"/>
    <n v="18"/>
  </r>
  <r>
    <x v="5"/>
    <n v="4"/>
  </r>
  <r>
    <x v="1"/>
    <n v="13"/>
  </r>
  <r>
    <x v="2"/>
    <n v="16"/>
  </r>
  <r>
    <x v="4"/>
    <n v="9"/>
  </r>
  <r>
    <x v="0"/>
    <n v="1"/>
  </r>
  <r>
    <x v="1"/>
    <n v="9"/>
  </r>
  <r>
    <x v="5"/>
    <n v="11"/>
  </r>
  <r>
    <x v="0"/>
    <n v="20"/>
  </r>
  <r>
    <x v="0"/>
    <n v="14"/>
  </r>
  <r>
    <x v="4"/>
    <n v="16"/>
  </r>
  <r>
    <x v="1"/>
    <n v="2"/>
  </r>
  <r>
    <x v="4"/>
    <n v="15"/>
  </r>
  <r>
    <x v="1"/>
    <n v="15"/>
  </r>
  <r>
    <x v="3"/>
    <n v="18"/>
  </r>
  <r>
    <x v="5"/>
    <n v="13"/>
  </r>
  <r>
    <x v="1"/>
    <n v="13"/>
  </r>
  <r>
    <x v="5"/>
    <n v="10"/>
  </r>
  <r>
    <x v="5"/>
    <n v="13"/>
  </r>
  <r>
    <x v="1"/>
    <n v="16"/>
  </r>
  <r>
    <x v="5"/>
    <n v="12"/>
  </r>
  <r>
    <x v="0"/>
    <n v="8"/>
  </r>
  <r>
    <x v="5"/>
    <n v="20"/>
  </r>
  <r>
    <x v="0"/>
    <n v="11"/>
  </r>
  <r>
    <x v="4"/>
    <n v="11"/>
  </r>
  <r>
    <x v="4"/>
    <n v="20"/>
  </r>
  <r>
    <x v="0"/>
    <n v="9"/>
  </r>
  <r>
    <x v="0"/>
    <n v="6"/>
  </r>
  <r>
    <x v="1"/>
    <n v="11"/>
  </r>
  <r>
    <x v="3"/>
    <n v="1"/>
  </r>
  <r>
    <x v="4"/>
    <n v="8"/>
  </r>
  <r>
    <x v="0"/>
    <n v="6"/>
  </r>
  <r>
    <x v="2"/>
    <n v="11"/>
  </r>
  <r>
    <x v="0"/>
    <n v="1"/>
  </r>
  <r>
    <x v="0"/>
    <n v="5"/>
  </r>
  <r>
    <x v="4"/>
    <n v="20"/>
  </r>
  <r>
    <x v="2"/>
    <n v="6"/>
  </r>
  <r>
    <x v="4"/>
    <n v="11"/>
  </r>
  <r>
    <x v="4"/>
    <n v="5"/>
  </r>
  <r>
    <x v="1"/>
    <n v="6"/>
  </r>
  <r>
    <x v="0"/>
    <n v="4"/>
  </r>
  <r>
    <x v="0"/>
    <n v="13"/>
  </r>
  <r>
    <x v="3"/>
    <n v="20"/>
  </r>
  <r>
    <x v="2"/>
    <n v="5"/>
  </r>
  <r>
    <x v="1"/>
    <n v="8"/>
  </r>
  <r>
    <x v="4"/>
    <n v="5"/>
  </r>
  <r>
    <x v="1"/>
    <n v="18"/>
  </r>
  <r>
    <x v="5"/>
    <n v="14"/>
  </r>
  <r>
    <x v="0"/>
    <n v="5"/>
  </r>
  <r>
    <x v="5"/>
    <n v="4"/>
  </r>
  <r>
    <x v="5"/>
    <n v="7"/>
  </r>
  <r>
    <x v="5"/>
    <n v="7"/>
  </r>
  <r>
    <x v="2"/>
    <n v="14"/>
  </r>
  <r>
    <x v="3"/>
    <n v="8"/>
  </r>
  <r>
    <x v="3"/>
    <n v="1"/>
  </r>
  <r>
    <x v="2"/>
    <n v="19"/>
  </r>
  <r>
    <x v="3"/>
    <n v="16"/>
  </r>
  <r>
    <x v="0"/>
    <n v="1"/>
  </r>
  <r>
    <x v="1"/>
    <n v="17"/>
  </r>
  <r>
    <x v="0"/>
    <n v="10"/>
  </r>
  <r>
    <x v="4"/>
    <n v="9"/>
  </r>
  <r>
    <x v="1"/>
    <n v="9"/>
  </r>
  <r>
    <x v="2"/>
    <n v="2"/>
  </r>
  <r>
    <x v="5"/>
    <n v="14"/>
  </r>
  <r>
    <x v="3"/>
    <n v="3"/>
  </r>
  <r>
    <x v="5"/>
    <n v="6"/>
  </r>
  <r>
    <x v="5"/>
    <n v="15"/>
  </r>
  <r>
    <x v="0"/>
    <n v="16"/>
  </r>
  <r>
    <x v="1"/>
    <n v="19"/>
  </r>
  <r>
    <x v="5"/>
    <n v="11"/>
  </r>
  <r>
    <x v="1"/>
    <n v="4"/>
  </r>
  <r>
    <x v="3"/>
    <n v="19"/>
  </r>
  <r>
    <x v="5"/>
    <n v="19"/>
  </r>
  <r>
    <x v="5"/>
    <n v="20"/>
  </r>
  <r>
    <x v="4"/>
    <n v="15"/>
  </r>
  <r>
    <x v="2"/>
    <n v="2"/>
  </r>
  <r>
    <x v="3"/>
    <n v="6"/>
  </r>
  <r>
    <x v="4"/>
    <n v="1"/>
  </r>
  <r>
    <x v="4"/>
    <n v="13"/>
  </r>
  <r>
    <x v="5"/>
    <n v="12"/>
  </r>
  <r>
    <x v="5"/>
    <n v="10"/>
  </r>
  <r>
    <x v="4"/>
    <n v="2"/>
  </r>
  <r>
    <x v="0"/>
    <n v="15"/>
  </r>
  <r>
    <x v="2"/>
    <n v="3"/>
  </r>
  <r>
    <x v="1"/>
    <n v="13"/>
  </r>
  <r>
    <x v="3"/>
    <n v="17"/>
  </r>
  <r>
    <x v="5"/>
    <n v="16"/>
  </r>
  <r>
    <x v="1"/>
    <n v="14"/>
  </r>
  <r>
    <x v="5"/>
    <n v="9"/>
  </r>
  <r>
    <x v="4"/>
    <n v="11"/>
  </r>
  <r>
    <x v="5"/>
    <n v="14"/>
  </r>
  <r>
    <x v="3"/>
    <n v="18"/>
  </r>
  <r>
    <x v="5"/>
    <n v="6"/>
  </r>
  <r>
    <x v="4"/>
    <n v="17"/>
  </r>
  <r>
    <x v="3"/>
    <n v="4"/>
  </r>
  <r>
    <x v="5"/>
    <n v="6"/>
  </r>
  <r>
    <x v="4"/>
    <n v="18"/>
  </r>
  <r>
    <x v="4"/>
    <n v="7"/>
  </r>
  <r>
    <x v="2"/>
    <n v="20"/>
  </r>
  <r>
    <x v="1"/>
    <n v="11"/>
  </r>
  <r>
    <x v="0"/>
    <n v="9"/>
  </r>
  <r>
    <x v="0"/>
    <n v="6"/>
  </r>
  <r>
    <x v="0"/>
    <n v="3"/>
  </r>
  <r>
    <x v="3"/>
    <n v="2"/>
  </r>
  <r>
    <x v="0"/>
    <n v="10"/>
  </r>
  <r>
    <x v="2"/>
    <n v="3"/>
  </r>
  <r>
    <x v="4"/>
    <n v="8"/>
  </r>
  <r>
    <x v="2"/>
    <n v="11"/>
  </r>
  <r>
    <x v="0"/>
    <n v="8"/>
  </r>
  <r>
    <x v="1"/>
    <n v="4"/>
  </r>
  <r>
    <x v="3"/>
    <n v="13"/>
  </r>
  <r>
    <x v="2"/>
    <n v="13"/>
  </r>
  <r>
    <x v="2"/>
    <n v="5"/>
  </r>
  <r>
    <x v="1"/>
    <n v="11"/>
  </r>
  <r>
    <x v="1"/>
    <n v="17"/>
  </r>
  <r>
    <x v="0"/>
    <n v="12"/>
  </r>
  <r>
    <x v="4"/>
    <n v="3"/>
  </r>
  <r>
    <x v="5"/>
    <n v="5"/>
  </r>
  <r>
    <x v="3"/>
    <n v="5"/>
  </r>
  <r>
    <x v="0"/>
    <n v="4"/>
  </r>
  <r>
    <x v="1"/>
    <n v="13"/>
  </r>
  <r>
    <x v="2"/>
    <n v="5"/>
  </r>
  <r>
    <x v="4"/>
    <n v="1"/>
  </r>
  <r>
    <x v="3"/>
    <n v="4"/>
  </r>
  <r>
    <x v="3"/>
    <n v="15"/>
  </r>
  <r>
    <x v="0"/>
    <n v="11"/>
  </r>
  <r>
    <x v="4"/>
    <n v="4"/>
  </r>
  <r>
    <x v="3"/>
    <n v="5"/>
  </r>
  <r>
    <x v="5"/>
    <n v="8"/>
  </r>
  <r>
    <x v="1"/>
    <n v="12"/>
  </r>
  <r>
    <x v="0"/>
    <n v="7"/>
  </r>
  <r>
    <x v="2"/>
    <n v="8"/>
  </r>
  <r>
    <x v="4"/>
    <n v="19"/>
  </r>
  <r>
    <x v="0"/>
    <n v="19"/>
  </r>
  <r>
    <x v="0"/>
    <n v="6"/>
  </r>
  <r>
    <x v="5"/>
    <n v="4"/>
  </r>
  <r>
    <x v="4"/>
    <n v="2"/>
  </r>
  <r>
    <x v="4"/>
    <n v="18"/>
  </r>
  <r>
    <x v="0"/>
    <n v="11"/>
  </r>
  <r>
    <x v="4"/>
    <n v="16"/>
  </r>
  <r>
    <x v="2"/>
    <n v="14"/>
  </r>
  <r>
    <x v="2"/>
    <n v="5"/>
  </r>
  <r>
    <x v="0"/>
    <n v="5"/>
  </r>
  <r>
    <x v="3"/>
    <n v="4"/>
  </r>
  <r>
    <x v="0"/>
    <n v="12"/>
  </r>
  <r>
    <x v="3"/>
    <n v="2"/>
  </r>
  <r>
    <x v="1"/>
    <n v="7"/>
  </r>
  <r>
    <x v="4"/>
    <n v="15"/>
  </r>
  <r>
    <x v="3"/>
    <n v="7"/>
  </r>
  <r>
    <x v="3"/>
    <n v="14"/>
  </r>
  <r>
    <x v="5"/>
    <n v="10"/>
  </r>
  <r>
    <x v="5"/>
    <n v="16"/>
  </r>
  <r>
    <x v="2"/>
    <n v="17"/>
  </r>
  <r>
    <x v="4"/>
    <n v="4"/>
  </r>
  <r>
    <x v="3"/>
    <n v="9"/>
  </r>
  <r>
    <x v="4"/>
    <n v="7"/>
  </r>
  <r>
    <x v="2"/>
    <n v="19"/>
  </r>
  <r>
    <x v="3"/>
    <n v="17"/>
  </r>
  <r>
    <x v="1"/>
    <n v="17"/>
  </r>
  <r>
    <x v="0"/>
    <n v="6"/>
  </r>
  <r>
    <x v="1"/>
    <n v="20"/>
  </r>
  <r>
    <x v="0"/>
    <n v="2"/>
  </r>
  <r>
    <x v="2"/>
    <n v="9"/>
  </r>
  <r>
    <x v="2"/>
    <n v="9"/>
  </r>
  <r>
    <x v="4"/>
    <n v="12"/>
  </r>
  <r>
    <x v="4"/>
    <n v="18"/>
  </r>
  <r>
    <x v="3"/>
    <n v="3"/>
  </r>
  <r>
    <x v="5"/>
    <n v="13"/>
  </r>
  <r>
    <x v="0"/>
    <n v="20"/>
  </r>
  <r>
    <x v="4"/>
    <n v="17"/>
  </r>
  <r>
    <x v="3"/>
    <n v="4"/>
  </r>
  <r>
    <x v="4"/>
    <n v="8"/>
  </r>
  <r>
    <x v="4"/>
    <n v="6"/>
  </r>
  <r>
    <x v="2"/>
    <n v="20"/>
  </r>
  <r>
    <x v="5"/>
    <n v="19"/>
  </r>
  <r>
    <x v="0"/>
    <n v="12"/>
  </r>
  <r>
    <x v="2"/>
    <n v="19"/>
  </r>
  <r>
    <x v="0"/>
    <n v="12"/>
  </r>
  <r>
    <x v="1"/>
    <n v="19"/>
  </r>
  <r>
    <x v="1"/>
    <n v="19"/>
  </r>
  <r>
    <x v="3"/>
    <n v="16"/>
  </r>
  <r>
    <x v="4"/>
    <n v="3"/>
  </r>
  <r>
    <x v="0"/>
    <n v="19"/>
  </r>
  <r>
    <x v="4"/>
    <n v="14"/>
  </r>
  <r>
    <x v="3"/>
    <n v="20"/>
  </r>
  <r>
    <x v="3"/>
    <n v="1"/>
  </r>
  <r>
    <x v="2"/>
    <n v="11"/>
  </r>
  <r>
    <x v="0"/>
    <n v="20"/>
  </r>
  <r>
    <x v="4"/>
    <n v="20"/>
  </r>
  <r>
    <x v="4"/>
    <n v="2"/>
  </r>
  <r>
    <x v="3"/>
    <n v="20"/>
  </r>
  <r>
    <x v="1"/>
    <n v="13"/>
  </r>
  <r>
    <x v="0"/>
    <n v="7"/>
  </r>
  <r>
    <x v="5"/>
    <n v="8"/>
  </r>
  <r>
    <x v="3"/>
    <n v="2"/>
  </r>
  <r>
    <x v="3"/>
    <n v="6"/>
  </r>
  <r>
    <x v="5"/>
    <n v="19"/>
  </r>
  <r>
    <x v="2"/>
    <n v="14"/>
  </r>
  <r>
    <x v="0"/>
    <n v="18"/>
  </r>
  <r>
    <x v="0"/>
    <n v="10"/>
  </r>
  <r>
    <x v="2"/>
    <n v="18"/>
  </r>
  <r>
    <x v="3"/>
    <n v="13"/>
  </r>
  <r>
    <x v="3"/>
    <n v="5"/>
  </r>
  <r>
    <x v="4"/>
    <n v="12"/>
  </r>
  <r>
    <x v="2"/>
    <n v="1"/>
  </r>
  <r>
    <x v="1"/>
    <n v="14"/>
  </r>
  <r>
    <x v="5"/>
    <n v="10"/>
  </r>
  <r>
    <x v="2"/>
    <n v="3"/>
  </r>
  <r>
    <x v="3"/>
    <n v="10"/>
  </r>
  <r>
    <x v="4"/>
    <n v="15"/>
  </r>
  <r>
    <x v="5"/>
    <n v="4"/>
  </r>
  <r>
    <x v="5"/>
    <n v="14"/>
  </r>
  <r>
    <x v="4"/>
    <n v="14"/>
  </r>
  <r>
    <x v="4"/>
    <n v="7"/>
  </r>
  <r>
    <x v="3"/>
    <n v="2"/>
  </r>
  <r>
    <x v="5"/>
    <n v="20"/>
  </r>
  <r>
    <x v="5"/>
    <n v="16"/>
  </r>
  <r>
    <x v="3"/>
    <n v="19"/>
  </r>
  <r>
    <x v="1"/>
    <n v="19"/>
  </r>
  <r>
    <x v="1"/>
    <n v="19"/>
  </r>
  <r>
    <x v="3"/>
    <n v="8"/>
  </r>
  <r>
    <x v="5"/>
    <n v="2"/>
  </r>
  <r>
    <x v="4"/>
    <n v="19"/>
  </r>
  <r>
    <x v="0"/>
    <n v="6"/>
  </r>
  <r>
    <x v="1"/>
    <n v="15"/>
  </r>
  <r>
    <x v="3"/>
    <n v="19"/>
  </r>
  <r>
    <x v="2"/>
    <n v="13"/>
  </r>
  <r>
    <x v="2"/>
    <n v="10"/>
  </r>
  <r>
    <x v="5"/>
    <n v="14"/>
  </r>
  <r>
    <x v="3"/>
    <n v="2"/>
  </r>
  <r>
    <x v="5"/>
    <n v="10"/>
  </r>
  <r>
    <x v="4"/>
    <n v="13"/>
  </r>
  <r>
    <x v="2"/>
    <n v="13"/>
  </r>
  <r>
    <x v="4"/>
    <n v="19"/>
  </r>
  <r>
    <x v="3"/>
    <n v="13"/>
  </r>
  <r>
    <x v="0"/>
    <n v="3"/>
  </r>
  <r>
    <x v="3"/>
    <n v="9"/>
  </r>
  <r>
    <x v="2"/>
    <n v="10"/>
  </r>
  <r>
    <x v="4"/>
    <n v="11"/>
  </r>
  <r>
    <x v="4"/>
    <n v="15"/>
  </r>
  <r>
    <x v="4"/>
    <n v="2"/>
  </r>
  <r>
    <x v="3"/>
    <n v="10"/>
  </r>
  <r>
    <x v="3"/>
    <n v="17"/>
  </r>
  <r>
    <x v="1"/>
    <n v="9"/>
  </r>
  <r>
    <x v="4"/>
    <n v="1"/>
  </r>
  <r>
    <x v="3"/>
    <n v="12"/>
  </r>
  <r>
    <x v="4"/>
    <n v="14"/>
  </r>
  <r>
    <x v="2"/>
    <n v="13"/>
  </r>
  <r>
    <x v="0"/>
    <n v="5"/>
  </r>
  <r>
    <x v="4"/>
    <n v="17"/>
  </r>
  <r>
    <x v="0"/>
    <n v="17"/>
  </r>
  <r>
    <x v="2"/>
    <n v="18"/>
  </r>
  <r>
    <x v="0"/>
    <n v="16"/>
  </r>
  <r>
    <x v="2"/>
    <n v="7"/>
  </r>
  <r>
    <x v="3"/>
    <n v="16"/>
  </r>
  <r>
    <x v="0"/>
    <n v="5"/>
  </r>
  <r>
    <x v="5"/>
    <n v="20"/>
  </r>
  <r>
    <x v="1"/>
    <n v="4"/>
  </r>
  <r>
    <x v="1"/>
    <n v="18"/>
  </r>
  <r>
    <x v="3"/>
    <n v="6"/>
  </r>
  <r>
    <x v="0"/>
    <n v="3"/>
  </r>
  <r>
    <x v="1"/>
    <n v="13"/>
  </r>
  <r>
    <x v="1"/>
    <n v="13"/>
  </r>
  <r>
    <x v="5"/>
    <n v="17"/>
  </r>
  <r>
    <x v="2"/>
    <n v="3"/>
  </r>
  <r>
    <x v="5"/>
    <n v="18"/>
  </r>
  <r>
    <x v="3"/>
    <n v="20"/>
  </r>
  <r>
    <x v="0"/>
    <n v="4"/>
  </r>
  <r>
    <x v="1"/>
    <n v="3"/>
  </r>
  <r>
    <x v="1"/>
    <n v="19"/>
  </r>
  <r>
    <x v="5"/>
    <n v="7"/>
  </r>
  <r>
    <x v="1"/>
    <n v="17"/>
  </r>
  <r>
    <x v="3"/>
    <n v="10"/>
  </r>
  <r>
    <x v="5"/>
    <n v="14"/>
  </r>
  <r>
    <x v="0"/>
    <n v="18"/>
  </r>
  <r>
    <x v="4"/>
    <n v="2"/>
  </r>
  <r>
    <x v="4"/>
    <n v="1"/>
  </r>
  <r>
    <x v="3"/>
    <n v="14"/>
  </r>
  <r>
    <x v="2"/>
    <n v="7"/>
  </r>
  <r>
    <x v="2"/>
    <n v="15"/>
  </r>
  <r>
    <x v="1"/>
    <n v="16"/>
  </r>
  <r>
    <x v="5"/>
    <n v="15"/>
  </r>
  <r>
    <x v="5"/>
    <n v="17"/>
  </r>
  <r>
    <x v="5"/>
    <n v="12"/>
  </r>
  <r>
    <x v="2"/>
    <n v="8"/>
  </r>
  <r>
    <x v="4"/>
    <n v="6"/>
  </r>
  <r>
    <x v="2"/>
    <n v="16"/>
  </r>
  <r>
    <x v="3"/>
    <n v="20"/>
  </r>
  <r>
    <x v="5"/>
    <n v="4"/>
  </r>
  <r>
    <x v="3"/>
    <n v="18"/>
  </r>
  <r>
    <x v="5"/>
    <n v="16"/>
  </r>
  <r>
    <x v="5"/>
    <n v="11"/>
  </r>
  <r>
    <x v="3"/>
    <n v="16"/>
  </r>
  <r>
    <x v="4"/>
    <n v="13"/>
  </r>
  <r>
    <x v="1"/>
    <n v="2"/>
  </r>
  <r>
    <x v="5"/>
    <n v="8"/>
  </r>
  <r>
    <x v="4"/>
    <n v="17"/>
  </r>
  <r>
    <x v="5"/>
    <n v="14"/>
  </r>
  <r>
    <x v="5"/>
    <n v="2"/>
  </r>
  <r>
    <x v="0"/>
    <n v="18"/>
  </r>
  <r>
    <x v="5"/>
    <n v="11"/>
  </r>
  <r>
    <x v="2"/>
    <n v="2"/>
  </r>
  <r>
    <x v="0"/>
    <n v="4"/>
  </r>
  <r>
    <x v="2"/>
    <n v="9"/>
  </r>
  <r>
    <x v="2"/>
    <n v="2"/>
  </r>
  <r>
    <x v="0"/>
    <n v="17"/>
  </r>
  <r>
    <x v="0"/>
    <n v="11"/>
  </r>
  <r>
    <x v="3"/>
    <n v="8"/>
  </r>
  <r>
    <x v="4"/>
    <n v="16"/>
  </r>
  <r>
    <x v="5"/>
    <n v="5"/>
  </r>
  <r>
    <x v="1"/>
    <n v="16"/>
  </r>
  <r>
    <x v="3"/>
    <n v="17"/>
  </r>
  <r>
    <x v="2"/>
    <n v="4"/>
  </r>
  <r>
    <x v="2"/>
    <n v="12"/>
  </r>
  <r>
    <x v="5"/>
    <n v="16"/>
  </r>
  <r>
    <x v="2"/>
    <n v="17"/>
  </r>
  <r>
    <x v="1"/>
    <n v="5"/>
  </r>
  <r>
    <x v="0"/>
    <n v="10"/>
  </r>
  <r>
    <x v="0"/>
    <n v="4"/>
  </r>
  <r>
    <x v="3"/>
    <n v="5"/>
  </r>
  <r>
    <x v="0"/>
    <n v="4"/>
  </r>
  <r>
    <x v="2"/>
    <n v="14"/>
  </r>
  <r>
    <x v="1"/>
    <n v="15"/>
  </r>
  <r>
    <x v="2"/>
    <n v="20"/>
  </r>
  <r>
    <x v="1"/>
    <n v="13"/>
  </r>
  <r>
    <x v="3"/>
    <n v="15"/>
  </r>
  <r>
    <x v="2"/>
    <n v="1"/>
  </r>
  <r>
    <x v="3"/>
    <n v="13"/>
  </r>
  <r>
    <x v="4"/>
    <n v="8"/>
  </r>
  <r>
    <x v="3"/>
    <n v="17"/>
  </r>
  <r>
    <x v="0"/>
    <n v="16"/>
  </r>
  <r>
    <x v="4"/>
    <n v="13"/>
  </r>
  <r>
    <x v="2"/>
    <n v="11"/>
  </r>
  <r>
    <x v="2"/>
    <n v="14"/>
  </r>
  <r>
    <x v="1"/>
    <n v="18"/>
  </r>
  <r>
    <x v="2"/>
    <n v="11"/>
  </r>
  <r>
    <x v="3"/>
    <n v="18"/>
  </r>
  <r>
    <x v="5"/>
    <n v="1"/>
  </r>
  <r>
    <x v="2"/>
    <n v="14"/>
  </r>
  <r>
    <x v="3"/>
    <n v="14"/>
  </r>
  <r>
    <x v="3"/>
    <n v="10"/>
  </r>
  <r>
    <x v="1"/>
    <n v="8"/>
  </r>
  <r>
    <x v="4"/>
    <n v="5"/>
  </r>
  <r>
    <x v="1"/>
    <n v="6"/>
  </r>
  <r>
    <x v="4"/>
    <n v="13"/>
  </r>
  <r>
    <x v="4"/>
    <n v="10"/>
  </r>
  <r>
    <x v="1"/>
    <n v="12"/>
  </r>
  <r>
    <x v="1"/>
    <n v="15"/>
  </r>
  <r>
    <x v="1"/>
    <n v="19"/>
  </r>
  <r>
    <x v="4"/>
    <n v="20"/>
  </r>
  <r>
    <x v="5"/>
    <n v="12"/>
  </r>
  <r>
    <x v="0"/>
    <n v="11"/>
  </r>
  <r>
    <x v="0"/>
    <n v="12"/>
  </r>
  <r>
    <x v="4"/>
    <n v="7"/>
  </r>
  <r>
    <x v="1"/>
    <n v="7"/>
  </r>
  <r>
    <x v="3"/>
    <n v="4"/>
  </r>
  <r>
    <x v="0"/>
    <n v="12"/>
  </r>
  <r>
    <x v="4"/>
    <n v="18"/>
  </r>
  <r>
    <x v="5"/>
    <n v="4"/>
  </r>
  <r>
    <x v="0"/>
    <n v="20"/>
  </r>
  <r>
    <x v="1"/>
    <n v="13"/>
  </r>
  <r>
    <x v="0"/>
    <n v="10"/>
  </r>
  <r>
    <x v="4"/>
    <n v="4"/>
  </r>
  <r>
    <x v="4"/>
    <n v="17"/>
  </r>
  <r>
    <x v="4"/>
    <n v="11"/>
  </r>
  <r>
    <x v="5"/>
    <n v="7"/>
  </r>
  <r>
    <x v="5"/>
    <n v="15"/>
  </r>
  <r>
    <x v="2"/>
    <n v="10"/>
  </r>
  <r>
    <x v="1"/>
    <n v="13"/>
  </r>
  <r>
    <x v="5"/>
    <n v="3"/>
  </r>
  <r>
    <x v="3"/>
    <n v="19"/>
  </r>
  <r>
    <x v="3"/>
    <n v="11"/>
  </r>
  <r>
    <x v="0"/>
    <n v="9"/>
  </r>
  <r>
    <x v="0"/>
    <n v="10"/>
  </r>
  <r>
    <x v="2"/>
    <n v="8"/>
  </r>
  <r>
    <x v="4"/>
    <n v="9"/>
  </r>
  <r>
    <x v="2"/>
    <n v="14"/>
  </r>
  <r>
    <x v="1"/>
    <n v="6"/>
  </r>
  <r>
    <x v="2"/>
    <n v="8"/>
  </r>
  <r>
    <x v="5"/>
    <n v="1"/>
  </r>
  <r>
    <x v="5"/>
    <n v="10"/>
  </r>
  <r>
    <x v="5"/>
    <n v="9"/>
  </r>
  <r>
    <x v="5"/>
    <n v="2"/>
  </r>
  <r>
    <x v="4"/>
    <n v="2"/>
  </r>
  <r>
    <x v="2"/>
    <n v="18"/>
  </r>
  <r>
    <x v="5"/>
    <n v="5"/>
  </r>
  <r>
    <x v="5"/>
    <n v="16"/>
  </r>
  <r>
    <x v="4"/>
    <n v="1"/>
  </r>
  <r>
    <x v="2"/>
    <n v="16"/>
  </r>
  <r>
    <x v="1"/>
    <n v="12"/>
  </r>
  <r>
    <x v="5"/>
    <n v="10"/>
  </r>
  <r>
    <x v="3"/>
    <n v="6"/>
  </r>
  <r>
    <x v="5"/>
    <n v="7"/>
  </r>
  <r>
    <x v="0"/>
    <n v="6"/>
  </r>
  <r>
    <x v="1"/>
    <n v="17"/>
  </r>
  <r>
    <x v="4"/>
    <n v="7"/>
  </r>
  <r>
    <x v="3"/>
    <n v="5"/>
  </r>
  <r>
    <x v="4"/>
    <n v="10"/>
  </r>
  <r>
    <x v="3"/>
    <n v="2"/>
  </r>
  <r>
    <x v="1"/>
    <n v="7"/>
  </r>
  <r>
    <x v="3"/>
    <n v="15"/>
  </r>
  <r>
    <x v="1"/>
    <n v="12"/>
  </r>
  <r>
    <x v="5"/>
    <n v="15"/>
  </r>
  <r>
    <x v="3"/>
    <n v="7"/>
  </r>
  <r>
    <x v="4"/>
    <n v="20"/>
  </r>
  <r>
    <x v="5"/>
    <n v="18"/>
  </r>
  <r>
    <x v="3"/>
    <n v="14"/>
  </r>
  <r>
    <x v="4"/>
    <n v="18"/>
  </r>
  <r>
    <x v="1"/>
    <n v="7"/>
  </r>
  <r>
    <x v="2"/>
    <n v="2"/>
  </r>
  <r>
    <x v="3"/>
    <n v="18"/>
  </r>
  <r>
    <x v="0"/>
    <n v="3"/>
  </r>
  <r>
    <x v="4"/>
    <n v="6"/>
  </r>
  <r>
    <x v="5"/>
    <n v="7"/>
  </r>
  <r>
    <x v="0"/>
    <n v="18"/>
  </r>
  <r>
    <x v="3"/>
    <n v="10"/>
  </r>
  <r>
    <x v="4"/>
    <n v="15"/>
  </r>
  <r>
    <x v="2"/>
    <n v="14"/>
  </r>
  <r>
    <x v="3"/>
    <n v="9"/>
  </r>
  <r>
    <x v="3"/>
    <n v="14"/>
  </r>
  <r>
    <x v="5"/>
    <n v="12"/>
  </r>
  <r>
    <x v="4"/>
    <n v="12"/>
  </r>
  <r>
    <x v="3"/>
    <n v="6"/>
  </r>
  <r>
    <x v="1"/>
    <n v="10"/>
  </r>
  <r>
    <x v="3"/>
    <n v="7"/>
  </r>
  <r>
    <x v="4"/>
    <n v="6"/>
  </r>
  <r>
    <x v="4"/>
    <n v="4"/>
  </r>
  <r>
    <x v="4"/>
    <n v="2"/>
  </r>
  <r>
    <x v="4"/>
    <n v="18"/>
  </r>
  <r>
    <x v="1"/>
    <n v="12"/>
  </r>
  <r>
    <x v="3"/>
    <n v="11"/>
  </r>
  <r>
    <x v="2"/>
    <n v="19"/>
  </r>
  <r>
    <x v="2"/>
    <n v="5"/>
  </r>
  <r>
    <x v="4"/>
    <n v="11"/>
  </r>
  <r>
    <x v="1"/>
    <n v="10"/>
  </r>
  <r>
    <x v="4"/>
    <n v="7"/>
  </r>
  <r>
    <x v="3"/>
    <n v="19"/>
  </r>
  <r>
    <x v="5"/>
    <n v="17"/>
  </r>
  <r>
    <x v="1"/>
    <n v="6"/>
  </r>
  <r>
    <x v="4"/>
    <n v="18"/>
  </r>
  <r>
    <x v="0"/>
    <n v="9"/>
  </r>
  <r>
    <x v="3"/>
    <n v="11"/>
  </r>
  <r>
    <x v="5"/>
    <n v="14"/>
  </r>
  <r>
    <x v="5"/>
    <n v="13"/>
  </r>
  <r>
    <x v="4"/>
    <n v="5"/>
  </r>
  <r>
    <x v="0"/>
    <n v="7"/>
  </r>
  <r>
    <x v="0"/>
    <n v="10"/>
  </r>
  <r>
    <x v="4"/>
    <n v="9"/>
  </r>
  <r>
    <x v="4"/>
    <n v="4"/>
  </r>
  <r>
    <x v="2"/>
    <n v="19"/>
  </r>
  <r>
    <x v="1"/>
    <n v="14"/>
  </r>
  <r>
    <x v="5"/>
    <n v="8"/>
  </r>
  <r>
    <x v="0"/>
    <n v="5"/>
  </r>
  <r>
    <x v="3"/>
    <n v="14"/>
  </r>
  <r>
    <x v="2"/>
    <n v="10"/>
  </r>
  <r>
    <x v="3"/>
    <n v="2"/>
  </r>
  <r>
    <x v="2"/>
    <n v="17"/>
  </r>
  <r>
    <x v="3"/>
    <n v="1"/>
  </r>
  <r>
    <x v="2"/>
    <n v="11"/>
  </r>
  <r>
    <x v="2"/>
    <n v="15"/>
  </r>
  <r>
    <x v="3"/>
    <n v="3"/>
  </r>
  <r>
    <x v="1"/>
    <n v="19"/>
  </r>
  <r>
    <x v="1"/>
    <n v="13"/>
  </r>
  <r>
    <x v="0"/>
    <n v="19"/>
  </r>
  <r>
    <x v="1"/>
    <n v="8"/>
  </r>
  <r>
    <x v="5"/>
    <n v="1"/>
  </r>
  <r>
    <x v="0"/>
    <n v="15"/>
  </r>
  <r>
    <x v="3"/>
    <n v="20"/>
  </r>
  <r>
    <x v="1"/>
    <n v="13"/>
  </r>
  <r>
    <x v="5"/>
    <n v="15"/>
  </r>
  <r>
    <x v="1"/>
    <n v="19"/>
  </r>
  <r>
    <x v="4"/>
    <n v="11"/>
  </r>
  <r>
    <x v="5"/>
    <n v="19"/>
  </r>
  <r>
    <x v="3"/>
    <n v="18"/>
  </r>
  <r>
    <x v="5"/>
    <n v="11"/>
  </r>
  <r>
    <x v="3"/>
    <n v="18"/>
  </r>
  <r>
    <x v="5"/>
    <n v="2"/>
  </r>
  <r>
    <x v="3"/>
    <n v="16"/>
  </r>
  <r>
    <x v="2"/>
    <n v="1"/>
  </r>
  <r>
    <x v="2"/>
    <n v="1"/>
  </r>
  <r>
    <x v="2"/>
    <n v="4"/>
  </r>
  <r>
    <x v="1"/>
    <n v="3"/>
  </r>
  <r>
    <x v="4"/>
    <n v="6"/>
  </r>
  <r>
    <x v="1"/>
    <n v="12"/>
  </r>
  <r>
    <x v="5"/>
    <n v="12"/>
  </r>
  <r>
    <x v="0"/>
    <n v="14"/>
  </r>
  <r>
    <x v="2"/>
    <n v="9"/>
  </r>
  <r>
    <x v="1"/>
    <n v="11"/>
  </r>
  <r>
    <x v="0"/>
    <n v="1"/>
  </r>
  <r>
    <x v="4"/>
    <n v="15"/>
  </r>
  <r>
    <x v="1"/>
    <n v="3"/>
  </r>
  <r>
    <x v="2"/>
    <n v="1"/>
  </r>
  <r>
    <x v="2"/>
    <n v="4"/>
  </r>
  <r>
    <x v="3"/>
    <n v="20"/>
  </r>
  <r>
    <x v="4"/>
    <n v="11"/>
  </r>
  <r>
    <x v="2"/>
    <n v="12"/>
  </r>
  <r>
    <x v="3"/>
    <n v="19"/>
  </r>
  <r>
    <x v="1"/>
    <n v="19"/>
  </r>
  <r>
    <x v="3"/>
    <n v="5"/>
  </r>
  <r>
    <x v="3"/>
    <n v="2"/>
  </r>
  <r>
    <x v="4"/>
    <n v="12"/>
  </r>
  <r>
    <x v="0"/>
    <n v="13"/>
  </r>
  <r>
    <x v="0"/>
    <n v="1"/>
  </r>
  <r>
    <x v="1"/>
    <n v="12"/>
  </r>
  <r>
    <x v="0"/>
    <n v="13"/>
  </r>
  <r>
    <x v="0"/>
    <n v="19"/>
  </r>
  <r>
    <x v="3"/>
    <n v="2"/>
  </r>
  <r>
    <x v="0"/>
    <n v="20"/>
  </r>
  <r>
    <x v="4"/>
    <n v="11"/>
  </r>
  <r>
    <x v="5"/>
    <n v="20"/>
  </r>
  <r>
    <x v="4"/>
    <n v="3"/>
  </r>
  <r>
    <x v="0"/>
    <n v="1"/>
  </r>
  <r>
    <x v="5"/>
    <n v="8"/>
  </r>
  <r>
    <x v="4"/>
    <n v="1"/>
  </r>
  <r>
    <x v="3"/>
    <n v="2"/>
  </r>
  <r>
    <x v="1"/>
    <n v="16"/>
  </r>
  <r>
    <x v="0"/>
    <n v="6"/>
  </r>
  <r>
    <x v="1"/>
    <n v="17"/>
  </r>
  <r>
    <x v="4"/>
    <n v="12"/>
  </r>
  <r>
    <x v="2"/>
    <n v="12"/>
  </r>
  <r>
    <x v="1"/>
    <n v="14"/>
  </r>
  <r>
    <x v="0"/>
    <n v="4"/>
  </r>
  <r>
    <x v="1"/>
    <n v="15"/>
  </r>
  <r>
    <x v="5"/>
    <n v="20"/>
  </r>
  <r>
    <x v="4"/>
    <n v="4"/>
  </r>
  <r>
    <x v="4"/>
    <n v="2"/>
  </r>
  <r>
    <x v="5"/>
    <n v="5"/>
  </r>
  <r>
    <x v="5"/>
    <n v="19"/>
  </r>
  <r>
    <x v="4"/>
    <n v="1"/>
  </r>
  <r>
    <x v="3"/>
    <n v="10"/>
  </r>
  <r>
    <x v="2"/>
    <n v="12"/>
  </r>
  <r>
    <x v="5"/>
    <n v="13"/>
  </r>
  <r>
    <x v="0"/>
    <n v="8"/>
  </r>
  <r>
    <x v="3"/>
    <n v="2"/>
  </r>
  <r>
    <x v="0"/>
    <n v="8"/>
  </r>
  <r>
    <x v="3"/>
    <n v="16"/>
  </r>
  <r>
    <x v="4"/>
    <n v="9"/>
  </r>
  <r>
    <x v="5"/>
    <n v="8"/>
  </r>
  <r>
    <x v="0"/>
    <n v="12"/>
  </r>
  <r>
    <x v="0"/>
    <n v="18"/>
  </r>
  <r>
    <x v="4"/>
    <n v="18"/>
  </r>
  <r>
    <x v="2"/>
    <n v="9"/>
  </r>
  <r>
    <x v="0"/>
    <n v="7"/>
  </r>
  <r>
    <x v="5"/>
    <n v="11"/>
  </r>
  <r>
    <x v="1"/>
    <n v="13"/>
  </r>
  <r>
    <x v="4"/>
    <n v="3"/>
  </r>
  <r>
    <x v="1"/>
    <n v="3"/>
  </r>
  <r>
    <x v="2"/>
    <n v="9"/>
  </r>
  <r>
    <x v="5"/>
    <n v="18"/>
  </r>
  <r>
    <x v="1"/>
    <n v="7"/>
  </r>
  <r>
    <x v="4"/>
    <n v="15"/>
  </r>
  <r>
    <x v="3"/>
    <n v="15"/>
  </r>
  <r>
    <x v="5"/>
    <n v="4"/>
  </r>
  <r>
    <x v="0"/>
    <n v="11"/>
  </r>
  <r>
    <x v="5"/>
    <n v="18"/>
  </r>
  <r>
    <x v="1"/>
    <n v="14"/>
  </r>
  <r>
    <x v="3"/>
    <n v="1"/>
  </r>
  <r>
    <x v="0"/>
    <n v="1"/>
  </r>
  <r>
    <x v="2"/>
    <n v="15"/>
  </r>
  <r>
    <x v="5"/>
    <n v="2"/>
  </r>
  <r>
    <x v="0"/>
    <n v="9"/>
  </r>
  <r>
    <x v="5"/>
    <n v="10"/>
  </r>
  <r>
    <x v="1"/>
    <n v="12"/>
  </r>
  <r>
    <x v="1"/>
    <n v="9"/>
  </r>
  <r>
    <x v="3"/>
    <n v="19"/>
  </r>
  <r>
    <x v="1"/>
    <n v="9"/>
  </r>
  <r>
    <x v="3"/>
    <n v="16"/>
  </r>
  <r>
    <x v="0"/>
    <n v="18"/>
  </r>
  <r>
    <x v="3"/>
    <n v="18"/>
  </r>
  <r>
    <x v="0"/>
    <n v="13"/>
  </r>
  <r>
    <x v="0"/>
    <n v="15"/>
  </r>
  <r>
    <x v="4"/>
    <n v="18"/>
  </r>
  <r>
    <x v="1"/>
    <n v="13"/>
  </r>
  <r>
    <x v="5"/>
    <n v="3"/>
  </r>
  <r>
    <x v="3"/>
    <n v="8"/>
  </r>
  <r>
    <x v="4"/>
    <n v="19"/>
  </r>
  <r>
    <x v="2"/>
    <n v="4"/>
  </r>
  <r>
    <x v="2"/>
    <n v="7"/>
  </r>
  <r>
    <x v="3"/>
    <n v="15"/>
  </r>
  <r>
    <x v="4"/>
    <n v="9"/>
  </r>
  <r>
    <x v="3"/>
    <n v="8"/>
  </r>
  <r>
    <x v="3"/>
    <n v="4"/>
  </r>
  <r>
    <x v="3"/>
    <n v="1"/>
  </r>
  <r>
    <x v="0"/>
    <n v="2"/>
  </r>
  <r>
    <x v="1"/>
    <n v="16"/>
  </r>
  <r>
    <x v="5"/>
    <n v="13"/>
  </r>
  <r>
    <x v="1"/>
    <n v="5"/>
  </r>
  <r>
    <x v="2"/>
    <n v="1"/>
  </r>
  <r>
    <x v="3"/>
    <n v="3"/>
  </r>
  <r>
    <x v="4"/>
    <n v="16"/>
  </r>
  <r>
    <x v="4"/>
    <n v="11"/>
  </r>
  <r>
    <x v="1"/>
    <n v="1"/>
  </r>
  <r>
    <x v="0"/>
    <n v="2"/>
  </r>
  <r>
    <x v="3"/>
    <n v="3"/>
  </r>
  <r>
    <x v="0"/>
    <n v="4"/>
  </r>
  <r>
    <x v="1"/>
    <n v="10"/>
  </r>
  <r>
    <x v="0"/>
    <n v="12"/>
  </r>
  <r>
    <x v="1"/>
    <n v="8"/>
  </r>
  <r>
    <x v="0"/>
    <n v="18"/>
  </r>
  <r>
    <x v="1"/>
    <n v="11"/>
  </r>
  <r>
    <x v="0"/>
    <n v="19"/>
  </r>
  <r>
    <x v="4"/>
    <n v="8"/>
  </r>
  <r>
    <x v="2"/>
    <n v="6"/>
  </r>
  <r>
    <x v="1"/>
    <n v="4"/>
  </r>
  <r>
    <x v="0"/>
    <n v="11"/>
  </r>
  <r>
    <x v="1"/>
    <n v="4"/>
  </r>
  <r>
    <x v="3"/>
    <n v="9"/>
  </r>
  <r>
    <x v="3"/>
    <n v="17"/>
  </r>
  <r>
    <x v="4"/>
    <n v="10"/>
  </r>
  <r>
    <x v="4"/>
    <n v="3"/>
  </r>
  <r>
    <x v="1"/>
    <n v="20"/>
  </r>
  <r>
    <x v="0"/>
    <n v="3"/>
  </r>
  <r>
    <x v="0"/>
    <n v="3"/>
  </r>
  <r>
    <x v="4"/>
    <n v="9"/>
  </r>
  <r>
    <x v="1"/>
    <n v="10"/>
  </r>
  <r>
    <x v="2"/>
    <n v="7"/>
  </r>
  <r>
    <x v="2"/>
    <n v="18"/>
  </r>
  <r>
    <x v="4"/>
    <n v="7"/>
  </r>
  <r>
    <x v="3"/>
    <n v="19"/>
  </r>
  <r>
    <x v="1"/>
    <n v="10"/>
  </r>
  <r>
    <x v="4"/>
    <n v="13"/>
  </r>
  <r>
    <x v="4"/>
    <n v="17"/>
  </r>
  <r>
    <x v="4"/>
    <n v="16"/>
  </r>
  <r>
    <x v="4"/>
    <n v="10"/>
  </r>
  <r>
    <x v="4"/>
    <n v="20"/>
  </r>
  <r>
    <x v="2"/>
    <n v="20"/>
  </r>
  <r>
    <x v="2"/>
    <n v="3"/>
  </r>
  <r>
    <x v="1"/>
    <n v="17"/>
  </r>
  <r>
    <x v="0"/>
    <n v="5"/>
  </r>
  <r>
    <x v="2"/>
    <n v="9"/>
  </r>
  <r>
    <x v="1"/>
    <n v="9"/>
  </r>
  <r>
    <x v="1"/>
    <n v="4"/>
  </r>
  <r>
    <x v="1"/>
    <n v="3"/>
  </r>
  <r>
    <x v="1"/>
    <n v="11"/>
  </r>
  <r>
    <x v="0"/>
    <n v="2"/>
  </r>
  <r>
    <x v="0"/>
    <n v="3"/>
  </r>
  <r>
    <x v="3"/>
    <n v="15"/>
  </r>
  <r>
    <x v="3"/>
    <n v="6"/>
  </r>
  <r>
    <x v="1"/>
    <n v="8"/>
  </r>
  <r>
    <x v="2"/>
    <n v="1"/>
  </r>
  <r>
    <x v="5"/>
    <n v="10"/>
  </r>
  <r>
    <x v="2"/>
    <n v="15"/>
  </r>
  <r>
    <x v="4"/>
    <n v="13"/>
  </r>
  <r>
    <x v="3"/>
    <n v="17"/>
  </r>
  <r>
    <x v="3"/>
    <n v="6"/>
  </r>
  <r>
    <x v="0"/>
    <n v="8"/>
  </r>
  <r>
    <x v="0"/>
    <n v="15"/>
  </r>
  <r>
    <x v="0"/>
    <n v="4"/>
  </r>
  <r>
    <x v="3"/>
    <n v="11"/>
  </r>
  <r>
    <x v="3"/>
    <n v="1"/>
  </r>
  <r>
    <x v="2"/>
    <n v="10"/>
  </r>
  <r>
    <x v="0"/>
    <n v="11"/>
  </r>
  <r>
    <x v="1"/>
    <n v="16"/>
  </r>
  <r>
    <x v="2"/>
    <n v="20"/>
  </r>
  <r>
    <x v="3"/>
    <n v="11"/>
  </r>
  <r>
    <x v="5"/>
    <n v="1"/>
  </r>
  <r>
    <x v="1"/>
    <n v="16"/>
  </r>
  <r>
    <x v="2"/>
    <n v="3"/>
  </r>
  <r>
    <x v="4"/>
    <n v="17"/>
  </r>
  <r>
    <x v="3"/>
    <n v="15"/>
  </r>
  <r>
    <x v="5"/>
    <n v="5"/>
  </r>
  <r>
    <x v="0"/>
    <n v="4"/>
  </r>
  <r>
    <x v="3"/>
    <n v="9"/>
  </r>
  <r>
    <x v="4"/>
    <n v="16"/>
  </r>
  <r>
    <x v="5"/>
    <n v="1"/>
  </r>
  <r>
    <x v="3"/>
    <n v="17"/>
  </r>
  <r>
    <x v="1"/>
    <n v="9"/>
  </r>
  <r>
    <x v="0"/>
    <n v="11"/>
  </r>
  <r>
    <x v="1"/>
    <n v="10"/>
  </r>
  <r>
    <x v="5"/>
    <n v="7"/>
  </r>
  <r>
    <x v="5"/>
    <n v="10"/>
  </r>
  <r>
    <x v="1"/>
    <n v="3"/>
  </r>
  <r>
    <x v="0"/>
    <n v="15"/>
  </r>
  <r>
    <x v="5"/>
    <n v="11"/>
  </r>
  <r>
    <x v="2"/>
    <n v="6"/>
  </r>
  <r>
    <x v="2"/>
    <n v="4"/>
  </r>
  <r>
    <x v="2"/>
    <n v="2"/>
  </r>
  <r>
    <x v="0"/>
    <n v="6"/>
  </r>
  <r>
    <x v="3"/>
    <n v="4"/>
  </r>
  <r>
    <x v="0"/>
    <n v="9"/>
  </r>
  <r>
    <x v="2"/>
    <n v="11"/>
  </r>
  <r>
    <x v="1"/>
    <n v="10"/>
  </r>
  <r>
    <x v="0"/>
    <n v="13"/>
  </r>
  <r>
    <x v="3"/>
    <n v="20"/>
  </r>
  <r>
    <x v="5"/>
    <n v="11"/>
  </r>
  <r>
    <x v="0"/>
    <n v="17"/>
  </r>
  <r>
    <x v="4"/>
    <n v="6"/>
  </r>
  <r>
    <x v="4"/>
    <n v="9"/>
  </r>
  <r>
    <x v="2"/>
    <n v="8"/>
  </r>
  <r>
    <x v="2"/>
    <n v="11"/>
  </r>
  <r>
    <x v="3"/>
    <n v="4"/>
  </r>
  <r>
    <x v="1"/>
    <n v="4"/>
  </r>
  <r>
    <x v="3"/>
    <n v="9"/>
  </r>
  <r>
    <x v="2"/>
    <n v="6"/>
  </r>
  <r>
    <x v="3"/>
    <n v="5"/>
  </r>
  <r>
    <x v="0"/>
    <n v="3"/>
  </r>
  <r>
    <x v="3"/>
    <n v="5"/>
  </r>
  <r>
    <x v="5"/>
    <n v="15"/>
  </r>
  <r>
    <x v="0"/>
    <n v="6"/>
  </r>
  <r>
    <x v="0"/>
    <n v="10"/>
  </r>
  <r>
    <x v="2"/>
    <n v="17"/>
  </r>
  <r>
    <x v="4"/>
    <n v="10"/>
  </r>
  <r>
    <x v="2"/>
    <n v="10"/>
  </r>
  <r>
    <x v="4"/>
    <n v="8"/>
  </r>
  <r>
    <x v="1"/>
    <n v="7"/>
  </r>
  <r>
    <x v="2"/>
    <n v="12"/>
  </r>
  <r>
    <x v="2"/>
    <n v="5"/>
  </r>
  <r>
    <x v="4"/>
    <n v="1"/>
  </r>
  <r>
    <x v="4"/>
    <n v="7"/>
  </r>
  <r>
    <x v="5"/>
    <n v="9"/>
  </r>
  <r>
    <x v="1"/>
    <n v="7"/>
  </r>
  <r>
    <x v="3"/>
    <n v="1"/>
  </r>
  <r>
    <x v="5"/>
    <n v="12"/>
  </r>
  <r>
    <x v="1"/>
    <n v="12"/>
  </r>
  <r>
    <x v="4"/>
    <n v="10"/>
  </r>
  <r>
    <x v="2"/>
    <n v="16"/>
  </r>
  <r>
    <x v="2"/>
    <n v="5"/>
  </r>
  <r>
    <x v="5"/>
    <n v="1"/>
  </r>
  <r>
    <x v="4"/>
    <n v="4"/>
  </r>
  <r>
    <x v="2"/>
    <n v="1"/>
  </r>
  <r>
    <x v="1"/>
    <n v="11"/>
  </r>
  <r>
    <x v="4"/>
    <n v="16"/>
  </r>
  <r>
    <x v="5"/>
    <n v="20"/>
  </r>
  <r>
    <x v="3"/>
    <n v="8"/>
  </r>
  <r>
    <x v="4"/>
    <n v="15"/>
  </r>
  <r>
    <x v="1"/>
    <n v="19"/>
  </r>
  <r>
    <x v="1"/>
    <n v="11"/>
  </r>
  <r>
    <x v="5"/>
    <n v="9"/>
  </r>
  <r>
    <x v="0"/>
    <n v="7"/>
  </r>
  <r>
    <x v="3"/>
    <n v="5"/>
  </r>
  <r>
    <x v="2"/>
    <n v="15"/>
  </r>
  <r>
    <x v="3"/>
    <n v="5"/>
  </r>
  <r>
    <x v="2"/>
    <n v="7"/>
  </r>
  <r>
    <x v="4"/>
    <n v="19"/>
  </r>
  <r>
    <x v="0"/>
    <n v="8"/>
  </r>
  <r>
    <x v="0"/>
    <n v="4"/>
  </r>
  <r>
    <x v="2"/>
    <n v="4"/>
  </r>
  <r>
    <x v="5"/>
    <n v="12"/>
  </r>
  <r>
    <x v="0"/>
    <n v="11"/>
  </r>
  <r>
    <x v="4"/>
    <n v="15"/>
  </r>
  <r>
    <x v="1"/>
    <n v="20"/>
  </r>
  <r>
    <x v="5"/>
    <n v="14"/>
  </r>
  <r>
    <x v="2"/>
    <n v="16"/>
  </r>
  <r>
    <x v="1"/>
    <n v="13"/>
  </r>
  <r>
    <x v="0"/>
    <n v="10"/>
  </r>
  <r>
    <x v="2"/>
    <n v="9"/>
  </r>
  <r>
    <x v="1"/>
    <n v="14"/>
  </r>
  <r>
    <x v="1"/>
    <n v="20"/>
  </r>
  <r>
    <x v="4"/>
    <n v="10"/>
  </r>
  <r>
    <x v="1"/>
    <n v="2"/>
  </r>
  <r>
    <x v="0"/>
    <n v="14"/>
  </r>
  <r>
    <x v="0"/>
    <n v="17"/>
  </r>
  <r>
    <x v="0"/>
    <n v="1"/>
  </r>
  <r>
    <x v="2"/>
    <n v="16"/>
  </r>
  <r>
    <x v="5"/>
    <n v="6"/>
  </r>
  <r>
    <x v="5"/>
    <n v="10"/>
  </r>
  <r>
    <x v="0"/>
    <n v="1"/>
  </r>
  <r>
    <x v="2"/>
    <n v="3"/>
  </r>
  <r>
    <x v="1"/>
    <n v="13"/>
  </r>
  <r>
    <x v="4"/>
    <n v="3"/>
  </r>
  <r>
    <x v="0"/>
    <n v="5"/>
  </r>
  <r>
    <x v="2"/>
    <n v="7"/>
  </r>
  <r>
    <x v="5"/>
    <n v="20"/>
  </r>
  <r>
    <x v="5"/>
    <n v="6"/>
  </r>
  <r>
    <x v="4"/>
    <n v="19"/>
  </r>
  <r>
    <x v="4"/>
    <n v="1"/>
  </r>
  <r>
    <x v="1"/>
    <n v="5"/>
  </r>
  <r>
    <x v="4"/>
    <n v="3"/>
  </r>
  <r>
    <x v="2"/>
    <n v="5"/>
  </r>
  <r>
    <x v="0"/>
    <n v="14"/>
  </r>
  <r>
    <x v="2"/>
    <n v="6"/>
  </r>
  <r>
    <x v="0"/>
    <n v="8"/>
  </r>
  <r>
    <x v="2"/>
    <n v="13"/>
  </r>
  <r>
    <x v="4"/>
    <n v="6"/>
  </r>
  <r>
    <x v="1"/>
    <n v="2"/>
  </r>
  <r>
    <x v="0"/>
    <n v="15"/>
  </r>
  <r>
    <x v="4"/>
    <n v="7"/>
  </r>
  <r>
    <x v="5"/>
    <n v="20"/>
  </r>
  <r>
    <x v="5"/>
    <n v="18"/>
  </r>
  <r>
    <x v="2"/>
    <n v="8"/>
  </r>
  <r>
    <x v="3"/>
    <n v="2"/>
  </r>
  <r>
    <x v="1"/>
    <n v="18"/>
  </r>
  <r>
    <x v="4"/>
    <n v="14"/>
  </r>
  <r>
    <x v="1"/>
    <n v="20"/>
  </r>
  <r>
    <x v="1"/>
    <n v="13"/>
  </r>
  <r>
    <x v="0"/>
    <n v="10"/>
  </r>
  <r>
    <x v="5"/>
    <n v="4"/>
  </r>
  <r>
    <x v="0"/>
    <n v="18"/>
  </r>
  <r>
    <x v="0"/>
    <n v="15"/>
  </r>
  <r>
    <x v="4"/>
    <n v="17"/>
  </r>
  <r>
    <x v="3"/>
    <n v="5"/>
  </r>
  <r>
    <x v="3"/>
    <n v="5"/>
  </r>
  <r>
    <x v="5"/>
    <n v="14"/>
  </r>
  <r>
    <x v="1"/>
    <n v="8"/>
  </r>
  <r>
    <x v="2"/>
    <n v="16"/>
  </r>
  <r>
    <x v="4"/>
    <n v="5"/>
  </r>
  <r>
    <x v="5"/>
    <n v="5"/>
  </r>
  <r>
    <x v="4"/>
    <n v="7"/>
  </r>
  <r>
    <x v="1"/>
    <n v="8"/>
  </r>
  <r>
    <x v="5"/>
    <n v="2"/>
  </r>
  <r>
    <x v="3"/>
    <n v="2"/>
  </r>
  <r>
    <x v="2"/>
    <n v="10"/>
  </r>
  <r>
    <x v="4"/>
    <n v="7"/>
  </r>
  <r>
    <x v="5"/>
    <n v="15"/>
  </r>
  <r>
    <x v="0"/>
    <n v="1"/>
  </r>
  <r>
    <x v="3"/>
    <n v="9"/>
  </r>
  <r>
    <x v="4"/>
    <n v="9"/>
  </r>
  <r>
    <x v="5"/>
    <n v="1"/>
  </r>
  <r>
    <x v="0"/>
    <n v="9"/>
  </r>
  <r>
    <x v="5"/>
    <n v="11"/>
  </r>
  <r>
    <x v="5"/>
    <n v="20"/>
  </r>
  <r>
    <x v="4"/>
    <n v="17"/>
  </r>
  <r>
    <x v="0"/>
    <n v="20"/>
  </r>
  <r>
    <x v="5"/>
    <n v="19"/>
  </r>
  <r>
    <x v="2"/>
    <n v="17"/>
  </r>
  <r>
    <x v="2"/>
    <n v="2"/>
  </r>
  <r>
    <x v="1"/>
    <n v="4"/>
  </r>
  <r>
    <x v="2"/>
    <n v="17"/>
  </r>
  <r>
    <x v="2"/>
    <n v="7"/>
  </r>
  <r>
    <x v="5"/>
    <n v="7"/>
  </r>
  <r>
    <x v="3"/>
    <n v="6"/>
  </r>
  <r>
    <x v="4"/>
    <n v="8"/>
  </r>
  <r>
    <x v="4"/>
    <n v="13"/>
  </r>
  <r>
    <x v="3"/>
    <n v="10"/>
  </r>
  <r>
    <x v="4"/>
    <n v="2"/>
  </r>
  <r>
    <x v="5"/>
    <n v="5"/>
  </r>
  <r>
    <x v="2"/>
    <n v="20"/>
  </r>
  <r>
    <x v="0"/>
    <n v="3"/>
  </r>
  <r>
    <x v="0"/>
    <n v="7"/>
  </r>
  <r>
    <x v="3"/>
    <n v="11"/>
  </r>
  <r>
    <x v="3"/>
    <n v="5"/>
  </r>
  <r>
    <x v="1"/>
    <n v="4"/>
  </r>
  <r>
    <x v="5"/>
    <n v="3"/>
  </r>
  <r>
    <x v="4"/>
    <n v="18"/>
  </r>
  <r>
    <x v="0"/>
    <n v="6"/>
  </r>
  <r>
    <x v="1"/>
    <n v="16"/>
  </r>
  <r>
    <x v="5"/>
    <n v="4"/>
  </r>
  <r>
    <x v="3"/>
    <n v="14"/>
  </r>
  <r>
    <x v="2"/>
    <n v="18"/>
  </r>
  <r>
    <x v="2"/>
    <n v="4"/>
  </r>
  <r>
    <x v="3"/>
    <n v="13"/>
  </r>
  <r>
    <x v="3"/>
    <n v="12"/>
  </r>
  <r>
    <x v="2"/>
    <n v="5"/>
  </r>
  <r>
    <x v="0"/>
    <n v="5"/>
  </r>
  <r>
    <x v="4"/>
    <n v="2"/>
  </r>
  <r>
    <x v="1"/>
    <n v="6"/>
  </r>
  <r>
    <x v="1"/>
    <n v="19"/>
  </r>
  <r>
    <x v="3"/>
    <n v="12"/>
  </r>
  <r>
    <x v="3"/>
    <n v="10"/>
  </r>
  <r>
    <x v="3"/>
    <n v="4"/>
  </r>
  <r>
    <x v="0"/>
    <n v="8"/>
  </r>
  <r>
    <x v="2"/>
    <n v="14"/>
  </r>
  <r>
    <x v="2"/>
    <n v="2"/>
  </r>
  <r>
    <x v="1"/>
    <n v="13"/>
  </r>
  <r>
    <x v="1"/>
    <n v="7"/>
  </r>
  <r>
    <x v="0"/>
    <n v="12"/>
  </r>
  <r>
    <x v="2"/>
    <n v="17"/>
  </r>
  <r>
    <x v="1"/>
    <n v="18"/>
  </r>
  <r>
    <x v="4"/>
    <n v="16"/>
  </r>
  <r>
    <x v="0"/>
    <n v="4"/>
  </r>
  <r>
    <x v="4"/>
    <n v="8"/>
  </r>
  <r>
    <x v="4"/>
    <n v="15"/>
  </r>
  <r>
    <x v="1"/>
    <n v="17"/>
  </r>
  <r>
    <x v="4"/>
    <n v="19"/>
  </r>
  <r>
    <x v="4"/>
    <n v="15"/>
  </r>
  <r>
    <x v="2"/>
    <n v="19"/>
  </r>
  <r>
    <x v="0"/>
    <n v="3"/>
  </r>
  <r>
    <x v="0"/>
    <n v="15"/>
  </r>
  <r>
    <x v="5"/>
    <n v="3"/>
  </r>
  <r>
    <x v="1"/>
    <n v="2"/>
  </r>
  <r>
    <x v="1"/>
    <n v="16"/>
  </r>
  <r>
    <x v="4"/>
    <n v="19"/>
  </r>
  <r>
    <x v="2"/>
    <n v="18"/>
  </r>
  <r>
    <x v="2"/>
    <n v="4"/>
  </r>
  <r>
    <x v="1"/>
    <n v="2"/>
  </r>
  <r>
    <x v="4"/>
    <n v="12"/>
  </r>
  <r>
    <x v="5"/>
    <n v="13"/>
  </r>
  <r>
    <x v="5"/>
    <n v="2"/>
  </r>
  <r>
    <x v="1"/>
    <n v="19"/>
  </r>
  <r>
    <x v="0"/>
    <n v="17"/>
  </r>
  <r>
    <x v="0"/>
    <n v="5"/>
  </r>
  <r>
    <x v="4"/>
    <n v="11"/>
  </r>
  <r>
    <x v="0"/>
    <n v="3"/>
  </r>
  <r>
    <x v="0"/>
    <n v="7"/>
  </r>
  <r>
    <x v="3"/>
    <n v="13"/>
  </r>
  <r>
    <x v="0"/>
    <n v="7"/>
  </r>
  <r>
    <x v="5"/>
    <n v="7"/>
  </r>
  <r>
    <x v="2"/>
    <n v="10"/>
  </r>
  <r>
    <x v="1"/>
    <n v="7"/>
  </r>
  <r>
    <x v="4"/>
    <n v="12"/>
  </r>
  <r>
    <x v="2"/>
    <n v="18"/>
  </r>
  <r>
    <x v="2"/>
    <n v="6"/>
  </r>
  <r>
    <x v="5"/>
    <n v="14"/>
  </r>
  <r>
    <x v="1"/>
    <n v="17"/>
  </r>
  <r>
    <x v="4"/>
    <n v="12"/>
  </r>
  <r>
    <x v="2"/>
    <n v="10"/>
  </r>
  <r>
    <x v="0"/>
    <n v="5"/>
  </r>
  <r>
    <x v="0"/>
    <n v="17"/>
  </r>
  <r>
    <x v="5"/>
    <n v="14"/>
  </r>
  <r>
    <x v="1"/>
    <n v="1"/>
  </r>
  <r>
    <x v="5"/>
    <n v="5"/>
  </r>
  <r>
    <x v="2"/>
    <n v="20"/>
  </r>
  <r>
    <x v="4"/>
    <n v="1"/>
  </r>
  <r>
    <x v="4"/>
    <n v="17"/>
  </r>
  <r>
    <x v="1"/>
    <n v="8"/>
  </r>
  <r>
    <x v="0"/>
    <n v="5"/>
  </r>
  <r>
    <x v="5"/>
    <n v="12"/>
  </r>
  <r>
    <x v="0"/>
    <n v="20"/>
  </r>
  <r>
    <x v="1"/>
    <n v="5"/>
  </r>
  <r>
    <x v="2"/>
    <n v="1"/>
  </r>
  <r>
    <x v="5"/>
    <n v="18"/>
  </r>
  <r>
    <x v="2"/>
    <n v="4"/>
  </r>
  <r>
    <x v="2"/>
    <n v="14"/>
  </r>
  <r>
    <x v="3"/>
    <n v="2"/>
  </r>
  <r>
    <x v="4"/>
    <n v="13"/>
  </r>
  <r>
    <x v="4"/>
    <n v="3"/>
  </r>
  <r>
    <x v="3"/>
    <n v="12"/>
  </r>
  <r>
    <x v="0"/>
    <n v="3"/>
  </r>
  <r>
    <x v="0"/>
    <n v="16"/>
  </r>
  <r>
    <x v="5"/>
    <n v="13"/>
  </r>
  <r>
    <x v="0"/>
    <n v="13"/>
  </r>
  <r>
    <x v="3"/>
    <n v="15"/>
  </r>
  <r>
    <x v="1"/>
    <n v="3"/>
  </r>
  <r>
    <x v="3"/>
    <n v="7"/>
  </r>
  <r>
    <x v="1"/>
    <n v="6"/>
  </r>
  <r>
    <x v="4"/>
    <n v="2"/>
  </r>
  <r>
    <x v="5"/>
    <n v="10"/>
  </r>
  <r>
    <x v="2"/>
    <n v="6"/>
  </r>
  <r>
    <x v="4"/>
    <n v="14"/>
  </r>
  <r>
    <x v="4"/>
    <n v="10"/>
  </r>
  <r>
    <x v="5"/>
    <n v="18"/>
  </r>
  <r>
    <x v="4"/>
    <n v="2"/>
  </r>
  <r>
    <x v="3"/>
    <n v="16"/>
  </r>
  <r>
    <x v="5"/>
    <n v="16"/>
  </r>
  <r>
    <x v="4"/>
    <n v="16"/>
  </r>
  <r>
    <x v="2"/>
    <n v="18"/>
  </r>
  <r>
    <x v="5"/>
    <n v="20"/>
  </r>
  <r>
    <x v="2"/>
    <n v="15"/>
  </r>
  <r>
    <x v="1"/>
    <n v="10"/>
  </r>
  <r>
    <x v="3"/>
    <n v="7"/>
  </r>
  <r>
    <x v="0"/>
    <n v="5"/>
  </r>
  <r>
    <x v="4"/>
    <n v="8"/>
  </r>
  <r>
    <x v="1"/>
    <n v="3"/>
  </r>
  <r>
    <x v="2"/>
    <n v="15"/>
  </r>
  <r>
    <x v="3"/>
    <n v="7"/>
  </r>
  <r>
    <x v="4"/>
    <n v="15"/>
  </r>
  <r>
    <x v="5"/>
    <n v="14"/>
  </r>
  <r>
    <x v="1"/>
    <n v="13"/>
  </r>
  <r>
    <x v="5"/>
    <n v="7"/>
  </r>
  <r>
    <x v="5"/>
    <n v="1"/>
  </r>
  <r>
    <x v="3"/>
    <n v="17"/>
  </r>
  <r>
    <x v="0"/>
    <n v="11"/>
  </r>
  <r>
    <x v="2"/>
    <n v="16"/>
  </r>
  <r>
    <x v="4"/>
    <n v="2"/>
  </r>
  <r>
    <x v="2"/>
    <n v="3"/>
  </r>
  <r>
    <x v="2"/>
    <n v="10"/>
  </r>
  <r>
    <x v="3"/>
    <n v="9"/>
  </r>
  <r>
    <x v="4"/>
    <n v="1"/>
  </r>
  <r>
    <x v="0"/>
    <n v="8"/>
  </r>
  <r>
    <x v="2"/>
    <n v="19"/>
  </r>
  <r>
    <x v="5"/>
    <n v="3"/>
  </r>
  <r>
    <x v="0"/>
    <n v="15"/>
  </r>
  <r>
    <x v="4"/>
    <n v="16"/>
  </r>
  <r>
    <x v="3"/>
    <n v="16"/>
  </r>
  <r>
    <x v="0"/>
    <n v="6"/>
  </r>
  <r>
    <x v="5"/>
    <n v="8"/>
  </r>
  <r>
    <x v="3"/>
    <n v="14"/>
  </r>
  <r>
    <x v="0"/>
    <n v="18"/>
  </r>
  <r>
    <x v="4"/>
    <n v="11"/>
  </r>
  <r>
    <x v="2"/>
    <n v="1"/>
  </r>
  <r>
    <x v="3"/>
    <n v="11"/>
  </r>
  <r>
    <x v="0"/>
    <n v="14"/>
  </r>
  <r>
    <x v="0"/>
    <n v="4"/>
  </r>
  <r>
    <x v="2"/>
    <n v="12"/>
  </r>
  <r>
    <x v="1"/>
    <n v="18"/>
  </r>
  <r>
    <x v="4"/>
    <n v="9"/>
  </r>
  <r>
    <x v="0"/>
    <n v="13"/>
  </r>
  <r>
    <x v="3"/>
    <n v="7"/>
  </r>
  <r>
    <x v="1"/>
    <n v="17"/>
  </r>
  <r>
    <x v="1"/>
    <n v="9"/>
  </r>
  <r>
    <x v="4"/>
    <n v="13"/>
  </r>
  <r>
    <x v="2"/>
    <n v="16"/>
  </r>
  <r>
    <x v="0"/>
    <n v="19"/>
  </r>
  <r>
    <x v="0"/>
    <n v="15"/>
  </r>
  <r>
    <x v="4"/>
    <n v="11"/>
  </r>
  <r>
    <x v="5"/>
    <n v="4"/>
  </r>
  <r>
    <x v="2"/>
    <n v="18"/>
  </r>
  <r>
    <x v="4"/>
    <n v="9"/>
  </r>
  <r>
    <x v="2"/>
    <n v="19"/>
  </r>
  <r>
    <x v="3"/>
    <n v="10"/>
  </r>
  <r>
    <x v="0"/>
    <n v="10"/>
  </r>
  <r>
    <x v="1"/>
    <n v="1"/>
  </r>
  <r>
    <x v="3"/>
    <n v="19"/>
  </r>
  <r>
    <x v="3"/>
    <n v="12"/>
  </r>
  <r>
    <x v="0"/>
    <n v="12"/>
  </r>
  <r>
    <x v="2"/>
    <n v="19"/>
  </r>
  <r>
    <x v="0"/>
    <n v="13"/>
  </r>
  <r>
    <x v="0"/>
    <n v="9"/>
  </r>
  <r>
    <x v="0"/>
    <n v="20"/>
  </r>
  <r>
    <x v="3"/>
    <n v="7"/>
  </r>
  <r>
    <x v="3"/>
    <n v="10"/>
  </r>
  <r>
    <x v="1"/>
    <n v="4"/>
  </r>
  <r>
    <x v="3"/>
    <n v="5"/>
  </r>
  <r>
    <x v="0"/>
    <n v="19"/>
  </r>
  <r>
    <x v="2"/>
    <n v="14"/>
  </r>
  <r>
    <x v="3"/>
    <n v="10"/>
  </r>
  <r>
    <x v="2"/>
    <n v="9"/>
  </r>
  <r>
    <x v="0"/>
    <n v="19"/>
  </r>
  <r>
    <x v="3"/>
    <n v="5"/>
  </r>
  <r>
    <x v="5"/>
    <n v="4"/>
  </r>
  <r>
    <x v="4"/>
    <n v="8"/>
  </r>
  <r>
    <x v="5"/>
    <n v="15"/>
  </r>
  <r>
    <x v="0"/>
    <n v="1"/>
  </r>
  <r>
    <x v="1"/>
    <n v="9"/>
  </r>
  <r>
    <x v="5"/>
    <n v="10"/>
  </r>
  <r>
    <x v="3"/>
    <n v="12"/>
  </r>
  <r>
    <x v="4"/>
    <n v="7"/>
  </r>
  <r>
    <x v="1"/>
    <n v="1"/>
  </r>
  <r>
    <x v="4"/>
    <n v="1"/>
  </r>
  <r>
    <x v="4"/>
    <n v="14"/>
  </r>
  <r>
    <x v="5"/>
    <n v="14"/>
  </r>
  <r>
    <x v="1"/>
    <n v="5"/>
  </r>
  <r>
    <x v="1"/>
    <n v="13"/>
  </r>
  <r>
    <x v="3"/>
    <n v="7"/>
  </r>
  <r>
    <x v="2"/>
    <n v="5"/>
  </r>
  <r>
    <x v="0"/>
    <n v="2"/>
  </r>
  <r>
    <x v="0"/>
    <n v="10"/>
  </r>
  <r>
    <x v="2"/>
    <n v="5"/>
  </r>
  <r>
    <x v="4"/>
    <n v="11"/>
  </r>
  <r>
    <x v="3"/>
    <n v="8"/>
  </r>
  <r>
    <x v="4"/>
    <n v="2"/>
  </r>
  <r>
    <x v="4"/>
    <n v="10"/>
  </r>
  <r>
    <x v="2"/>
    <n v="15"/>
  </r>
  <r>
    <x v="3"/>
    <n v="9"/>
  </r>
  <r>
    <x v="1"/>
    <n v="4"/>
  </r>
  <r>
    <x v="2"/>
    <n v="3"/>
  </r>
  <r>
    <x v="4"/>
    <n v="13"/>
  </r>
  <r>
    <x v="4"/>
    <n v="8"/>
  </r>
  <r>
    <x v="4"/>
    <n v="13"/>
  </r>
  <r>
    <x v="5"/>
    <n v="3"/>
  </r>
  <r>
    <x v="0"/>
    <n v="2"/>
  </r>
  <r>
    <x v="5"/>
    <n v="8"/>
  </r>
  <r>
    <x v="4"/>
    <n v="16"/>
  </r>
  <r>
    <x v="1"/>
    <n v="15"/>
  </r>
  <r>
    <x v="0"/>
    <n v="9"/>
  </r>
  <r>
    <x v="0"/>
    <n v="12"/>
  </r>
  <r>
    <x v="0"/>
    <n v="4"/>
  </r>
  <r>
    <x v="2"/>
    <n v="13"/>
  </r>
  <r>
    <x v="0"/>
    <n v="2"/>
  </r>
  <r>
    <x v="0"/>
    <n v="16"/>
  </r>
  <r>
    <x v="3"/>
    <n v="8"/>
  </r>
  <r>
    <x v="3"/>
    <n v="9"/>
  </r>
  <r>
    <x v="3"/>
    <n v="8"/>
  </r>
  <r>
    <x v="4"/>
    <n v="6"/>
  </r>
  <r>
    <x v="3"/>
    <n v="2"/>
  </r>
  <r>
    <x v="0"/>
    <n v="18"/>
  </r>
  <r>
    <x v="4"/>
    <n v="10"/>
  </r>
  <r>
    <x v="5"/>
    <n v="17"/>
  </r>
  <r>
    <x v="4"/>
    <n v="20"/>
  </r>
  <r>
    <x v="3"/>
    <n v="8"/>
  </r>
  <r>
    <x v="5"/>
    <n v="11"/>
  </r>
  <r>
    <x v="4"/>
    <n v="19"/>
  </r>
  <r>
    <x v="3"/>
    <n v="7"/>
  </r>
  <r>
    <x v="5"/>
    <n v="1"/>
  </r>
  <r>
    <x v="2"/>
    <n v="16"/>
  </r>
  <r>
    <x v="4"/>
    <n v="20"/>
  </r>
  <r>
    <x v="1"/>
    <n v="19"/>
  </r>
  <r>
    <x v="1"/>
    <n v="14"/>
  </r>
  <r>
    <x v="1"/>
    <n v="18"/>
  </r>
  <r>
    <x v="1"/>
    <n v="2"/>
  </r>
  <r>
    <x v="5"/>
    <n v="2"/>
  </r>
  <r>
    <x v="5"/>
    <n v="10"/>
  </r>
  <r>
    <x v="5"/>
    <n v="18"/>
  </r>
  <r>
    <x v="0"/>
    <n v="13"/>
  </r>
  <r>
    <x v="0"/>
    <n v="9"/>
  </r>
  <r>
    <x v="4"/>
    <n v="6"/>
  </r>
  <r>
    <x v="4"/>
    <n v="11"/>
  </r>
  <r>
    <x v="5"/>
    <n v="2"/>
  </r>
  <r>
    <x v="3"/>
    <n v="10"/>
  </r>
  <r>
    <x v="4"/>
    <n v="20"/>
  </r>
  <r>
    <x v="5"/>
    <n v="5"/>
  </r>
  <r>
    <x v="5"/>
    <n v="13"/>
  </r>
  <r>
    <x v="4"/>
    <n v="13"/>
  </r>
  <r>
    <x v="3"/>
    <n v="7"/>
  </r>
  <r>
    <x v="4"/>
    <n v="6"/>
  </r>
  <r>
    <x v="3"/>
    <n v="2"/>
  </r>
  <r>
    <x v="2"/>
    <n v="1"/>
  </r>
  <r>
    <x v="0"/>
    <n v="1"/>
  </r>
  <r>
    <x v="1"/>
    <n v="6"/>
  </r>
  <r>
    <x v="3"/>
    <n v="11"/>
  </r>
  <r>
    <x v="5"/>
    <n v="5"/>
  </r>
  <r>
    <x v="5"/>
    <n v="19"/>
  </r>
  <r>
    <x v="3"/>
    <n v="5"/>
  </r>
  <r>
    <x v="1"/>
    <n v="13"/>
  </r>
  <r>
    <x v="0"/>
    <n v="18"/>
  </r>
  <r>
    <x v="2"/>
    <n v="14"/>
  </r>
  <r>
    <x v="0"/>
    <n v="20"/>
  </r>
  <r>
    <x v="5"/>
    <n v="11"/>
  </r>
  <r>
    <x v="4"/>
    <n v="13"/>
  </r>
  <r>
    <x v="3"/>
    <n v="1"/>
  </r>
  <r>
    <x v="5"/>
    <n v="13"/>
  </r>
  <r>
    <x v="0"/>
    <n v="6"/>
  </r>
  <r>
    <x v="5"/>
    <n v="12"/>
  </r>
  <r>
    <x v="3"/>
    <n v="15"/>
  </r>
  <r>
    <x v="3"/>
    <n v="9"/>
  </r>
  <r>
    <x v="1"/>
    <n v="9"/>
  </r>
  <r>
    <x v="5"/>
    <n v="5"/>
  </r>
  <r>
    <x v="5"/>
    <n v="5"/>
  </r>
  <r>
    <x v="0"/>
    <n v="12"/>
  </r>
  <r>
    <x v="1"/>
    <n v="10"/>
  </r>
  <r>
    <x v="4"/>
    <n v="10"/>
  </r>
  <r>
    <x v="2"/>
    <n v="16"/>
  </r>
  <r>
    <x v="5"/>
    <n v="17"/>
  </r>
  <r>
    <x v="3"/>
    <n v="19"/>
  </r>
  <r>
    <x v="1"/>
    <n v="11"/>
  </r>
  <r>
    <x v="0"/>
    <n v="15"/>
  </r>
  <r>
    <x v="0"/>
    <n v="17"/>
  </r>
  <r>
    <x v="3"/>
    <n v="3"/>
  </r>
  <r>
    <x v="4"/>
    <n v="17"/>
  </r>
  <r>
    <x v="4"/>
    <n v="16"/>
  </r>
  <r>
    <x v="0"/>
    <n v="1"/>
  </r>
  <r>
    <x v="2"/>
    <n v="9"/>
  </r>
  <r>
    <x v="2"/>
    <n v="19"/>
  </r>
  <r>
    <x v="5"/>
    <n v="5"/>
  </r>
  <r>
    <x v="5"/>
    <n v="11"/>
  </r>
  <r>
    <x v="3"/>
    <n v="15"/>
  </r>
  <r>
    <x v="2"/>
    <n v="9"/>
  </r>
  <r>
    <x v="4"/>
    <n v="12"/>
  </r>
  <r>
    <x v="2"/>
    <n v="5"/>
  </r>
  <r>
    <x v="3"/>
    <n v="20"/>
  </r>
  <r>
    <x v="4"/>
    <n v="8"/>
  </r>
  <r>
    <x v="3"/>
    <n v="19"/>
  </r>
  <r>
    <x v="1"/>
    <n v="3"/>
  </r>
  <r>
    <x v="1"/>
    <n v="11"/>
  </r>
  <r>
    <x v="4"/>
    <n v="7"/>
  </r>
  <r>
    <x v="0"/>
    <n v="19"/>
  </r>
  <r>
    <x v="4"/>
    <n v="11"/>
  </r>
  <r>
    <x v="3"/>
    <n v="13"/>
  </r>
  <r>
    <x v="1"/>
    <n v="8"/>
  </r>
  <r>
    <x v="5"/>
    <n v="12"/>
  </r>
  <r>
    <x v="4"/>
    <n v="15"/>
  </r>
  <r>
    <x v="4"/>
    <n v="10"/>
  </r>
  <r>
    <x v="2"/>
    <n v="9"/>
  </r>
  <r>
    <x v="2"/>
    <n v="13"/>
  </r>
  <r>
    <x v="1"/>
    <n v="15"/>
  </r>
  <r>
    <x v="4"/>
    <n v="18"/>
  </r>
  <r>
    <x v="3"/>
    <n v="12"/>
  </r>
  <r>
    <x v="3"/>
    <n v="13"/>
  </r>
  <r>
    <x v="1"/>
    <n v="17"/>
  </r>
  <r>
    <x v="1"/>
    <n v="17"/>
  </r>
  <r>
    <x v="2"/>
    <n v="14"/>
  </r>
  <r>
    <x v="5"/>
    <n v="13"/>
  </r>
  <r>
    <x v="1"/>
    <n v="19"/>
  </r>
  <r>
    <x v="5"/>
    <n v="14"/>
  </r>
  <r>
    <x v="2"/>
    <n v="14"/>
  </r>
  <r>
    <x v="3"/>
    <n v="2"/>
  </r>
  <r>
    <x v="2"/>
    <n v="8"/>
  </r>
  <r>
    <x v="1"/>
    <n v="16"/>
  </r>
  <r>
    <x v="4"/>
    <n v="19"/>
  </r>
  <r>
    <x v="1"/>
    <n v="8"/>
  </r>
  <r>
    <x v="5"/>
    <n v="19"/>
  </r>
  <r>
    <x v="4"/>
    <n v="5"/>
  </r>
  <r>
    <x v="5"/>
    <n v="19"/>
  </r>
  <r>
    <x v="3"/>
    <n v="20"/>
  </r>
  <r>
    <x v="1"/>
    <n v="11"/>
  </r>
  <r>
    <x v="3"/>
    <n v="5"/>
  </r>
  <r>
    <x v="4"/>
    <n v="12"/>
  </r>
  <r>
    <x v="1"/>
    <n v="17"/>
  </r>
  <r>
    <x v="4"/>
    <n v="5"/>
  </r>
  <r>
    <x v="4"/>
    <n v="11"/>
  </r>
  <r>
    <x v="4"/>
    <n v="10"/>
  </r>
  <r>
    <x v="4"/>
    <n v="6"/>
  </r>
  <r>
    <x v="4"/>
    <n v="12"/>
  </r>
  <r>
    <x v="5"/>
    <n v="9"/>
  </r>
  <r>
    <x v="4"/>
    <n v="12"/>
  </r>
  <r>
    <x v="3"/>
    <n v="5"/>
  </r>
  <r>
    <x v="0"/>
    <n v="8"/>
  </r>
  <r>
    <x v="1"/>
    <n v="4"/>
  </r>
  <r>
    <x v="5"/>
    <n v="10"/>
  </r>
  <r>
    <x v="3"/>
    <n v="6"/>
  </r>
  <r>
    <x v="4"/>
    <n v="9"/>
  </r>
  <r>
    <x v="1"/>
    <n v="3"/>
  </r>
  <r>
    <x v="5"/>
    <n v="1"/>
  </r>
  <r>
    <x v="1"/>
    <n v="8"/>
  </r>
  <r>
    <x v="1"/>
    <n v="14"/>
  </r>
  <r>
    <x v="5"/>
    <n v="11"/>
  </r>
  <r>
    <x v="5"/>
    <n v="13"/>
  </r>
  <r>
    <x v="3"/>
    <n v="18"/>
  </r>
  <r>
    <x v="1"/>
    <n v="20"/>
  </r>
  <r>
    <x v="1"/>
    <n v="4"/>
  </r>
  <r>
    <x v="1"/>
    <n v="12"/>
  </r>
  <r>
    <x v="1"/>
    <n v="4"/>
  </r>
  <r>
    <x v="0"/>
    <n v="6"/>
  </r>
  <r>
    <x v="0"/>
    <n v="10"/>
  </r>
  <r>
    <x v="4"/>
    <n v="13"/>
  </r>
  <r>
    <x v="0"/>
    <n v="19"/>
  </r>
  <r>
    <x v="2"/>
    <n v="3"/>
  </r>
  <r>
    <x v="4"/>
    <n v="11"/>
  </r>
  <r>
    <x v="5"/>
    <n v="9"/>
  </r>
  <r>
    <x v="3"/>
    <n v="3"/>
  </r>
  <r>
    <x v="0"/>
    <n v="7"/>
  </r>
  <r>
    <x v="3"/>
    <n v="4"/>
  </r>
  <r>
    <x v="4"/>
    <n v="4"/>
  </r>
  <r>
    <x v="1"/>
    <n v="16"/>
  </r>
  <r>
    <x v="2"/>
    <n v="7"/>
  </r>
  <r>
    <x v="3"/>
    <n v="7"/>
  </r>
  <r>
    <x v="0"/>
    <n v="12"/>
  </r>
  <r>
    <x v="5"/>
    <n v="3"/>
  </r>
  <r>
    <x v="3"/>
    <n v="8"/>
  </r>
  <r>
    <x v="4"/>
    <n v="3"/>
  </r>
  <r>
    <x v="4"/>
    <n v="4"/>
  </r>
  <r>
    <x v="0"/>
    <n v="5"/>
  </r>
  <r>
    <x v="4"/>
    <n v="14"/>
  </r>
  <r>
    <x v="5"/>
    <n v="19"/>
  </r>
  <r>
    <x v="2"/>
    <n v="3"/>
  </r>
  <r>
    <x v="3"/>
    <n v="12"/>
  </r>
  <r>
    <x v="4"/>
    <n v="12"/>
  </r>
  <r>
    <x v="1"/>
    <n v="13"/>
  </r>
  <r>
    <x v="5"/>
    <n v="2"/>
  </r>
  <r>
    <x v="5"/>
    <n v="14"/>
  </r>
  <r>
    <x v="0"/>
    <n v="15"/>
  </r>
  <r>
    <x v="3"/>
    <n v="16"/>
  </r>
  <r>
    <x v="5"/>
    <n v="1"/>
  </r>
  <r>
    <x v="2"/>
    <n v="13"/>
  </r>
  <r>
    <x v="3"/>
    <n v="6"/>
  </r>
  <r>
    <x v="0"/>
    <n v="9"/>
  </r>
  <r>
    <x v="1"/>
    <n v="6"/>
  </r>
  <r>
    <x v="5"/>
    <n v="6"/>
  </r>
  <r>
    <x v="3"/>
    <n v="12"/>
  </r>
  <r>
    <x v="5"/>
    <n v="8"/>
  </r>
  <r>
    <x v="0"/>
    <n v="9"/>
  </r>
  <r>
    <x v="0"/>
    <n v="4"/>
  </r>
  <r>
    <x v="1"/>
    <n v="17"/>
  </r>
  <r>
    <x v="4"/>
    <n v="1"/>
  </r>
  <r>
    <x v="5"/>
    <n v="4"/>
  </r>
  <r>
    <x v="2"/>
    <n v="4"/>
  </r>
  <r>
    <x v="5"/>
    <n v="16"/>
  </r>
  <r>
    <x v="0"/>
    <n v="14"/>
  </r>
  <r>
    <x v="3"/>
    <n v="15"/>
  </r>
  <r>
    <x v="3"/>
    <n v="13"/>
  </r>
  <r>
    <x v="0"/>
    <n v="9"/>
  </r>
  <r>
    <x v="2"/>
    <n v="19"/>
  </r>
  <r>
    <x v="4"/>
    <n v="20"/>
  </r>
  <r>
    <x v="2"/>
    <n v="20"/>
  </r>
  <r>
    <x v="0"/>
    <n v="14"/>
  </r>
  <r>
    <x v="3"/>
    <n v="1"/>
  </r>
  <r>
    <x v="5"/>
    <n v="7"/>
  </r>
  <r>
    <x v="1"/>
    <n v="6"/>
  </r>
  <r>
    <x v="1"/>
    <n v="16"/>
  </r>
  <r>
    <x v="4"/>
    <n v="15"/>
  </r>
  <r>
    <x v="5"/>
    <n v="9"/>
  </r>
  <r>
    <x v="5"/>
    <n v="20"/>
  </r>
  <r>
    <x v="0"/>
    <n v="11"/>
  </r>
  <r>
    <x v="5"/>
    <n v="3"/>
  </r>
  <r>
    <x v="2"/>
    <n v="12"/>
  </r>
  <r>
    <x v="1"/>
    <n v="3"/>
  </r>
  <r>
    <x v="0"/>
    <n v="11"/>
  </r>
  <r>
    <x v="2"/>
    <n v="16"/>
  </r>
  <r>
    <x v="4"/>
    <n v="11"/>
  </r>
  <r>
    <x v="3"/>
    <n v="10"/>
  </r>
  <r>
    <x v="2"/>
    <n v="4"/>
  </r>
  <r>
    <x v="5"/>
    <n v="17"/>
  </r>
  <r>
    <x v="2"/>
    <n v="18"/>
  </r>
  <r>
    <x v="3"/>
    <n v="5"/>
  </r>
  <r>
    <x v="2"/>
    <n v="13"/>
  </r>
  <r>
    <x v="5"/>
    <n v="14"/>
  </r>
  <r>
    <x v="5"/>
    <n v="18"/>
  </r>
  <r>
    <x v="4"/>
    <n v="20"/>
  </r>
  <r>
    <x v="2"/>
    <n v="3"/>
  </r>
  <r>
    <x v="1"/>
    <n v="4"/>
  </r>
  <r>
    <x v="3"/>
    <n v="14"/>
  </r>
  <r>
    <x v="5"/>
    <n v="20"/>
  </r>
  <r>
    <x v="1"/>
    <n v="7"/>
  </r>
  <r>
    <x v="2"/>
    <n v="12"/>
  </r>
  <r>
    <x v="0"/>
    <n v="4"/>
  </r>
  <r>
    <x v="4"/>
    <n v="13"/>
  </r>
  <r>
    <x v="3"/>
    <n v="6"/>
  </r>
  <r>
    <x v="0"/>
    <n v="17"/>
  </r>
  <r>
    <x v="1"/>
    <n v="10"/>
  </r>
  <r>
    <x v="5"/>
    <n v="9"/>
  </r>
  <r>
    <x v="3"/>
    <n v="11"/>
  </r>
  <r>
    <x v="5"/>
    <n v="14"/>
  </r>
  <r>
    <x v="4"/>
    <n v="14"/>
  </r>
  <r>
    <x v="1"/>
    <n v="11"/>
  </r>
  <r>
    <x v="4"/>
    <n v="4"/>
  </r>
  <r>
    <x v="1"/>
    <n v="14"/>
  </r>
  <r>
    <x v="2"/>
    <n v="19"/>
  </r>
  <r>
    <x v="1"/>
    <n v="7"/>
  </r>
  <r>
    <x v="1"/>
    <n v="6"/>
  </r>
  <r>
    <x v="4"/>
    <n v="11"/>
  </r>
  <r>
    <x v="2"/>
    <n v="11"/>
  </r>
  <r>
    <x v="5"/>
    <n v="12"/>
  </r>
  <r>
    <x v="0"/>
    <n v="16"/>
  </r>
  <r>
    <x v="5"/>
    <n v="1"/>
  </r>
  <r>
    <x v="3"/>
    <n v="6"/>
  </r>
  <r>
    <x v="4"/>
    <n v="9"/>
  </r>
  <r>
    <x v="0"/>
    <n v="14"/>
  </r>
  <r>
    <x v="1"/>
    <n v="15"/>
  </r>
  <r>
    <x v="4"/>
    <n v="18"/>
  </r>
  <r>
    <x v="5"/>
    <n v="2"/>
  </r>
  <r>
    <x v="4"/>
    <n v="2"/>
  </r>
  <r>
    <x v="5"/>
    <n v="16"/>
  </r>
  <r>
    <x v="0"/>
    <n v="1"/>
  </r>
  <r>
    <x v="4"/>
    <n v="3"/>
  </r>
  <r>
    <x v="0"/>
    <n v="8"/>
  </r>
  <r>
    <x v="2"/>
    <n v="17"/>
  </r>
  <r>
    <x v="3"/>
    <n v="18"/>
  </r>
  <r>
    <x v="4"/>
    <n v="20"/>
  </r>
  <r>
    <x v="3"/>
    <n v="18"/>
  </r>
  <r>
    <x v="5"/>
    <n v="8"/>
  </r>
  <r>
    <x v="0"/>
    <n v="17"/>
  </r>
  <r>
    <x v="2"/>
    <n v="20"/>
  </r>
  <r>
    <x v="4"/>
    <n v="19"/>
  </r>
  <r>
    <x v="0"/>
    <n v="20"/>
  </r>
  <r>
    <x v="1"/>
    <n v="15"/>
  </r>
  <r>
    <x v="3"/>
    <n v="6"/>
  </r>
  <r>
    <x v="1"/>
    <n v="3"/>
  </r>
  <r>
    <x v="5"/>
    <n v="17"/>
  </r>
  <r>
    <x v="0"/>
    <n v="18"/>
  </r>
  <r>
    <x v="0"/>
    <n v="4"/>
  </r>
  <r>
    <x v="2"/>
    <n v="4"/>
  </r>
  <r>
    <x v="5"/>
    <n v="11"/>
  </r>
  <r>
    <x v="2"/>
    <n v="20"/>
  </r>
  <r>
    <x v="3"/>
    <n v="8"/>
  </r>
  <r>
    <x v="0"/>
    <n v="17"/>
  </r>
  <r>
    <x v="5"/>
    <n v="2"/>
  </r>
  <r>
    <x v="1"/>
    <n v="4"/>
  </r>
  <r>
    <x v="2"/>
    <n v="13"/>
  </r>
  <r>
    <x v="4"/>
    <n v="4"/>
  </r>
  <r>
    <x v="3"/>
    <n v="17"/>
  </r>
  <r>
    <x v="1"/>
    <n v="11"/>
  </r>
  <r>
    <x v="5"/>
    <n v="16"/>
  </r>
  <r>
    <x v="3"/>
    <n v="11"/>
  </r>
  <r>
    <x v="5"/>
    <n v="8"/>
  </r>
  <r>
    <x v="0"/>
    <n v="18"/>
  </r>
  <r>
    <x v="2"/>
    <n v="12"/>
  </r>
  <r>
    <x v="4"/>
    <n v="4"/>
  </r>
  <r>
    <x v="1"/>
    <n v="18"/>
  </r>
  <r>
    <x v="5"/>
    <n v="2"/>
  </r>
  <r>
    <x v="1"/>
    <n v="6"/>
  </r>
  <r>
    <x v="5"/>
    <n v="10"/>
  </r>
  <r>
    <x v="2"/>
    <n v="3"/>
  </r>
  <r>
    <x v="0"/>
    <n v="12"/>
  </r>
  <r>
    <x v="3"/>
    <n v="3"/>
  </r>
  <r>
    <x v="5"/>
    <n v="19"/>
  </r>
  <r>
    <x v="3"/>
    <n v="15"/>
  </r>
  <r>
    <x v="1"/>
    <n v="7"/>
  </r>
  <r>
    <x v="0"/>
    <n v="16"/>
  </r>
  <r>
    <x v="1"/>
    <n v="7"/>
  </r>
  <r>
    <x v="2"/>
    <n v="20"/>
  </r>
  <r>
    <x v="0"/>
    <n v="5"/>
  </r>
  <r>
    <x v="5"/>
    <n v="14"/>
  </r>
  <r>
    <x v="3"/>
    <n v="1"/>
  </r>
  <r>
    <x v="0"/>
    <n v="7"/>
  </r>
  <r>
    <x v="5"/>
    <n v="13"/>
  </r>
  <r>
    <x v="0"/>
    <n v="15"/>
  </r>
  <r>
    <x v="2"/>
    <n v="6"/>
  </r>
  <r>
    <x v="5"/>
    <n v="18"/>
  </r>
  <r>
    <x v="4"/>
    <n v="4"/>
  </r>
  <r>
    <x v="1"/>
    <n v="8"/>
  </r>
  <r>
    <x v="5"/>
    <n v="19"/>
  </r>
  <r>
    <x v="4"/>
    <n v="19"/>
  </r>
  <r>
    <x v="3"/>
    <n v="9"/>
  </r>
  <r>
    <x v="5"/>
    <n v="2"/>
  </r>
  <r>
    <x v="5"/>
    <n v="12"/>
  </r>
  <r>
    <x v="5"/>
    <n v="11"/>
  </r>
  <r>
    <x v="3"/>
    <n v="9"/>
  </r>
  <r>
    <x v="3"/>
    <n v="2"/>
  </r>
  <r>
    <x v="1"/>
    <n v="9"/>
  </r>
  <r>
    <x v="5"/>
    <n v="12"/>
  </r>
  <r>
    <x v="4"/>
    <n v="7"/>
  </r>
  <r>
    <x v="0"/>
    <n v="7"/>
  </r>
  <r>
    <x v="1"/>
    <n v="12"/>
  </r>
  <r>
    <x v="2"/>
    <n v="15"/>
  </r>
  <r>
    <x v="5"/>
    <n v="19"/>
  </r>
  <r>
    <x v="4"/>
    <n v="14"/>
  </r>
  <r>
    <x v="5"/>
    <n v="7"/>
  </r>
  <r>
    <x v="1"/>
    <n v="10"/>
  </r>
  <r>
    <x v="0"/>
    <n v="9"/>
  </r>
  <r>
    <x v="4"/>
    <n v="12"/>
  </r>
  <r>
    <x v="4"/>
    <n v="12"/>
  </r>
  <r>
    <x v="5"/>
    <n v="4"/>
  </r>
  <r>
    <x v="5"/>
    <n v="2"/>
  </r>
  <r>
    <x v="5"/>
    <n v="14"/>
  </r>
  <r>
    <x v="3"/>
    <n v="20"/>
  </r>
  <r>
    <x v="4"/>
    <n v="2"/>
  </r>
  <r>
    <x v="0"/>
    <n v="11"/>
  </r>
  <r>
    <x v="0"/>
    <n v="12"/>
  </r>
  <r>
    <x v="1"/>
    <n v="7"/>
  </r>
  <r>
    <x v="4"/>
    <n v="6"/>
  </r>
  <r>
    <x v="1"/>
    <n v="5"/>
  </r>
  <r>
    <x v="4"/>
    <n v="15"/>
  </r>
  <r>
    <x v="5"/>
    <n v="11"/>
  </r>
  <r>
    <x v="4"/>
    <n v="20"/>
  </r>
  <r>
    <x v="4"/>
    <n v="16"/>
  </r>
  <r>
    <x v="4"/>
    <n v="19"/>
  </r>
  <r>
    <x v="4"/>
    <n v="1"/>
  </r>
  <r>
    <x v="4"/>
    <n v="6"/>
  </r>
  <r>
    <x v="0"/>
    <n v="10"/>
  </r>
  <r>
    <x v="1"/>
    <n v="13"/>
  </r>
  <r>
    <x v="0"/>
    <n v="11"/>
  </r>
  <r>
    <x v="2"/>
    <n v="13"/>
  </r>
  <r>
    <x v="2"/>
    <n v="10"/>
  </r>
  <r>
    <x v="1"/>
    <n v="2"/>
  </r>
  <r>
    <x v="4"/>
    <n v="7"/>
  </r>
  <r>
    <x v="4"/>
    <n v="5"/>
  </r>
  <r>
    <x v="4"/>
    <n v="1"/>
  </r>
  <r>
    <x v="2"/>
    <n v="12"/>
  </r>
  <r>
    <x v="3"/>
    <n v="13"/>
  </r>
  <r>
    <x v="3"/>
    <n v="10"/>
  </r>
  <r>
    <x v="4"/>
    <n v="8"/>
  </r>
  <r>
    <x v="0"/>
    <n v="19"/>
  </r>
  <r>
    <x v="5"/>
    <n v="1"/>
  </r>
  <r>
    <x v="4"/>
    <n v="6"/>
  </r>
  <r>
    <x v="4"/>
    <n v="14"/>
  </r>
  <r>
    <x v="3"/>
    <n v="10"/>
  </r>
  <r>
    <x v="2"/>
    <n v="11"/>
  </r>
  <r>
    <x v="1"/>
    <n v="6"/>
  </r>
  <r>
    <x v="0"/>
    <n v="6"/>
  </r>
  <r>
    <x v="2"/>
    <n v="19"/>
  </r>
  <r>
    <x v="4"/>
    <n v="5"/>
  </r>
  <r>
    <x v="0"/>
    <n v="17"/>
  </r>
  <r>
    <x v="5"/>
    <n v="17"/>
  </r>
  <r>
    <x v="3"/>
    <n v="20"/>
  </r>
  <r>
    <x v="4"/>
    <n v="19"/>
  </r>
  <r>
    <x v="0"/>
    <n v="12"/>
  </r>
  <r>
    <x v="5"/>
    <n v="17"/>
  </r>
  <r>
    <x v="2"/>
    <n v="17"/>
  </r>
  <r>
    <x v="0"/>
    <n v="20"/>
  </r>
  <r>
    <x v="0"/>
    <n v="2"/>
  </r>
  <r>
    <x v="2"/>
    <n v="6"/>
  </r>
  <r>
    <x v="1"/>
    <n v="3"/>
  </r>
  <r>
    <x v="2"/>
    <n v="18"/>
  </r>
  <r>
    <x v="0"/>
    <n v="9"/>
  </r>
  <r>
    <x v="3"/>
    <n v="17"/>
  </r>
  <r>
    <x v="5"/>
    <n v="2"/>
  </r>
  <r>
    <x v="3"/>
    <n v="1"/>
  </r>
  <r>
    <x v="2"/>
    <n v="15"/>
  </r>
  <r>
    <x v="1"/>
    <n v="8"/>
  </r>
  <r>
    <x v="5"/>
    <n v="11"/>
  </r>
  <r>
    <x v="4"/>
    <n v="7"/>
  </r>
  <r>
    <x v="5"/>
    <n v="12"/>
  </r>
  <r>
    <x v="5"/>
    <n v="3"/>
  </r>
  <r>
    <x v="1"/>
    <n v="16"/>
  </r>
  <r>
    <x v="3"/>
    <n v="6"/>
  </r>
  <r>
    <x v="0"/>
    <n v="12"/>
  </r>
  <r>
    <x v="4"/>
    <n v="10"/>
  </r>
  <r>
    <x v="1"/>
    <n v="15"/>
  </r>
  <r>
    <x v="1"/>
    <n v="20"/>
  </r>
  <r>
    <x v="5"/>
    <n v="19"/>
  </r>
  <r>
    <x v="5"/>
    <n v="9"/>
  </r>
  <r>
    <x v="1"/>
    <n v="14"/>
  </r>
  <r>
    <x v="4"/>
    <n v="16"/>
  </r>
  <r>
    <x v="1"/>
    <n v="20"/>
  </r>
  <r>
    <x v="5"/>
    <n v="17"/>
  </r>
  <r>
    <x v="0"/>
    <n v="17"/>
  </r>
  <r>
    <x v="2"/>
    <n v="19"/>
  </r>
  <r>
    <x v="1"/>
    <n v="7"/>
  </r>
  <r>
    <x v="0"/>
    <n v="16"/>
  </r>
  <r>
    <x v="5"/>
    <n v="20"/>
  </r>
  <r>
    <x v="1"/>
    <n v="20"/>
  </r>
  <r>
    <x v="3"/>
    <n v="13"/>
  </r>
  <r>
    <x v="5"/>
    <n v="19"/>
  </r>
  <r>
    <x v="3"/>
    <n v="9"/>
  </r>
  <r>
    <x v="0"/>
    <n v="16"/>
  </r>
  <r>
    <x v="0"/>
    <n v="14"/>
  </r>
  <r>
    <x v="4"/>
    <n v="14"/>
  </r>
  <r>
    <x v="3"/>
    <n v="17"/>
  </r>
  <r>
    <x v="4"/>
    <n v="2"/>
  </r>
  <r>
    <x v="0"/>
    <n v="6"/>
  </r>
  <r>
    <x v="2"/>
    <n v="8"/>
  </r>
  <r>
    <x v="4"/>
    <n v="13"/>
  </r>
  <r>
    <x v="5"/>
    <n v="15"/>
  </r>
  <r>
    <x v="2"/>
    <n v="3"/>
  </r>
  <r>
    <x v="5"/>
    <n v="9"/>
  </r>
  <r>
    <x v="1"/>
    <n v="18"/>
  </r>
  <r>
    <x v="3"/>
    <n v="12"/>
  </r>
  <r>
    <x v="3"/>
    <n v="11"/>
  </r>
  <r>
    <x v="1"/>
    <n v="8"/>
  </r>
  <r>
    <x v="5"/>
    <n v="15"/>
  </r>
  <r>
    <x v="4"/>
    <n v="7"/>
  </r>
  <r>
    <x v="2"/>
    <n v="20"/>
  </r>
  <r>
    <x v="4"/>
    <n v="15"/>
  </r>
  <r>
    <x v="2"/>
    <n v="9"/>
  </r>
  <r>
    <x v="0"/>
    <n v="19"/>
  </r>
  <r>
    <x v="1"/>
    <n v="18"/>
  </r>
  <r>
    <x v="0"/>
    <n v="9"/>
  </r>
  <r>
    <x v="3"/>
    <n v="12"/>
  </r>
  <r>
    <x v="0"/>
    <n v="16"/>
  </r>
  <r>
    <x v="3"/>
    <n v="2"/>
  </r>
  <r>
    <x v="5"/>
    <n v="7"/>
  </r>
  <r>
    <x v="4"/>
    <n v="7"/>
  </r>
  <r>
    <x v="2"/>
    <n v="11"/>
  </r>
  <r>
    <x v="1"/>
    <n v="5"/>
  </r>
  <r>
    <x v="2"/>
    <n v="16"/>
  </r>
  <r>
    <x v="3"/>
    <n v="8"/>
  </r>
  <r>
    <x v="3"/>
    <n v="8"/>
  </r>
  <r>
    <x v="4"/>
    <n v="12"/>
  </r>
  <r>
    <x v="2"/>
    <n v="5"/>
  </r>
  <r>
    <x v="5"/>
    <n v="9"/>
  </r>
  <r>
    <x v="0"/>
    <n v="2"/>
  </r>
  <r>
    <x v="0"/>
    <n v="10"/>
  </r>
  <r>
    <x v="1"/>
    <n v="16"/>
  </r>
  <r>
    <x v="3"/>
    <n v="5"/>
  </r>
  <r>
    <x v="2"/>
    <n v="17"/>
  </r>
  <r>
    <x v="4"/>
    <n v="19"/>
  </r>
  <r>
    <x v="4"/>
    <n v="20"/>
  </r>
  <r>
    <x v="2"/>
    <n v="13"/>
  </r>
  <r>
    <x v="2"/>
    <n v="14"/>
  </r>
  <r>
    <x v="2"/>
    <n v="20"/>
  </r>
  <r>
    <x v="3"/>
    <n v="8"/>
  </r>
  <r>
    <x v="4"/>
    <n v="12"/>
  </r>
  <r>
    <x v="3"/>
    <n v="16"/>
  </r>
  <r>
    <x v="0"/>
    <n v="2"/>
  </r>
  <r>
    <x v="1"/>
    <n v="3"/>
  </r>
  <r>
    <x v="5"/>
    <n v="4"/>
  </r>
  <r>
    <x v="2"/>
    <n v="9"/>
  </r>
  <r>
    <x v="3"/>
    <n v="6"/>
  </r>
  <r>
    <x v="3"/>
    <n v="10"/>
  </r>
  <r>
    <x v="1"/>
    <n v="6"/>
  </r>
  <r>
    <x v="1"/>
    <n v="15"/>
  </r>
  <r>
    <x v="3"/>
    <n v="12"/>
  </r>
  <r>
    <x v="3"/>
    <n v="9"/>
  </r>
  <r>
    <x v="1"/>
    <n v="3"/>
  </r>
  <r>
    <x v="5"/>
    <n v="10"/>
  </r>
  <r>
    <x v="3"/>
    <n v="4"/>
  </r>
  <r>
    <x v="0"/>
    <n v="6"/>
  </r>
  <r>
    <x v="2"/>
    <n v="4"/>
  </r>
  <r>
    <x v="3"/>
    <n v="14"/>
  </r>
  <r>
    <x v="2"/>
    <n v="7"/>
  </r>
  <r>
    <x v="1"/>
    <n v="6"/>
  </r>
  <r>
    <x v="3"/>
    <n v="2"/>
  </r>
  <r>
    <x v="5"/>
    <n v="7"/>
  </r>
  <r>
    <x v="4"/>
    <n v="13"/>
  </r>
  <r>
    <x v="0"/>
    <n v="19"/>
  </r>
  <r>
    <x v="0"/>
    <n v="16"/>
  </r>
  <r>
    <x v="2"/>
    <n v="4"/>
  </r>
  <r>
    <x v="3"/>
    <n v="5"/>
  </r>
  <r>
    <x v="3"/>
    <n v="17"/>
  </r>
  <r>
    <x v="5"/>
    <n v="18"/>
  </r>
  <r>
    <x v="0"/>
    <n v="14"/>
  </r>
  <r>
    <x v="3"/>
    <n v="13"/>
  </r>
  <r>
    <x v="1"/>
    <n v="12"/>
  </r>
  <r>
    <x v="0"/>
    <n v="5"/>
  </r>
  <r>
    <x v="1"/>
    <n v="13"/>
  </r>
  <r>
    <x v="2"/>
    <n v="17"/>
  </r>
  <r>
    <x v="5"/>
    <n v="2"/>
  </r>
  <r>
    <x v="4"/>
    <n v="5"/>
  </r>
  <r>
    <x v="2"/>
    <n v="18"/>
  </r>
  <r>
    <x v="3"/>
    <n v="19"/>
  </r>
  <r>
    <x v="1"/>
    <n v="20"/>
  </r>
  <r>
    <x v="0"/>
    <n v="8"/>
  </r>
  <r>
    <x v="0"/>
    <n v="4"/>
  </r>
  <r>
    <x v="4"/>
    <n v="15"/>
  </r>
  <r>
    <x v="4"/>
    <n v="18"/>
  </r>
  <r>
    <x v="0"/>
    <n v="12"/>
  </r>
  <r>
    <x v="0"/>
    <n v="2"/>
  </r>
  <r>
    <x v="4"/>
    <n v="9"/>
  </r>
  <r>
    <x v="3"/>
    <n v="10"/>
  </r>
  <r>
    <x v="3"/>
    <n v="5"/>
  </r>
  <r>
    <x v="5"/>
    <n v="4"/>
  </r>
  <r>
    <x v="0"/>
    <n v="6"/>
  </r>
  <r>
    <x v="4"/>
    <n v="12"/>
  </r>
  <r>
    <x v="5"/>
    <n v="7"/>
  </r>
  <r>
    <x v="3"/>
    <n v="2"/>
  </r>
  <r>
    <x v="3"/>
    <n v="14"/>
  </r>
  <r>
    <x v="1"/>
    <n v="16"/>
  </r>
  <r>
    <x v="0"/>
    <n v="15"/>
  </r>
  <r>
    <x v="3"/>
    <n v="17"/>
  </r>
  <r>
    <x v="3"/>
    <n v="19"/>
  </r>
  <r>
    <x v="4"/>
    <n v="6"/>
  </r>
  <r>
    <x v="4"/>
    <n v="11"/>
  </r>
  <r>
    <x v="5"/>
    <n v="8"/>
  </r>
  <r>
    <x v="2"/>
    <n v="2"/>
  </r>
  <r>
    <x v="2"/>
    <n v="15"/>
  </r>
  <r>
    <x v="3"/>
    <n v="4"/>
  </r>
  <r>
    <x v="0"/>
    <n v="20"/>
  </r>
  <r>
    <x v="2"/>
    <n v="9"/>
  </r>
  <r>
    <x v="3"/>
    <n v="13"/>
  </r>
  <r>
    <x v="4"/>
    <n v="3"/>
  </r>
  <r>
    <x v="1"/>
    <n v="4"/>
  </r>
  <r>
    <x v="1"/>
    <n v="5"/>
  </r>
  <r>
    <x v="1"/>
    <n v="10"/>
  </r>
  <r>
    <x v="1"/>
    <n v="10"/>
  </r>
  <r>
    <x v="3"/>
    <n v="5"/>
  </r>
  <r>
    <x v="5"/>
    <n v="15"/>
  </r>
  <r>
    <x v="5"/>
    <n v="13"/>
  </r>
  <r>
    <x v="3"/>
    <n v="20"/>
  </r>
  <r>
    <x v="5"/>
    <n v="18"/>
  </r>
  <r>
    <x v="3"/>
    <n v="3"/>
  </r>
  <r>
    <x v="1"/>
    <n v="12"/>
  </r>
  <r>
    <x v="1"/>
    <n v="20"/>
  </r>
  <r>
    <x v="3"/>
    <n v="15"/>
  </r>
  <r>
    <x v="2"/>
    <n v="15"/>
  </r>
  <r>
    <x v="4"/>
    <n v="11"/>
  </r>
  <r>
    <x v="0"/>
    <n v="6"/>
  </r>
  <r>
    <x v="1"/>
    <n v="10"/>
  </r>
  <r>
    <x v="2"/>
    <n v="14"/>
  </r>
  <r>
    <x v="1"/>
    <n v="1"/>
  </r>
  <r>
    <x v="0"/>
    <n v="9"/>
  </r>
  <r>
    <x v="5"/>
    <n v="16"/>
  </r>
  <r>
    <x v="1"/>
    <n v="3"/>
  </r>
  <r>
    <x v="1"/>
    <n v="2"/>
  </r>
  <r>
    <x v="2"/>
    <n v="9"/>
  </r>
  <r>
    <x v="0"/>
    <n v="15"/>
  </r>
  <r>
    <x v="4"/>
    <n v="13"/>
  </r>
  <r>
    <x v="1"/>
    <n v="20"/>
  </r>
  <r>
    <x v="3"/>
    <n v="19"/>
  </r>
  <r>
    <x v="1"/>
    <n v="13"/>
  </r>
  <r>
    <x v="3"/>
    <n v="11"/>
  </r>
  <r>
    <x v="4"/>
    <n v="1"/>
  </r>
  <r>
    <x v="3"/>
    <n v="15"/>
  </r>
  <r>
    <x v="4"/>
    <n v="10"/>
  </r>
  <r>
    <x v="0"/>
    <n v="6"/>
  </r>
  <r>
    <x v="3"/>
    <n v="20"/>
  </r>
  <r>
    <x v="5"/>
    <n v="15"/>
  </r>
  <r>
    <x v="0"/>
    <n v="2"/>
  </r>
  <r>
    <x v="5"/>
    <n v="19"/>
  </r>
  <r>
    <x v="0"/>
    <n v="5"/>
  </r>
  <r>
    <x v="5"/>
    <n v="18"/>
  </r>
  <r>
    <x v="3"/>
    <n v="11"/>
  </r>
  <r>
    <x v="3"/>
    <n v="19"/>
  </r>
  <r>
    <x v="1"/>
    <n v="9"/>
  </r>
  <r>
    <x v="5"/>
    <n v="10"/>
  </r>
  <r>
    <x v="2"/>
    <n v="10"/>
  </r>
  <r>
    <x v="2"/>
    <n v="9"/>
  </r>
  <r>
    <x v="3"/>
    <n v="9"/>
  </r>
  <r>
    <x v="3"/>
    <n v="7"/>
  </r>
  <r>
    <x v="0"/>
    <n v="9"/>
  </r>
  <r>
    <x v="3"/>
    <n v="19"/>
  </r>
  <r>
    <x v="1"/>
    <n v="7"/>
  </r>
  <r>
    <x v="5"/>
    <n v="4"/>
  </r>
  <r>
    <x v="5"/>
    <n v="20"/>
  </r>
  <r>
    <x v="0"/>
    <n v="14"/>
  </r>
  <r>
    <x v="2"/>
    <n v="3"/>
  </r>
  <r>
    <x v="2"/>
    <n v="12"/>
  </r>
  <r>
    <x v="1"/>
    <n v="3"/>
  </r>
  <r>
    <x v="2"/>
    <n v="16"/>
  </r>
  <r>
    <x v="4"/>
    <n v="13"/>
  </r>
  <r>
    <x v="5"/>
    <n v="3"/>
  </r>
  <r>
    <x v="3"/>
    <n v="14"/>
  </r>
  <r>
    <x v="5"/>
    <n v="6"/>
  </r>
  <r>
    <x v="4"/>
    <n v="1"/>
  </r>
  <r>
    <x v="2"/>
    <n v="8"/>
  </r>
  <r>
    <x v="3"/>
    <n v="5"/>
  </r>
  <r>
    <x v="1"/>
    <n v="3"/>
  </r>
  <r>
    <x v="2"/>
    <n v="18"/>
  </r>
  <r>
    <x v="4"/>
    <n v="5"/>
  </r>
  <r>
    <x v="3"/>
    <n v="16"/>
  </r>
  <r>
    <x v="5"/>
    <n v="16"/>
  </r>
  <r>
    <x v="3"/>
    <n v="5"/>
  </r>
  <r>
    <x v="3"/>
    <n v="1"/>
  </r>
  <r>
    <x v="0"/>
    <n v="2"/>
  </r>
  <r>
    <x v="0"/>
    <n v="10"/>
  </r>
  <r>
    <x v="2"/>
    <n v="12"/>
  </r>
  <r>
    <x v="5"/>
    <n v="4"/>
  </r>
  <r>
    <x v="3"/>
    <n v="15"/>
  </r>
  <r>
    <x v="0"/>
    <n v="8"/>
  </r>
  <r>
    <x v="3"/>
    <n v="14"/>
  </r>
  <r>
    <x v="5"/>
    <n v="5"/>
  </r>
  <r>
    <x v="3"/>
    <n v="1"/>
  </r>
  <r>
    <x v="4"/>
    <n v="2"/>
  </r>
  <r>
    <x v="2"/>
    <n v="10"/>
  </r>
  <r>
    <x v="3"/>
    <n v="4"/>
  </r>
  <r>
    <x v="2"/>
    <n v="1"/>
  </r>
  <r>
    <x v="2"/>
    <n v="16"/>
  </r>
  <r>
    <x v="3"/>
    <n v="2"/>
  </r>
  <r>
    <x v="1"/>
    <n v="20"/>
  </r>
  <r>
    <x v="1"/>
    <n v="15"/>
  </r>
  <r>
    <x v="0"/>
    <n v="5"/>
  </r>
  <r>
    <x v="5"/>
    <n v="16"/>
  </r>
  <r>
    <x v="2"/>
    <n v="9"/>
  </r>
  <r>
    <x v="4"/>
    <n v="12"/>
  </r>
  <r>
    <x v="5"/>
    <n v="4"/>
  </r>
  <r>
    <x v="5"/>
    <n v="9"/>
  </r>
  <r>
    <x v="0"/>
    <n v="1"/>
  </r>
  <r>
    <x v="5"/>
    <n v="16"/>
  </r>
  <r>
    <x v="0"/>
    <n v="9"/>
  </r>
  <r>
    <x v="1"/>
    <n v="10"/>
  </r>
  <r>
    <x v="1"/>
    <n v="20"/>
  </r>
  <r>
    <x v="2"/>
    <n v="20"/>
  </r>
  <r>
    <x v="1"/>
    <n v="13"/>
  </r>
  <r>
    <x v="4"/>
    <n v="17"/>
  </r>
  <r>
    <x v="4"/>
    <n v="6"/>
  </r>
  <r>
    <x v="4"/>
    <n v="15"/>
  </r>
  <r>
    <x v="1"/>
    <n v="3"/>
  </r>
  <r>
    <x v="0"/>
    <n v="4"/>
  </r>
  <r>
    <x v="5"/>
    <n v="3"/>
  </r>
  <r>
    <x v="5"/>
    <n v="19"/>
  </r>
  <r>
    <x v="1"/>
    <n v="20"/>
  </r>
  <r>
    <x v="2"/>
    <n v="2"/>
  </r>
  <r>
    <x v="1"/>
    <n v="8"/>
  </r>
  <r>
    <x v="1"/>
    <n v="4"/>
  </r>
  <r>
    <x v="2"/>
    <n v="8"/>
  </r>
  <r>
    <x v="4"/>
    <n v="13"/>
  </r>
  <r>
    <x v="1"/>
    <n v="6"/>
  </r>
  <r>
    <x v="4"/>
    <n v="12"/>
  </r>
  <r>
    <x v="4"/>
    <n v="12"/>
  </r>
  <r>
    <x v="4"/>
    <n v="12"/>
  </r>
  <r>
    <x v="5"/>
    <n v="12"/>
  </r>
  <r>
    <x v="5"/>
    <n v="14"/>
  </r>
  <r>
    <x v="4"/>
    <n v="19"/>
  </r>
  <r>
    <x v="0"/>
    <n v="13"/>
  </r>
  <r>
    <x v="4"/>
    <n v="20"/>
  </r>
  <r>
    <x v="3"/>
    <n v="11"/>
  </r>
  <r>
    <x v="1"/>
    <n v="11"/>
  </r>
  <r>
    <x v="2"/>
    <n v="12"/>
  </r>
  <r>
    <x v="3"/>
    <n v="1"/>
  </r>
  <r>
    <x v="5"/>
    <n v="8"/>
  </r>
  <r>
    <x v="3"/>
    <n v="12"/>
  </r>
  <r>
    <x v="2"/>
    <n v="20"/>
  </r>
  <r>
    <x v="1"/>
    <n v="3"/>
  </r>
  <r>
    <x v="0"/>
    <n v="3"/>
  </r>
  <r>
    <x v="4"/>
    <n v="12"/>
  </r>
  <r>
    <x v="4"/>
    <n v="18"/>
  </r>
  <r>
    <x v="1"/>
    <n v="14"/>
  </r>
  <r>
    <x v="5"/>
    <n v="14"/>
  </r>
  <r>
    <x v="5"/>
    <n v="19"/>
  </r>
  <r>
    <x v="4"/>
    <n v="2"/>
  </r>
  <r>
    <x v="2"/>
    <n v="12"/>
  </r>
  <r>
    <x v="4"/>
    <n v="13"/>
  </r>
  <r>
    <x v="5"/>
    <n v="15"/>
  </r>
  <r>
    <x v="3"/>
    <n v="18"/>
  </r>
  <r>
    <x v="5"/>
    <n v="18"/>
  </r>
  <r>
    <x v="0"/>
    <n v="11"/>
  </r>
  <r>
    <x v="0"/>
    <n v="19"/>
  </r>
  <r>
    <x v="5"/>
    <n v="16"/>
  </r>
  <r>
    <x v="3"/>
    <n v="3"/>
  </r>
  <r>
    <x v="0"/>
    <n v="19"/>
  </r>
  <r>
    <x v="3"/>
    <n v="5"/>
  </r>
  <r>
    <x v="5"/>
    <n v="4"/>
  </r>
  <r>
    <x v="1"/>
    <n v="17"/>
  </r>
  <r>
    <x v="3"/>
    <n v="16"/>
  </r>
  <r>
    <x v="5"/>
    <n v="12"/>
  </r>
  <r>
    <x v="4"/>
    <n v="1"/>
  </r>
  <r>
    <x v="0"/>
    <n v="9"/>
  </r>
  <r>
    <x v="4"/>
    <n v="1"/>
  </r>
  <r>
    <x v="2"/>
    <n v="15"/>
  </r>
  <r>
    <x v="0"/>
    <n v="12"/>
  </r>
  <r>
    <x v="1"/>
    <n v="13"/>
  </r>
  <r>
    <x v="4"/>
    <n v="20"/>
  </r>
  <r>
    <x v="4"/>
    <n v="9"/>
  </r>
  <r>
    <x v="1"/>
    <n v="3"/>
  </r>
  <r>
    <x v="3"/>
    <n v="20"/>
  </r>
  <r>
    <x v="1"/>
    <n v="13"/>
  </r>
  <r>
    <x v="0"/>
    <n v="16"/>
  </r>
  <r>
    <x v="0"/>
    <n v="11"/>
  </r>
  <r>
    <x v="0"/>
    <n v="16"/>
  </r>
  <r>
    <x v="4"/>
    <n v="17"/>
  </r>
  <r>
    <x v="3"/>
    <n v="17"/>
  </r>
  <r>
    <x v="0"/>
    <n v="18"/>
  </r>
  <r>
    <x v="5"/>
    <n v="3"/>
  </r>
  <r>
    <x v="2"/>
    <n v="16"/>
  </r>
  <r>
    <x v="1"/>
    <n v="1"/>
  </r>
  <r>
    <x v="5"/>
    <n v="11"/>
  </r>
  <r>
    <x v="2"/>
    <n v="2"/>
  </r>
  <r>
    <x v="0"/>
    <n v="9"/>
  </r>
  <r>
    <x v="2"/>
    <n v="13"/>
  </r>
  <r>
    <x v="0"/>
    <n v="7"/>
  </r>
  <r>
    <x v="3"/>
    <n v="16"/>
  </r>
  <r>
    <x v="4"/>
    <n v="20"/>
  </r>
  <r>
    <x v="0"/>
    <n v="15"/>
  </r>
  <r>
    <x v="2"/>
    <n v="4"/>
  </r>
  <r>
    <x v="4"/>
    <n v="7"/>
  </r>
  <r>
    <x v="5"/>
    <n v="11"/>
  </r>
  <r>
    <x v="1"/>
    <n v="14"/>
  </r>
  <r>
    <x v="5"/>
    <n v="11"/>
  </r>
  <r>
    <x v="0"/>
    <n v="16"/>
  </r>
  <r>
    <x v="5"/>
    <n v="15"/>
  </r>
  <r>
    <x v="2"/>
    <n v="12"/>
  </r>
  <r>
    <x v="2"/>
    <n v="12"/>
  </r>
  <r>
    <x v="2"/>
    <n v="15"/>
  </r>
  <r>
    <x v="1"/>
    <n v="16"/>
  </r>
  <r>
    <x v="1"/>
    <n v="6"/>
  </r>
  <r>
    <x v="1"/>
    <n v="20"/>
  </r>
  <r>
    <x v="5"/>
    <n v="5"/>
  </r>
  <r>
    <x v="1"/>
    <n v="14"/>
  </r>
  <r>
    <x v="4"/>
    <n v="12"/>
  </r>
  <r>
    <x v="0"/>
    <n v="2"/>
  </r>
  <r>
    <x v="3"/>
    <n v="18"/>
  </r>
  <r>
    <x v="0"/>
    <n v="4"/>
  </r>
  <r>
    <x v="3"/>
    <n v="8"/>
  </r>
  <r>
    <x v="3"/>
    <n v="16"/>
  </r>
  <r>
    <x v="5"/>
    <n v="10"/>
  </r>
  <r>
    <x v="3"/>
    <n v="18"/>
  </r>
  <r>
    <x v="3"/>
    <n v="17"/>
  </r>
  <r>
    <x v="3"/>
    <n v="4"/>
  </r>
  <r>
    <x v="4"/>
    <n v="8"/>
  </r>
  <r>
    <x v="4"/>
    <n v="13"/>
  </r>
  <r>
    <x v="2"/>
    <n v="1"/>
  </r>
  <r>
    <x v="1"/>
    <n v="16"/>
  </r>
  <r>
    <x v="5"/>
    <n v="10"/>
  </r>
  <r>
    <x v="2"/>
    <n v="20"/>
  </r>
  <r>
    <x v="1"/>
    <n v="2"/>
  </r>
  <r>
    <x v="2"/>
    <n v="12"/>
  </r>
  <r>
    <x v="2"/>
    <n v="14"/>
  </r>
  <r>
    <x v="4"/>
    <n v="12"/>
  </r>
  <r>
    <x v="1"/>
    <n v="2"/>
  </r>
  <r>
    <x v="4"/>
    <n v="7"/>
  </r>
  <r>
    <x v="3"/>
    <n v="12"/>
  </r>
  <r>
    <x v="5"/>
    <n v="9"/>
  </r>
  <r>
    <x v="1"/>
    <n v="3"/>
  </r>
  <r>
    <x v="5"/>
    <n v="14"/>
  </r>
  <r>
    <x v="3"/>
    <n v="11"/>
  </r>
  <r>
    <x v="5"/>
    <n v="17"/>
  </r>
  <r>
    <x v="0"/>
    <n v="9"/>
  </r>
  <r>
    <x v="1"/>
    <n v="8"/>
  </r>
  <r>
    <x v="3"/>
    <n v="1"/>
  </r>
  <r>
    <x v="4"/>
    <n v="12"/>
  </r>
  <r>
    <x v="0"/>
    <n v="2"/>
  </r>
  <r>
    <x v="5"/>
    <n v="15"/>
  </r>
  <r>
    <x v="0"/>
    <n v="7"/>
  </r>
  <r>
    <x v="1"/>
    <n v="6"/>
  </r>
  <r>
    <x v="3"/>
    <n v="5"/>
  </r>
  <r>
    <x v="0"/>
    <n v="8"/>
  </r>
  <r>
    <x v="3"/>
    <n v="11"/>
  </r>
  <r>
    <x v="5"/>
    <n v="13"/>
  </r>
  <r>
    <x v="4"/>
    <n v="16"/>
  </r>
  <r>
    <x v="2"/>
    <n v="9"/>
  </r>
  <r>
    <x v="3"/>
    <n v="4"/>
  </r>
  <r>
    <x v="5"/>
    <n v="6"/>
  </r>
  <r>
    <x v="1"/>
    <n v="11"/>
  </r>
  <r>
    <x v="4"/>
    <n v="8"/>
  </r>
  <r>
    <x v="1"/>
    <n v="10"/>
  </r>
  <r>
    <x v="4"/>
    <n v="20"/>
  </r>
  <r>
    <x v="1"/>
    <n v="11"/>
  </r>
  <r>
    <x v="0"/>
    <n v="3"/>
  </r>
  <r>
    <x v="5"/>
    <n v="1"/>
  </r>
  <r>
    <x v="1"/>
    <n v="8"/>
  </r>
  <r>
    <x v="1"/>
    <n v="16"/>
  </r>
  <r>
    <x v="1"/>
    <n v="5"/>
  </r>
  <r>
    <x v="4"/>
    <n v="15"/>
  </r>
  <r>
    <x v="4"/>
    <n v="10"/>
  </r>
  <r>
    <x v="1"/>
    <n v="10"/>
  </r>
  <r>
    <x v="3"/>
    <n v="1"/>
  </r>
  <r>
    <x v="2"/>
    <n v="4"/>
  </r>
  <r>
    <x v="0"/>
    <n v="17"/>
  </r>
  <r>
    <x v="3"/>
    <n v="19"/>
  </r>
  <r>
    <x v="4"/>
    <n v="15"/>
  </r>
  <r>
    <x v="2"/>
    <n v="9"/>
  </r>
  <r>
    <x v="2"/>
    <n v="10"/>
  </r>
  <r>
    <x v="2"/>
    <n v="7"/>
  </r>
  <r>
    <x v="1"/>
    <n v="1"/>
  </r>
  <r>
    <x v="5"/>
    <n v="9"/>
  </r>
  <r>
    <x v="3"/>
    <n v="4"/>
  </r>
  <r>
    <x v="5"/>
    <n v="4"/>
  </r>
  <r>
    <x v="2"/>
    <n v="1"/>
  </r>
  <r>
    <x v="5"/>
    <n v="11"/>
  </r>
  <r>
    <x v="1"/>
    <n v="13"/>
  </r>
  <r>
    <x v="4"/>
    <n v="1"/>
  </r>
  <r>
    <x v="4"/>
    <n v="10"/>
  </r>
  <r>
    <x v="3"/>
    <n v="6"/>
  </r>
  <r>
    <x v="4"/>
    <n v="13"/>
  </r>
  <r>
    <x v="4"/>
    <n v="1"/>
  </r>
  <r>
    <x v="1"/>
    <n v="14"/>
  </r>
  <r>
    <x v="4"/>
    <n v="17"/>
  </r>
  <r>
    <x v="4"/>
    <n v="8"/>
  </r>
  <r>
    <x v="2"/>
    <n v="1"/>
  </r>
  <r>
    <x v="2"/>
    <n v="11"/>
  </r>
  <r>
    <x v="4"/>
    <n v="20"/>
  </r>
  <r>
    <x v="3"/>
    <n v="16"/>
  </r>
  <r>
    <x v="5"/>
    <n v="19"/>
  </r>
  <r>
    <x v="4"/>
    <n v="1"/>
  </r>
  <r>
    <x v="1"/>
    <n v="8"/>
  </r>
  <r>
    <x v="2"/>
    <n v="19"/>
  </r>
  <r>
    <x v="1"/>
    <n v="2"/>
  </r>
  <r>
    <x v="5"/>
    <n v="20"/>
  </r>
  <r>
    <x v="2"/>
    <n v="9"/>
  </r>
  <r>
    <x v="5"/>
    <n v="13"/>
  </r>
  <r>
    <x v="1"/>
    <n v="6"/>
  </r>
  <r>
    <x v="4"/>
    <n v="5"/>
  </r>
  <r>
    <x v="1"/>
    <n v="3"/>
  </r>
  <r>
    <x v="4"/>
    <n v="13"/>
  </r>
  <r>
    <x v="0"/>
    <n v="2"/>
  </r>
  <r>
    <x v="4"/>
    <n v="8"/>
  </r>
  <r>
    <x v="2"/>
    <n v="5"/>
  </r>
  <r>
    <x v="3"/>
    <n v="11"/>
  </r>
  <r>
    <x v="4"/>
    <n v="7"/>
  </r>
  <r>
    <x v="3"/>
    <n v="12"/>
  </r>
  <r>
    <x v="5"/>
    <n v="18"/>
  </r>
  <r>
    <x v="3"/>
    <n v="3"/>
  </r>
  <r>
    <x v="1"/>
    <n v="20"/>
  </r>
  <r>
    <x v="5"/>
    <n v="10"/>
  </r>
  <r>
    <x v="4"/>
    <n v="9"/>
  </r>
  <r>
    <x v="1"/>
    <n v="13"/>
  </r>
  <r>
    <x v="2"/>
    <n v="6"/>
  </r>
  <r>
    <x v="4"/>
    <n v="20"/>
  </r>
  <r>
    <x v="4"/>
    <n v="13"/>
  </r>
  <r>
    <x v="0"/>
    <n v="13"/>
  </r>
  <r>
    <x v="3"/>
    <n v="4"/>
  </r>
  <r>
    <x v="4"/>
    <n v="6"/>
  </r>
  <r>
    <x v="4"/>
    <n v="12"/>
  </r>
  <r>
    <x v="5"/>
    <n v="4"/>
  </r>
  <r>
    <x v="5"/>
    <n v="1"/>
  </r>
  <r>
    <x v="3"/>
    <n v="3"/>
  </r>
  <r>
    <x v="3"/>
    <n v="13"/>
  </r>
  <r>
    <x v="3"/>
    <n v="4"/>
  </r>
  <r>
    <x v="2"/>
    <n v="3"/>
  </r>
  <r>
    <x v="3"/>
    <n v="10"/>
  </r>
  <r>
    <x v="1"/>
    <n v="18"/>
  </r>
  <r>
    <x v="3"/>
    <n v="13"/>
  </r>
  <r>
    <x v="4"/>
    <n v="2"/>
  </r>
  <r>
    <x v="4"/>
    <n v="20"/>
  </r>
  <r>
    <x v="5"/>
    <n v="16"/>
  </r>
  <r>
    <x v="5"/>
    <n v="10"/>
  </r>
  <r>
    <x v="4"/>
    <n v="13"/>
  </r>
  <r>
    <x v="3"/>
    <n v="9"/>
  </r>
  <r>
    <x v="5"/>
    <n v="7"/>
  </r>
  <r>
    <x v="2"/>
    <n v="20"/>
  </r>
  <r>
    <x v="4"/>
    <n v="15"/>
  </r>
  <r>
    <x v="4"/>
    <n v="9"/>
  </r>
  <r>
    <x v="5"/>
    <n v="20"/>
  </r>
  <r>
    <x v="1"/>
    <n v="13"/>
  </r>
  <r>
    <x v="3"/>
    <n v="20"/>
  </r>
  <r>
    <x v="2"/>
    <n v="19"/>
  </r>
  <r>
    <x v="5"/>
    <n v="20"/>
  </r>
  <r>
    <x v="1"/>
    <n v="20"/>
  </r>
  <r>
    <x v="0"/>
    <n v="17"/>
  </r>
  <r>
    <x v="5"/>
    <n v="19"/>
  </r>
  <r>
    <x v="2"/>
    <n v="1"/>
  </r>
  <r>
    <x v="2"/>
    <n v="12"/>
  </r>
  <r>
    <x v="2"/>
    <n v="18"/>
  </r>
  <r>
    <x v="5"/>
    <n v="2"/>
  </r>
  <r>
    <x v="3"/>
    <n v="6"/>
  </r>
  <r>
    <x v="2"/>
    <n v="17"/>
  </r>
  <r>
    <x v="0"/>
    <n v="14"/>
  </r>
  <r>
    <x v="0"/>
    <n v="13"/>
  </r>
  <r>
    <x v="3"/>
    <n v="9"/>
  </r>
  <r>
    <x v="4"/>
    <n v="18"/>
  </r>
  <r>
    <x v="3"/>
    <n v="14"/>
  </r>
  <r>
    <x v="1"/>
    <n v="1"/>
  </r>
  <r>
    <x v="4"/>
    <n v="11"/>
  </r>
  <r>
    <x v="0"/>
    <n v="7"/>
  </r>
  <r>
    <x v="4"/>
    <n v="3"/>
  </r>
  <r>
    <x v="0"/>
    <n v="17"/>
  </r>
  <r>
    <x v="3"/>
    <n v="9"/>
  </r>
  <r>
    <x v="5"/>
    <n v="12"/>
  </r>
  <r>
    <x v="1"/>
    <n v="16"/>
  </r>
  <r>
    <x v="2"/>
    <n v="12"/>
  </r>
  <r>
    <x v="0"/>
    <n v="9"/>
  </r>
  <r>
    <x v="3"/>
    <n v="18"/>
  </r>
  <r>
    <x v="1"/>
    <n v="13"/>
  </r>
  <r>
    <x v="2"/>
    <n v="17"/>
  </r>
  <r>
    <x v="0"/>
    <n v="16"/>
  </r>
  <r>
    <x v="2"/>
    <n v="1"/>
  </r>
  <r>
    <x v="2"/>
    <n v="1"/>
  </r>
  <r>
    <x v="2"/>
    <n v="1"/>
  </r>
  <r>
    <x v="0"/>
    <n v="5"/>
  </r>
  <r>
    <x v="1"/>
    <n v="3"/>
  </r>
  <r>
    <x v="1"/>
    <n v="2"/>
  </r>
  <r>
    <x v="1"/>
    <n v="7"/>
  </r>
  <r>
    <x v="2"/>
    <n v="18"/>
  </r>
  <r>
    <x v="3"/>
    <n v="5"/>
  </r>
  <r>
    <x v="1"/>
    <n v="14"/>
  </r>
  <r>
    <x v="1"/>
    <n v="12"/>
  </r>
  <r>
    <x v="4"/>
    <n v="1"/>
  </r>
  <r>
    <x v="3"/>
    <n v="18"/>
  </r>
  <r>
    <x v="0"/>
    <n v="19"/>
  </r>
  <r>
    <x v="5"/>
    <n v="16"/>
  </r>
  <r>
    <x v="1"/>
    <n v="7"/>
  </r>
  <r>
    <x v="4"/>
    <n v="10"/>
  </r>
  <r>
    <x v="2"/>
    <n v="9"/>
  </r>
  <r>
    <x v="1"/>
    <n v="11"/>
  </r>
  <r>
    <x v="0"/>
    <n v="19"/>
  </r>
  <r>
    <x v="4"/>
    <n v="10"/>
  </r>
  <r>
    <x v="2"/>
    <n v="1"/>
  </r>
  <r>
    <x v="4"/>
    <n v="7"/>
  </r>
  <r>
    <x v="0"/>
    <n v="19"/>
  </r>
  <r>
    <x v="3"/>
    <n v="19"/>
  </r>
  <r>
    <x v="1"/>
    <n v="15"/>
  </r>
  <r>
    <x v="4"/>
    <n v="12"/>
  </r>
  <r>
    <x v="3"/>
    <n v="15"/>
  </r>
  <r>
    <x v="4"/>
    <n v="2"/>
  </r>
  <r>
    <x v="3"/>
    <n v="11"/>
  </r>
  <r>
    <x v="0"/>
    <n v="11"/>
  </r>
  <r>
    <x v="5"/>
    <n v="18"/>
  </r>
  <r>
    <x v="4"/>
    <n v="15"/>
  </r>
  <r>
    <x v="2"/>
    <n v="12"/>
  </r>
  <r>
    <x v="0"/>
    <n v="16"/>
  </r>
  <r>
    <x v="3"/>
    <n v="4"/>
  </r>
  <r>
    <x v="5"/>
    <n v="15"/>
  </r>
  <r>
    <x v="5"/>
    <n v="16"/>
  </r>
  <r>
    <x v="4"/>
    <n v="11"/>
  </r>
  <r>
    <x v="2"/>
    <n v="17"/>
  </r>
  <r>
    <x v="3"/>
    <n v="19"/>
  </r>
  <r>
    <x v="0"/>
    <n v="2"/>
  </r>
  <r>
    <x v="5"/>
    <n v="4"/>
  </r>
  <r>
    <x v="4"/>
    <n v="2"/>
  </r>
  <r>
    <x v="4"/>
    <n v="20"/>
  </r>
  <r>
    <x v="2"/>
    <n v="7"/>
  </r>
  <r>
    <x v="0"/>
    <n v="18"/>
  </r>
  <r>
    <x v="2"/>
    <n v="3"/>
  </r>
  <r>
    <x v="2"/>
    <n v="9"/>
  </r>
  <r>
    <x v="5"/>
    <n v="7"/>
  </r>
  <r>
    <x v="2"/>
    <n v="6"/>
  </r>
  <r>
    <x v="1"/>
    <n v="13"/>
  </r>
  <r>
    <x v="1"/>
    <n v="10"/>
  </r>
  <r>
    <x v="0"/>
    <n v="4"/>
  </r>
  <r>
    <x v="0"/>
    <n v="12"/>
  </r>
  <r>
    <x v="5"/>
    <n v="5"/>
  </r>
  <r>
    <x v="4"/>
    <n v="19"/>
  </r>
  <r>
    <x v="0"/>
    <n v="6"/>
  </r>
  <r>
    <x v="0"/>
    <n v="2"/>
  </r>
  <r>
    <x v="5"/>
    <n v="9"/>
  </r>
  <r>
    <x v="2"/>
    <n v="11"/>
  </r>
  <r>
    <x v="3"/>
    <n v="18"/>
  </r>
  <r>
    <x v="2"/>
    <n v="5"/>
  </r>
  <r>
    <x v="1"/>
    <n v="16"/>
  </r>
  <r>
    <x v="2"/>
    <n v="2"/>
  </r>
  <r>
    <x v="5"/>
    <n v="1"/>
  </r>
  <r>
    <x v="5"/>
    <n v="5"/>
  </r>
  <r>
    <x v="1"/>
    <n v="14"/>
  </r>
  <r>
    <x v="4"/>
    <n v="11"/>
  </r>
  <r>
    <x v="5"/>
    <n v="19"/>
  </r>
  <r>
    <x v="1"/>
    <n v="9"/>
  </r>
  <r>
    <x v="1"/>
    <n v="1"/>
  </r>
  <r>
    <x v="4"/>
    <n v="16"/>
  </r>
  <r>
    <x v="5"/>
    <n v="9"/>
  </r>
  <r>
    <x v="2"/>
    <n v="7"/>
  </r>
  <r>
    <x v="2"/>
    <n v="7"/>
  </r>
  <r>
    <x v="2"/>
    <n v="19"/>
  </r>
  <r>
    <x v="4"/>
    <n v="4"/>
  </r>
  <r>
    <x v="0"/>
    <n v="2"/>
  </r>
  <r>
    <x v="3"/>
    <n v="10"/>
  </r>
  <r>
    <x v="3"/>
    <n v="3"/>
  </r>
  <r>
    <x v="1"/>
    <n v="6"/>
  </r>
  <r>
    <x v="5"/>
    <n v="18"/>
  </r>
  <r>
    <x v="2"/>
    <n v="4"/>
  </r>
  <r>
    <x v="5"/>
    <n v="5"/>
  </r>
  <r>
    <x v="4"/>
    <n v="1"/>
  </r>
  <r>
    <x v="1"/>
    <n v="15"/>
  </r>
  <r>
    <x v="5"/>
    <n v="12"/>
  </r>
  <r>
    <x v="2"/>
    <n v="9"/>
  </r>
  <r>
    <x v="0"/>
    <n v="11"/>
  </r>
  <r>
    <x v="2"/>
    <n v="5"/>
  </r>
  <r>
    <x v="4"/>
    <n v="14"/>
  </r>
  <r>
    <x v="0"/>
    <n v="3"/>
  </r>
  <r>
    <x v="1"/>
    <n v="10"/>
  </r>
  <r>
    <x v="5"/>
    <n v="19"/>
  </r>
  <r>
    <x v="4"/>
    <n v="10"/>
  </r>
  <r>
    <x v="5"/>
    <n v="15"/>
  </r>
  <r>
    <x v="5"/>
    <n v="8"/>
  </r>
  <r>
    <x v="2"/>
    <n v="3"/>
  </r>
  <r>
    <x v="1"/>
    <n v="4"/>
  </r>
  <r>
    <x v="2"/>
    <n v="12"/>
  </r>
  <r>
    <x v="3"/>
    <n v="16"/>
  </r>
  <r>
    <x v="1"/>
    <n v="13"/>
  </r>
  <r>
    <x v="0"/>
    <n v="20"/>
  </r>
  <r>
    <x v="5"/>
    <n v="11"/>
  </r>
  <r>
    <x v="0"/>
    <n v="3"/>
  </r>
  <r>
    <x v="3"/>
    <n v="14"/>
  </r>
  <r>
    <x v="3"/>
    <n v="14"/>
  </r>
  <r>
    <x v="3"/>
    <n v="3"/>
  </r>
  <r>
    <x v="5"/>
    <n v="12"/>
  </r>
  <r>
    <x v="0"/>
    <n v="12"/>
  </r>
  <r>
    <x v="1"/>
    <n v="4"/>
  </r>
  <r>
    <x v="0"/>
    <n v="15"/>
  </r>
  <r>
    <x v="2"/>
    <n v="15"/>
  </r>
  <r>
    <x v="1"/>
    <n v="15"/>
  </r>
  <r>
    <x v="5"/>
    <n v="1"/>
  </r>
  <r>
    <x v="3"/>
    <n v="13"/>
  </r>
  <r>
    <x v="4"/>
    <n v="19"/>
  </r>
  <r>
    <x v="5"/>
    <n v="9"/>
  </r>
  <r>
    <x v="2"/>
    <n v="10"/>
  </r>
  <r>
    <x v="2"/>
    <n v="15"/>
  </r>
  <r>
    <x v="1"/>
    <n v="11"/>
  </r>
  <r>
    <x v="0"/>
    <n v="13"/>
  </r>
  <r>
    <x v="0"/>
    <n v="9"/>
  </r>
  <r>
    <x v="5"/>
    <n v="11"/>
  </r>
  <r>
    <x v="0"/>
    <n v="5"/>
  </r>
  <r>
    <x v="5"/>
    <n v="13"/>
  </r>
  <r>
    <x v="1"/>
    <n v="7"/>
  </r>
  <r>
    <x v="5"/>
    <n v="4"/>
  </r>
  <r>
    <x v="3"/>
    <n v="14"/>
  </r>
  <r>
    <x v="5"/>
    <n v="2"/>
  </r>
  <r>
    <x v="0"/>
    <n v="4"/>
  </r>
  <r>
    <x v="0"/>
    <n v="14"/>
  </r>
  <r>
    <x v="5"/>
    <n v="15"/>
  </r>
  <r>
    <x v="4"/>
    <n v="3"/>
  </r>
  <r>
    <x v="4"/>
    <n v="18"/>
  </r>
  <r>
    <x v="1"/>
    <n v="14"/>
  </r>
  <r>
    <x v="2"/>
    <n v="5"/>
  </r>
  <r>
    <x v="2"/>
    <n v="4"/>
  </r>
  <r>
    <x v="3"/>
    <n v="17"/>
  </r>
  <r>
    <x v="5"/>
    <n v="12"/>
  </r>
  <r>
    <x v="1"/>
    <n v="18"/>
  </r>
  <r>
    <x v="5"/>
    <n v="19"/>
  </r>
  <r>
    <x v="2"/>
    <n v="2"/>
  </r>
  <r>
    <x v="4"/>
    <n v="10"/>
  </r>
  <r>
    <x v="0"/>
    <n v="20"/>
  </r>
  <r>
    <x v="0"/>
    <n v="4"/>
  </r>
  <r>
    <x v="0"/>
    <n v="14"/>
  </r>
  <r>
    <x v="5"/>
    <n v="14"/>
  </r>
  <r>
    <x v="5"/>
    <n v="16"/>
  </r>
  <r>
    <x v="1"/>
    <n v="18"/>
  </r>
  <r>
    <x v="5"/>
    <n v="7"/>
  </r>
  <r>
    <x v="2"/>
    <n v="12"/>
  </r>
  <r>
    <x v="1"/>
    <n v="2"/>
  </r>
  <r>
    <x v="4"/>
    <n v="10"/>
  </r>
  <r>
    <x v="1"/>
    <n v="13"/>
  </r>
  <r>
    <x v="3"/>
    <n v="15"/>
  </r>
  <r>
    <x v="3"/>
    <n v="6"/>
  </r>
  <r>
    <x v="5"/>
    <n v="17"/>
  </r>
  <r>
    <x v="4"/>
    <n v="5"/>
  </r>
  <r>
    <x v="5"/>
    <n v="9"/>
  </r>
  <r>
    <x v="3"/>
    <n v="17"/>
  </r>
  <r>
    <x v="1"/>
    <n v="19"/>
  </r>
  <r>
    <x v="4"/>
    <n v="14"/>
  </r>
  <r>
    <x v="3"/>
    <n v="16"/>
  </r>
  <r>
    <x v="2"/>
    <n v="19"/>
  </r>
  <r>
    <x v="5"/>
    <n v="5"/>
  </r>
  <r>
    <x v="0"/>
    <n v="16"/>
  </r>
  <r>
    <x v="2"/>
    <n v="5"/>
  </r>
  <r>
    <x v="0"/>
    <n v="15"/>
  </r>
  <r>
    <x v="3"/>
    <n v="15"/>
  </r>
  <r>
    <x v="3"/>
    <n v="7"/>
  </r>
  <r>
    <x v="1"/>
    <n v="20"/>
  </r>
  <r>
    <x v="4"/>
    <n v="18"/>
  </r>
  <r>
    <x v="2"/>
    <n v="4"/>
  </r>
  <r>
    <x v="5"/>
    <n v="16"/>
  </r>
  <r>
    <x v="3"/>
    <n v="15"/>
  </r>
  <r>
    <x v="4"/>
    <n v="5"/>
  </r>
  <r>
    <x v="1"/>
    <n v="10"/>
  </r>
  <r>
    <x v="1"/>
    <n v="3"/>
  </r>
  <r>
    <x v="0"/>
    <n v="12"/>
  </r>
  <r>
    <x v="1"/>
    <n v="14"/>
  </r>
  <r>
    <x v="2"/>
    <n v="2"/>
  </r>
  <r>
    <x v="4"/>
    <n v="8"/>
  </r>
  <r>
    <x v="4"/>
    <n v="19"/>
  </r>
  <r>
    <x v="1"/>
    <n v="8"/>
  </r>
  <r>
    <x v="4"/>
    <n v="8"/>
  </r>
  <r>
    <x v="4"/>
    <n v="4"/>
  </r>
  <r>
    <x v="1"/>
    <n v="3"/>
  </r>
  <r>
    <x v="4"/>
    <n v="16"/>
  </r>
  <r>
    <x v="3"/>
    <n v="11"/>
  </r>
  <r>
    <x v="1"/>
    <n v="13"/>
  </r>
  <r>
    <x v="0"/>
    <n v="6"/>
  </r>
  <r>
    <x v="4"/>
    <n v="2"/>
  </r>
  <r>
    <x v="2"/>
    <n v="12"/>
  </r>
  <r>
    <x v="3"/>
    <n v="4"/>
  </r>
  <r>
    <x v="4"/>
    <n v="10"/>
  </r>
  <r>
    <x v="3"/>
    <n v="9"/>
  </r>
  <r>
    <x v="0"/>
    <n v="9"/>
  </r>
  <r>
    <x v="5"/>
    <n v="16"/>
  </r>
  <r>
    <x v="2"/>
    <n v="18"/>
  </r>
  <r>
    <x v="1"/>
    <n v="12"/>
  </r>
  <r>
    <x v="4"/>
    <n v="19"/>
  </r>
  <r>
    <x v="5"/>
    <n v="20"/>
  </r>
  <r>
    <x v="2"/>
    <n v="6"/>
  </r>
  <r>
    <x v="4"/>
    <n v="20"/>
  </r>
  <r>
    <x v="5"/>
    <n v="18"/>
  </r>
  <r>
    <x v="0"/>
    <n v="7"/>
  </r>
  <r>
    <x v="1"/>
    <n v="16"/>
  </r>
  <r>
    <x v="2"/>
    <n v="3"/>
  </r>
  <r>
    <x v="5"/>
    <n v="19"/>
  </r>
  <r>
    <x v="1"/>
    <n v="12"/>
  </r>
  <r>
    <x v="0"/>
    <n v="14"/>
  </r>
  <r>
    <x v="1"/>
    <n v="12"/>
  </r>
  <r>
    <x v="3"/>
    <n v="20"/>
  </r>
  <r>
    <x v="4"/>
    <n v="5"/>
  </r>
  <r>
    <x v="4"/>
    <n v="20"/>
  </r>
  <r>
    <x v="3"/>
    <n v="14"/>
  </r>
  <r>
    <x v="5"/>
    <n v="11"/>
  </r>
  <r>
    <x v="3"/>
    <n v="4"/>
  </r>
  <r>
    <x v="1"/>
    <n v="2"/>
  </r>
  <r>
    <x v="0"/>
    <n v="4"/>
  </r>
  <r>
    <x v="4"/>
    <n v="18"/>
  </r>
  <r>
    <x v="3"/>
    <n v="10"/>
  </r>
  <r>
    <x v="3"/>
    <n v="16"/>
  </r>
  <r>
    <x v="0"/>
    <n v="1"/>
  </r>
  <r>
    <x v="0"/>
    <n v="17"/>
  </r>
  <r>
    <x v="3"/>
    <n v="16"/>
  </r>
  <r>
    <x v="3"/>
    <n v="5"/>
  </r>
  <r>
    <x v="5"/>
    <n v="12"/>
  </r>
  <r>
    <x v="0"/>
    <n v="11"/>
  </r>
  <r>
    <x v="2"/>
    <n v="15"/>
  </r>
  <r>
    <x v="0"/>
    <n v="17"/>
  </r>
  <r>
    <x v="3"/>
    <n v="3"/>
  </r>
  <r>
    <x v="1"/>
    <n v="16"/>
  </r>
  <r>
    <x v="1"/>
    <n v="1"/>
  </r>
  <r>
    <x v="5"/>
    <n v="3"/>
  </r>
  <r>
    <x v="0"/>
    <n v="9"/>
  </r>
  <r>
    <x v="2"/>
    <n v="11"/>
  </r>
  <r>
    <x v="0"/>
    <n v="18"/>
  </r>
  <r>
    <x v="1"/>
    <n v="6"/>
  </r>
  <r>
    <x v="2"/>
    <n v="11"/>
  </r>
  <r>
    <x v="2"/>
    <n v="6"/>
  </r>
  <r>
    <x v="1"/>
    <n v="15"/>
  </r>
  <r>
    <x v="4"/>
    <n v="10"/>
  </r>
  <r>
    <x v="0"/>
    <n v="6"/>
  </r>
  <r>
    <x v="3"/>
    <n v="9"/>
  </r>
  <r>
    <x v="4"/>
    <n v="7"/>
  </r>
  <r>
    <x v="5"/>
    <n v="20"/>
  </r>
  <r>
    <x v="1"/>
    <n v="13"/>
  </r>
  <r>
    <x v="3"/>
    <n v="9"/>
  </r>
  <r>
    <x v="4"/>
    <n v="17"/>
  </r>
  <r>
    <x v="3"/>
    <n v="6"/>
  </r>
  <r>
    <x v="5"/>
    <n v="17"/>
  </r>
  <r>
    <x v="0"/>
    <n v="18"/>
  </r>
  <r>
    <x v="1"/>
    <n v="9"/>
  </r>
  <r>
    <x v="3"/>
    <n v="17"/>
  </r>
  <r>
    <x v="2"/>
    <n v="5"/>
  </r>
  <r>
    <x v="2"/>
    <n v="8"/>
  </r>
  <r>
    <x v="5"/>
    <n v="1"/>
  </r>
  <r>
    <x v="4"/>
    <n v="9"/>
  </r>
  <r>
    <x v="1"/>
    <n v="12"/>
  </r>
  <r>
    <x v="4"/>
    <n v="18"/>
  </r>
  <r>
    <x v="1"/>
    <n v="12"/>
  </r>
  <r>
    <x v="4"/>
    <n v="17"/>
  </r>
  <r>
    <x v="3"/>
    <n v="8"/>
  </r>
  <r>
    <x v="4"/>
    <n v="4"/>
  </r>
  <r>
    <x v="3"/>
    <n v="8"/>
  </r>
  <r>
    <x v="0"/>
    <n v="13"/>
  </r>
  <r>
    <x v="5"/>
    <n v="17"/>
  </r>
  <r>
    <x v="3"/>
    <n v="1"/>
  </r>
  <r>
    <x v="2"/>
    <n v="2"/>
  </r>
  <r>
    <x v="4"/>
    <n v="8"/>
  </r>
  <r>
    <x v="1"/>
    <n v="9"/>
  </r>
  <r>
    <x v="3"/>
    <n v="16"/>
  </r>
  <r>
    <x v="4"/>
    <n v="15"/>
  </r>
  <r>
    <x v="5"/>
    <n v="17"/>
  </r>
  <r>
    <x v="4"/>
    <n v="15"/>
  </r>
  <r>
    <x v="5"/>
    <n v="3"/>
  </r>
  <r>
    <x v="3"/>
    <n v="8"/>
  </r>
  <r>
    <x v="1"/>
    <n v="8"/>
  </r>
  <r>
    <x v="5"/>
    <n v="8"/>
  </r>
  <r>
    <x v="2"/>
    <n v="14"/>
  </r>
  <r>
    <x v="1"/>
    <n v="3"/>
  </r>
  <r>
    <x v="2"/>
    <n v="3"/>
  </r>
  <r>
    <x v="2"/>
    <n v="18"/>
  </r>
  <r>
    <x v="3"/>
    <n v="17"/>
  </r>
  <r>
    <x v="5"/>
    <n v="19"/>
  </r>
  <r>
    <x v="2"/>
    <n v="8"/>
  </r>
  <r>
    <x v="4"/>
    <n v="2"/>
  </r>
  <r>
    <x v="1"/>
    <n v="14"/>
  </r>
  <r>
    <x v="5"/>
    <n v="3"/>
  </r>
  <r>
    <x v="3"/>
    <n v="15"/>
  </r>
  <r>
    <x v="3"/>
    <n v="2"/>
  </r>
  <r>
    <x v="1"/>
    <n v="19"/>
  </r>
  <r>
    <x v="3"/>
    <n v="8"/>
  </r>
  <r>
    <x v="3"/>
    <n v="11"/>
  </r>
  <r>
    <x v="3"/>
    <n v="11"/>
  </r>
  <r>
    <x v="2"/>
    <n v="20"/>
  </r>
  <r>
    <x v="1"/>
    <n v="1"/>
  </r>
  <r>
    <x v="2"/>
    <n v="15"/>
  </r>
  <r>
    <x v="2"/>
    <n v="18"/>
  </r>
  <r>
    <x v="4"/>
    <n v="20"/>
  </r>
  <r>
    <x v="1"/>
    <n v="4"/>
  </r>
  <r>
    <x v="2"/>
    <n v="10"/>
  </r>
  <r>
    <x v="1"/>
    <n v="17"/>
  </r>
  <r>
    <x v="0"/>
    <n v="18"/>
  </r>
  <r>
    <x v="5"/>
    <n v="1"/>
  </r>
  <r>
    <x v="5"/>
    <n v="5"/>
  </r>
  <r>
    <x v="1"/>
    <n v="13"/>
  </r>
  <r>
    <x v="2"/>
    <n v="17"/>
  </r>
  <r>
    <x v="0"/>
    <n v="12"/>
  </r>
  <r>
    <x v="3"/>
    <n v="8"/>
  </r>
  <r>
    <x v="5"/>
    <n v="9"/>
  </r>
  <r>
    <x v="5"/>
    <n v="20"/>
  </r>
  <r>
    <x v="4"/>
    <n v="5"/>
  </r>
  <r>
    <x v="0"/>
    <n v="15"/>
  </r>
  <r>
    <x v="1"/>
    <n v="12"/>
  </r>
  <r>
    <x v="0"/>
    <n v="1"/>
  </r>
  <r>
    <x v="5"/>
    <n v="11"/>
  </r>
  <r>
    <x v="3"/>
    <n v="16"/>
  </r>
  <r>
    <x v="4"/>
    <n v="7"/>
  </r>
  <r>
    <x v="1"/>
    <n v="19"/>
  </r>
  <r>
    <x v="4"/>
    <n v="4"/>
  </r>
  <r>
    <x v="3"/>
    <n v="3"/>
  </r>
  <r>
    <x v="0"/>
    <n v="16"/>
  </r>
  <r>
    <x v="1"/>
    <n v="7"/>
  </r>
  <r>
    <x v="5"/>
    <n v="17"/>
  </r>
  <r>
    <x v="2"/>
    <n v="16"/>
  </r>
  <r>
    <x v="3"/>
    <n v="1"/>
  </r>
  <r>
    <x v="0"/>
    <n v="16"/>
  </r>
  <r>
    <x v="4"/>
    <n v="5"/>
  </r>
  <r>
    <x v="0"/>
    <n v="4"/>
  </r>
  <r>
    <x v="1"/>
    <n v="20"/>
  </r>
  <r>
    <x v="5"/>
    <n v="7"/>
  </r>
  <r>
    <x v="4"/>
    <n v="8"/>
  </r>
  <r>
    <x v="1"/>
    <n v="6"/>
  </r>
  <r>
    <x v="0"/>
    <n v="16"/>
  </r>
  <r>
    <x v="2"/>
    <n v="11"/>
  </r>
  <r>
    <x v="4"/>
    <n v="8"/>
  </r>
  <r>
    <x v="3"/>
    <n v="18"/>
  </r>
  <r>
    <x v="3"/>
    <n v="9"/>
  </r>
  <r>
    <x v="2"/>
    <n v="15"/>
  </r>
  <r>
    <x v="0"/>
    <n v="12"/>
  </r>
  <r>
    <x v="0"/>
    <n v="9"/>
  </r>
  <r>
    <x v="3"/>
    <n v="14"/>
  </r>
  <r>
    <x v="3"/>
    <n v="10"/>
  </r>
  <r>
    <x v="3"/>
    <n v="2"/>
  </r>
  <r>
    <x v="2"/>
    <n v="10"/>
  </r>
  <r>
    <x v="3"/>
    <n v="3"/>
  </r>
  <r>
    <x v="4"/>
    <n v="15"/>
  </r>
  <r>
    <x v="4"/>
    <n v="17"/>
  </r>
  <r>
    <x v="5"/>
    <n v="19"/>
  </r>
  <r>
    <x v="4"/>
    <n v="20"/>
  </r>
  <r>
    <x v="3"/>
    <n v="15"/>
  </r>
  <r>
    <x v="5"/>
    <n v="13"/>
  </r>
  <r>
    <x v="2"/>
    <n v="1"/>
  </r>
  <r>
    <x v="2"/>
    <n v="8"/>
  </r>
  <r>
    <x v="0"/>
    <n v="16"/>
  </r>
  <r>
    <x v="4"/>
    <n v="2"/>
  </r>
  <r>
    <x v="2"/>
    <n v="11"/>
  </r>
  <r>
    <x v="1"/>
    <n v="11"/>
  </r>
  <r>
    <x v="3"/>
    <n v="2"/>
  </r>
  <r>
    <x v="3"/>
    <n v="15"/>
  </r>
  <r>
    <x v="1"/>
    <n v="9"/>
  </r>
  <r>
    <x v="1"/>
    <n v="8"/>
  </r>
  <r>
    <x v="2"/>
    <n v="15"/>
  </r>
  <r>
    <x v="3"/>
    <n v="8"/>
  </r>
  <r>
    <x v="1"/>
    <n v="12"/>
  </r>
  <r>
    <x v="4"/>
    <n v="4"/>
  </r>
  <r>
    <x v="2"/>
    <n v="11"/>
  </r>
  <r>
    <x v="0"/>
    <n v="3"/>
  </r>
  <r>
    <x v="1"/>
    <n v="3"/>
  </r>
  <r>
    <x v="1"/>
    <n v="13"/>
  </r>
  <r>
    <x v="3"/>
    <n v="9"/>
  </r>
  <r>
    <x v="1"/>
    <n v="20"/>
  </r>
  <r>
    <x v="4"/>
    <n v="15"/>
  </r>
  <r>
    <x v="0"/>
    <n v="11"/>
  </r>
  <r>
    <x v="1"/>
    <n v="13"/>
  </r>
  <r>
    <x v="3"/>
    <n v="14"/>
  </r>
  <r>
    <x v="3"/>
    <n v="12"/>
  </r>
  <r>
    <x v="0"/>
    <n v="19"/>
  </r>
  <r>
    <x v="4"/>
    <n v="19"/>
  </r>
  <r>
    <x v="0"/>
    <n v="15"/>
  </r>
  <r>
    <x v="2"/>
    <n v="18"/>
  </r>
  <r>
    <x v="4"/>
    <n v="10"/>
  </r>
  <r>
    <x v="2"/>
    <n v="2"/>
  </r>
  <r>
    <x v="0"/>
    <n v="18"/>
  </r>
  <r>
    <x v="4"/>
    <n v="13"/>
  </r>
  <r>
    <x v="0"/>
    <n v="7"/>
  </r>
  <r>
    <x v="4"/>
    <n v="1"/>
  </r>
  <r>
    <x v="2"/>
    <n v="1"/>
  </r>
  <r>
    <x v="4"/>
    <n v="15"/>
  </r>
  <r>
    <x v="5"/>
    <n v="7"/>
  </r>
  <r>
    <x v="1"/>
    <n v="18"/>
  </r>
  <r>
    <x v="2"/>
    <n v="20"/>
  </r>
  <r>
    <x v="0"/>
    <n v="6"/>
  </r>
  <r>
    <x v="4"/>
    <n v="11"/>
  </r>
  <r>
    <x v="5"/>
    <n v="9"/>
  </r>
  <r>
    <x v="5"/>
    <n v="12"/>
  </r>
  <r>
    <x v="1"/>
    <n v="17"/>
  </r>
  <r>
    <x v="4"/>
    <n v="2"/>
  </r>
  <r>
    <x v="5"/>
    <n v="16"/>
  </r>
  <r>
    <x v="5"/>
    <n v="3"/>
  </r>
  <r>
    <x v="4"/>
    <n v="9"/>
  </r>
  <r>
    <x v="5"/>
    <n v="17"/>
  </r>
  <r>
    <x v="1"/>
    <n v="6"/>
  </r>
  <r>
    <x v="1"/>
    <n v="6"/>
  </r>
  <r>
    <x v="4"/>
    <n v="10"/>
  </r>
  <r>
    <x v="2"/>
    <n v="1"/>
  </r>
  <r>
    <x v="1"/>
    <n v="6"/>
  </r>
  <r>
    <x v="1"/>
    <n v="4"/>
  </r>
  <r>
    <x v="2"/>
    <n v="16"/>
  </r>
  <r>
    <x v="0"/>
    <n v="15"/>
  </r>
  <r>
    <x v="5"/>
    <n v="4"/>
  </r>
  <r>
    <x v="1"/>
    <n v="10"/>
  </r>
  <r>
    <x v="4"/>
    <n v="17"/>
  </r>
  <r>
    <x v="0"/>
    <n v="16"/>
  </r>
  <r>
    <x v="2"/>
    <n v="4"/>
  </r>
  <r>
    <x v="3"/>
    <n v="19"/>
  </r>
  <r>
    <x v="2"/>
    <n v="19"/>
  </r>
  <r>
    <x v="1"/>
    <n v="19"/>
  </r>
  <r>
    <x v="5"/>
    <n v="20"/>
  </r>
  <r>
    <x v="0"/>
    <n v="19"/>
  </r>
  <r>
    <x v="2"/>
    <n v="1"/>
  </r>
  <r>
    <x v="0"/>
    <n v="17"/>
  </r>
  <r>
    <x v="1"/>
    <n v="5"/>
  </r>
  <r>
    <x v="2"/>
    <n v="7"/>
  </r>
  <r>
    <x v="3"/>
    <n v="13"/>
  </r>
  <r>
    <x v="3"/>
    <n v="3"/>
  </r>
  <r>
    <x v="0"/>
    <n v="2"/>
  </r>
  <r>
    <x v="4"/>
    <n v="12"/>
  </r>
  <r>
    <x v="1"/>
    <n v="3"/>
  </r>
  <r>
    <x v="4"/>
    <n v="7"/>
  </r>
  <r>
    <x v="4"/>
    <n v="10"/>
  </r>
  <r>
    <x v="4"/>
    <n v="10"/>
  </r>
  <r>
    <x v="5"/>
    <n v="10"/>
  </r>
  <r>
    <x v="1"/>
    <n v="17"/>
  </r>
  <r>
    <x v="0"/>
    <n v="8"/>
  </r>
  <r>
    <x v="2"/>
    <n v="8"/>
  </r>
  <r>
    <x v="5"/>
    <n v="11"/>
  </r>
  <r>
    <x v="5"/>
    <n v="2"/>
  </r>
  <r>
    <x v="5"/>
    <n v="18"/>
  </r>
  <r>
    <x v="5"/>
    <n v="4"/>
  </r>
  <r>
    <x v="3"/>
    <n v="14"/>
  </r>
  <r>
    <x v="0"/>
    <n v="3"/>
  </r>
  <r>
    <x v="3"/>
    <n v="12"/>
  </r>
  <r>
    <x v="2"/>
    <n v="1"/>
  </r>
  <r>
    <x v="4"/>
    <n v="17"/>
  </r>
  <r>
    <x v="3"/>
    <n v="5"/>
  </r>
  <r>
    <x v="0"/>
    <n v="9"/>
  </r>
  <r>
    <x v="1"/>
    <n v="4"/>
  </r>
  <r>
    <x v="4"/>
    <n v="5"/>
  </r>
  <r>
    <x v="0"/>
    <n v="14"/>
  </r>
  <r>
    <x v="5"/>
    <n v="4"/>
  </r>
  <r>
    <x v="0"/>
    <n v="1"/>
  </r>
  <r>
    <x v="4"/>
    <n v="16"/>
  </r>
  <r>
    <x v="5"/>
    <n v="13"/>
  </r>
  <r>
    <x v="4"/>
    <n v="10"/>
  </r>
  <r>
    <x v="5"/>
    <n v="1"/>
  </r>
  <r>
    <x v="2"/>
    <n v="3"/>
  </r>
  <r>
    <x v="4"/>
    <n v="12"/>
  </r>
  <r>
    <x v="1"/>
    <n v="18"/>
  </r>
  <r>
    <x v="2"/>
    <n v="4"/>
  </r>
  <r>
    <x v="3"/>
    <n v="18"/>
  </r>
  <r>
    <x v="1"/>
    <n v="8"/>
  </r>
  <r>
    <x v="1"/>
    <n v="9"/>
  </r>
  <r>
    <x v="3"/>
    <n v="1"/>
  </r>
  <r>
    <x v="2"/>
    <n v="11"/>
  </r>
  <r>
    <x v="1"/>
    <n v="13"/>
  </r>
  <r>
    <x v="4"/>
    <n v="10"/>
  </r>
  <r>
    <x v="2"/>
    <n v="7"/>
  </r>
  <r>
    <x v="2"/>
    <n v="7"/>
  </r>
  <r>
    <x v="4"/>
    <n v="14"/>
  </r>
  <r>
    <x v="4"/>
    <n v="1"/>
  </r>
  <r>
    <x v="5"/>
    <n v="4"/>
  </r>
  <r>
    <x v="5"/>
    <n v="5"/>
  </r>
  <r>
    <x v="2"/>
    <n v="13"/>
  </r>
  <r>
    <x v="2"/>
    <n v="19"/>
  </r>
  <r>
    <x v="2"/>
    <n v="3"/>
  </r>
  <r>
    <x v="5"/>
    <n v="6"/>
  </r>
  <r>
    <x v="2"/>
    <n v="12"/>
  </r>
  <r>
    <x v="4"/>
    <n v="13"/>
  </r>
  <r>
    <x v="3"/>
    <n v="8"/>
  </r>
  <r>
    <x v="3"/>
    <n v="5"/>
  </r>
  <r>
    <x v="2"/>
    <n v="1"/>
  </r>
  <r>
    <x v="5"/>
    <n v="17"/>
  </r>
  <r>
    <x v="4"/>
    <n v="8"/>
  </r>
  <r>
    <x v="0"/>
    <n v="6"/>
  </r>
  <r>
    <x v="4"/>
    <n v="9"/>
  </r>
  <r>
    <x v="4"/>
    <n v="20"/>
  </r>
  <r>
    <x v="4"/>
    <n v="1"/>
  </r>
  <r>
    <x v="5"/>
    <n v="15"/>
  </r>
  <r>
    <x v="1"/>
    <n v="3"/>
  </r>
  <r>
    <x v="1"/>
    <n v="9"/>
  </r>
  <r>
    <x v="4"/>
    <n v="10"/>
  </r>
  <r>
    <x v="3"/>
    <n v="10"/>
  </r>
  <r>
    <x v="5"/>
    <n v="1"/>
  </r>
  <r>
    <x v="0"/>
    <n v="14"/>
  </r>
  <r>
    <x v="4"/>
    <n v="12"/>
  </r>
  <r>
    <x v="2"/>
    <n v="19"/>
  </r>
  <r>
    <x v="0"/>
    <n v="18"/>
  </r>
  <r>
    <x v="5"/>
    <n v="11"/>
  </r>
  <r>
    <x v="5"/>
    <n v="10"/>
  </r>
  <r>
    <x v="0"/>
    <n v="2"/>
  </r>
  <r>
    <x v="3"/>
    <n v="12"/>
  </r>
  <r>
    <x v="3"/>
    <n v="20"/>
  </r>
  <r>
    <x v="2"/>
    <n v="3"/>
  </r>
  <r>
    <x v="1"/>
    <n v="10"/>
  </r>
  <r>
    <x v="3"/>
    <n v="7"/>
  </r>
  <r>
    <x v="0"/>
    <n v="10"/>
  </r>
  <r>
    <x v="2"/>
    <n v="10"/>
  </r>
  <r>
    <x v="5"/>
    <n v="18"/>
  </r>
  <r>
    <x v="1"/>
    <n v="7"/>
  </r>
  <r>
    <x v="0"/>
    <n v="13"/>
  </r>
  <r>
    <x v="0"/>
    <n v="12"/>
  </r>
  <r>
    <x v="2"/>
    <n v="2"/>
  </r>
  <r>
    <x v="1"/>
    <n v="17"/>
  </r>
  <r>
    <x v="3"/>
    <n v="7"/>
  </r>
  <r>
    <x v="1"/>
    <n v="2"/>
  </r>
  <r>
    <x v="4"/>
    <n v="20"/>
  </r>
  <r>
    <x v="4"/>
    <n v="3"/>
  </r>
  <r>
    <x v="0"/>
    <n v="4"/>
  </r>
  <r>
    <x v="4"/>
    <n v="19"/>
  </r>
  <r>
    <x v="5"/>
    <n v="9"/>
  </r>
  <r>
    <x v="3"/>
    <n v="11"/>
  </r>
  <r>
    <x v="2"/>
    <n v="8"/>
  </r>
  <r>
    <x v="5"/>
    <n v="7"/>
  </r>
  <r>
    <x v="4"/>
    <n v="7"/>
  </r>
  <r>
    <x v="0"/>
    <n v="7"/>
  </r>
  <r>
    <x v="3"/>
    <n v="13"/>
  </r>
  <r>
    <x v="5"/>
    <n v="16"/>
  </r>
  <r>
    <x v="2"/>
    <n v="20"/>
  </r>
  <r>
    <x v="5"/>
    <n v="7"/>
  </r>
  <r>
    <x v="2"/>
    <n v="2"/>
  </r>
  <r>
    <x v="5"/>
    <n v="4"/>
  </r>
  <r>
    <x v="5"/>
    <n v="6"/>
  </r>
  <r>
    <x v="0"/>
    <n v="20"/>
  </r>
  <r>
    <x v="3"/>
    <n v="18"/>
  </r>
  <r>
    <x v="4"/>
    <n v="9"/>
  </r>
  <r>
    <x v="2"/>
    <n v="19"/>
  </r>
  <r>
    <x v="5"/>
    <n v="5"/>
  </r>
  <r>
    <x v="2"/>
    <n v="10"/>
  </r>
  <r>
    <x v="3"/>
    <n v="8"/>
  </r>
  <r>
    <x v="4"/>
    <n v="20"/>
  </r>
  <r>
    <x v="1"/>
    <n v="4"/>
  </r>
  <r>
    <x v="1"/>
    <n v="1"/>
  </r>
  <r>
    <x v="5"/>
    <n v="14"/>
  </r>
  <r>
    <x v="4"/>
    <n v="8"/>
  </r>
  <r>
    <x v="3"/>
    <n v="18"/>
  </r>
  <r>
    <x v="1"/>
    <n v="18"/>
  </r>
  <r>
    <x v="1"/>
    <n v="5"/>
  </r>
  <r>
    <x v="5"/>
    <n v="14"/>
  </r>
  <r>
    <x v="1"/>
    <n v="15"/>
  </r>
  <r>
    <x v="0"/>
    <n v="20"/>
  </r>
  <r>
    <x v="0"/>
    <n v="6"/>
  </r>
  <r>
    <x v="3"/>
    <n v="8"/>
  </r>
  <r>
    <x v="0"/>
    <n v="4"/>
  </r>
  <r>
    <x v="0"/>
    <n v="17"/>
  </r>
  <r>
    <x v="4"/>
    <n v="20"/>
  </r>
  <r>
    <x v="4"/>
    <n v="5"/>
  </r>
  <r>
    <x v="0"/>
    <n v="6"/>
  </r>
  <r>
    <x v="5"/>
    <n v="20"/>
  </r>
  <r>
    <x v="5"/>
    <n v="12"/>
  </r>
  <r>
    <x v="1"/>
    <n v="19"/>
  </r>
  <r>
    <x v="3"/>
    <n v="8"/>
  </r>
  <r>
    <x v="3"/>
    <n v="18"/>
  </r>
  <r>
    <x v="2"/>
    <n v="10"/>
  </r>
  <r>
    <x v="2"/>
    <n v="13"/>
  </r>
  <r>
    <x v="0"/>
    <n v="12"/>
  </r>
  <r>
    <x v="0"/>
    <n v="13"/>
  </r>
  <r>
    <x v="2"/>
    <n v="16"/>
  </r>
  <r>
    <x v="5"/>
    <n v="12"/>
  </r>
  <r>
    <x v="1"/>
    <n v="12"/>
  </r>
  <r>
    <x v="5"/>
    <n v="18"/>
  </r>
  <r>
    <x v="3"/>
    <n v="8"/>
  </r>
  <r>
    <x v="1"/>
    <n v="7"/>
  </r>
  <r>
    <x v="0"/>
    <n v="11"/>
  </r>
  <r>
    <x v="4"/>
    <n v="14"/>
  </r>
  <r>
    <x v="4"/>
    <n v="18"/>
  </r>
  <r>
    <x v="1"/>
    <n v="19"/>
  </r>
  <r>
    <x v="5"/>
    <n v="5"/>
  </r>
  <r>
    <x v="1"/>
    <n v="7"/>
  </r>
  <r>
    <x v="5"/>
    <n v="12"/>
  </r>
  <r>
    <x v="4"/>
    <n v="12"/>
  </r>
  <r>
    <x v="2"/>
    <n v="17"/>
  </r>
  <r>
    <x v="3"/>
    <n v="3"/>
  </r>
  <r>
    <x v="4"/>
    <n v="2"/>
  </r>
  <r>
    <x v="3"/>
    <n v="7"/>
  </r>
  <r>
    <x v="0"/>
    <n v="14"/>
  </r>
  <r>
    <x v="0"/>
    <n v="7"/>
  </r>
  <r>
    <x v="4"/>
    <n v="11"/>
  </r>
  <r>
    <x v="0"/>
    <n v="12"/>
  </r>
  <r>
    <x v="3"/>
    <n v="20"/>
  </r>
  <r>
    <x v="3"/>
    <n v="5"/>
  </r>
  <r>
    <x v="1"/>
    <n v="11"/>
  </r>
  <r>
    <x v="0"/>
    <n v="19"/>
  </r>
  <r>
    <x v="4"/>
    <n v="20"/>
  </r>
  <r>
    <x v="0"/>
    <n v="18"/>
  </r>
  <r>
    <x v="4"/>
    <n v="12"/>
  </r>
  <r>
    <x v="4"/>
    <n v="16"/>
  </r>
  <r>
    <x v="3"/>
    <n v="11"/>
  </r>
  <r>
    <x v="5"/>
    <n v="15"/>
  </r>
  <r>
    <x v="5"/>
    <n v="16"/>
  </r>
  <r>
    <x v="2"/>
    <n v="3"/>
  </r>
  <r>
    <x v="0"/>
    <n v="20"/>
  </r>
  <r>
    <x v="0"/>
    <n v="13"/>
  </r>
  <r>
    <x v="5"/>
    <n v="12"/>
  </r>
  <r>
    <x v="5"/>
    <n v="11"/>
  </r>
  <r>
    <x v="4"/>
    <n v="12"/>
  </r>
  <r>
    <x v="3"/>
    <n v="16"/>
  </r>
  <r>
    <x v="4"/>
    <n v="20"/>
  </r>
  <r>
    <x v="3"/>
    <n v="1"/>
  </r>
  <r>
    <x v="2"/>
    <n v="9"/>
  </r>
  <r>
    <x v="5"/>
    <n v="4"/>
  </r>
  <r>
    <x v="1"/>
    <n v="4"/>
  </r>
  <r>
    <x v="3"/>
    <n v="5"/>
  </r>
  <r>
    <x v="4"/>
    <n v="8"/>
  </r>
  <r>
    <x v="3"/>
    <n v="20"/>
  </r>
  <r>
    <x v="0"/>
    <n v="5"/>
  </r>
  <r>
    <x v="4"/>
    <n v="9"/>
  </r>
  <r>
    <x v="5"/>
    <n v="2"/>
  </r>
  <r>
    <x v="1"/>
    <n v="6"/>
  </r>
  <r>
    <x v="4"/>
    <n v="11"/>
  </r>
  <r>
    <x v="4"/>
    <n v="8"/>
  </r>
  <r>
    <x v="0"/>
    <n v="15"/>
  </r>
  <r>
    <x v="5"/>
    <n v="19"/>
  </r>
  <r>
    <x v="1"/>
    <n v="6"/>
  </r>
  <r>
    <x v="2"/>
    <n v="9"/>
  </r>
  <r>
    <x v="3"/>
    <n v="2"/>
  </r>
  <r>
    <x v="4"/>
    <n v="12"/>
  </r>
  <r>
    <x v="3"/>
    <n v="4"/>
  </r>
  <r>
    <x v="3"/>
    <n v="19"/>
  </r>
  <r>
    <x v="0"/>
    <n v="5"/>
  </r>
  <r>
    <x v="3"/>
    <n v="8"/>
  </r>
  <r>
    <x v="5"/>
    <n v="3"/>
  </r>
  <r>
    <x v="3"/>
    <n v="4"/>
  </r>
  <r>
    <x v="4"/>
    <n v="14"/>
  </r>
  <r>
    <x v="0"/>
    <n v="15"/>
  </r>
  <r>
    <x v="1"/>
    <n v="5"/>
  </r>
  <r>
    <x v="5"/>
    <n v="4"/>
  </r>
  <r>
    <x v="3"/>
    <n v="3"/>
  </r>
  <r>
    <x v="0"/>
    <n v="17"/>
  </r>
  <r>
    <x v="3"/>
    <n v="5"/>
  </r>
  <r>
    <x v="4"/>
    <n v="8"/>
  </r>
  <r>
    <x v="5"/>
    <n v="11"/>
  </r>
  <r>
    <x v="3"/>
    <n v="2"/>
  </r>
  <r>
    <x v="3"/>
    <n v="7"/>
  </r>
  <r>
    <x v="5"/>
    <n v="18"/>
  </r>
  <r>
    <x v="3"/>
    <n v="3"/>
  </r>
  <r>
    <x v="2"/>
    <n v="4"/>
  </r>
  <r>
    <x v="2"/>
    <n v="2"/>
  </r>
  <r>
    <x v="0"/>
    <n v="4"/>
  </r>
  <r>
    <x v="5"/>
    <n v="16"/>
  </r>
  <r>
    <x v="4"/>
    <n v="20"/>
  </r>
  <r>
    <x v="0"/>
    <n v="5"/>
  </r>
  <r>
    <x v="1"/>
    <n v="15"/>
  </r>
  <r>
    <x v="0"/>
    <n v="19"/>
  </r>
  <r>
    <x v="5"/>
    <n v="6"/>
  </r>
  <r>
    <x v="0"/>
    <n v="6"/>
  </r>
  <r>
    <x v="4"/>
    <n v="19"/>
  </r>
  <r>
    <x v="1"/>
    <n v="13"/>
  </r>
  <r>
    <x v="0"/>
    <n v="4"/>
  </r>
  <r>
    <x v="0"/>
    <n v="3"/>
  </r>
  <r>
    <x v="1"/>
    <n v="1"/>
  </r>
  <r>
    <x v="2"/>
    <n v="11"/>
  </r>
  <r>
    <x v="3"/>
    <n v="19"/>
  </r>
  <r>
    <x v="5"/>
    <n v="10"/>
  </r>
  <r>
    <x v="1"/>
    <n v="11"/>
  </r>
  <r>
    <x v="4"/>
    <n v="10"/>
  </r>
  <r>
    <x v="1"/>
    <n v="19"/>
  </r>
  <r>
    <x v="4"/>
    <n v="11"/>
  </r>
  <r>
    <x v="4"/>
    <n v="19"/>
  </r>
  <r>
    <x v="2"/>
    <n v="3"/>
  </r>
  <r>
    <x v="3"/>
    <n v="3"/>
  </r>
  <r>
    <x v="0"/>
    <n v="5"/>
  </r>
  <r>
    <x v="3"/>
    <n v="15"/>
  </r>
  <r>
    <x v="4"/>
    <n v="5"/>
  </r>
  <r>
    <x v="1"/>
    <n v="14"/>
  </r>
  <r>
    <x v="4"/>
    <n v="7"/>
  </r>
  <r>
    <x v="5"/>
    <n v="18"/>
  </r>
  <r>
    <x v="5"/>
    <n v="8"/>
  </r>
  <r>
    <x v="1"/>
    <n v="11"/>
  </r>
  <r>
    <x v="0"/>
    <n v="7"/>
  </r>
  <r>
    <x v="1"/>
    <n v="15"/>
  </r>
  <r>
    <x v="0"/>
    <n v="2"/>
  </r>
  <r>
    <x v="2"/>
    <n v="4"/>
  </r>
  <r>
    <x v="2"/>
    <n v="19"/>
  </r>
  <r>
    <x v="4"/>
    <n v="14"/>
  </r>
  <r>
    <x v="0"/>
    <n v="20"/>
  </r>
  <r>
    <x v="5"/>
    <n v="3"/>
  </r>
  <r>
    <x v="1"/>
    <n v="8"/>
  </r>
  <r>
    <x v="1"/>
    <n v="3"/>
  </r>
  <r>
    <x v="0"/>
    <n v="20"/>
  </r>
  <r>
    <x v="2"/>
    <n v="11"/>
  </r>
  <r>
    <x v="1"/>
    <n v="12"/>
  </r>
  <r>
    <x v="3"/>
    <n v="9"/>
  </r>
  <r>
    <x v="3"/>
    <n v="1"/>
  </r>
  <r>
    <x v="0"/>
    <n v="16"/>
  </r>
  <r>
    <x v="0"/>
    <n v="7"/>
  </r>
  <r>
    <x v="5"/>
    <n v="7"/>
  </r>
  <r>
    <x v="1"/>
    <n v="2"/>
  </r>
  <r>
    <x v="3"/>
    <n v="10"/>
  </r>
  <r>
    <x v="3"/>
    <n v="19"/>
  </r>
  <r>
    <x v="5"/>
    <n v="16"/>
  </r>
  <r>
    <x v="2"/>
    <n v="16"/>
  </r>
  <r>
    <x v="3"/>
    <n v="2"/>
  </r>
  <r>
    <x v="1"/>
    <n v="3"/>
  </r>
  <r>
    <x v="0"/>
    <n v="9"/>
  </r>
  <r>
    <x v="0"/>
    <n v="14"/>
  </r>
  <r>
    <x v="5"/>
    <n v="15"/>
  </r>
  <r>
    <x v="5"/>
    <n v="1"/>
  </r>
  <r>
    <x v="2"/>
    <n v="13"/>
  </r>
  <r>
    <x v="5"/>
    <n v="6"/>
  </r>
  <r>
    <x v="1"/>
    <n v="14"/>
  </r>
  <r>
    <x v="1"/>
    <n v="12"/>
  </r>
  <r>
    <x v="0"/>
    <n v="7"/>
  </r>
  <r>
    <x v="1"/>
    <n v="4"/>
  </r>
  <r>
    <x v="0"/>
    <n v="15"/>
  </r>
  <r>
    <x v="0"/>
    <n v="6"/>
  </r>
  <r>
    <x v="4"/>
    <n v="7"/>
  </r>
  <r>
    <x v="0"/>
    <n v="7"/>
  </r>
  <r>
    <x v="0"/>
    <n v="4"/>
  </r>
  <r>
    <x v="5"/>
    <n v="18"/>
  </r>
  <r>
    <x v="2"/>
    <n v="1"/>
  </r>
  <r>
    <x v="2"/>
    <n v="2"/>
  </r>
  <r>
    <x v="1"/>
    <n v="15"/>
  </r>
  <r>
    <x v="3"/>
    <n v="6"/>
  </r>
  <r>
    <x v="5"/>
    <n v="3"/>
  </r>
  <r>
    <x v="1"/>
    <n v="2"/>
  </r>
  <r>
    <x v="3"/>
    <n v="3"/>
  </r>
  <r>
    <x v="0"/>
    <n v="1"/>
  </r>
  <r>
    <x v="4"/>
    <n v="1"/>
  </r>
  <r>
    <x v="2"/>
    <n v="5"/>
  </r>
  <r>
    <x v="5"/>
    <n v="2"/>
  </r>
  <r>
    <x v="3"/>
    <n v="8"/>
  </r>
  <r>
    <x v="4"/>
    <n v="4"/>
  </r>
  <r>
    <x v="0"/>
    <n v="12"/>
  </r>
  <r>
    <x v="3"/>
    <n v="13"/>
  </r>
  <r>
    <x v="2"/>
    <n v="5"/>
  </r>
  <r>
    <x v="2"/>
    <n v="3"/>
  </r>
  <r>
    <x v="1"/>
    <n v="1"/>
  </r>
  <r>
    <x v="3"/>
    <n v="9"/>
  </r>
  <r>
    <x v="5"/>
    <n v="19"/>
  </r>
  <r>
    <x v="4"/>
    <n v="20"/>
  </r>
  <r>
    <x v="1"/>
    <n v="4"/>
  </r>
  <r>
    <x v="4"/>
    <n v="3"/>
  </r>
  <r>
    <x v="1"/>
    <n v="6"/>
  </r>
  <r>
    <x v="1"/>
    <n v="17"/>
  </r>
  <r>
    <x v="1"/>
    <n v="4"/>
  </r>
  <r>
    <x v="5"/>
    <n v="19"/>
  </r>
  <r>
    <x v="5"/>
    <n v="19"/>
  </r>
  <r>
    <x v="2"/>
    <n v="18"/>
  </r>
  <r>
    <x v="3"/>
    <n v="15"/>
  </r>
  <r>
    <x v="3"/>
    <n v="19"/>
  </r>
  <r>
    <x v="3"/>
    <n v="5"/>
  </r>
  <r>
    <x v="5"/>
    <n v="18"/>
  </r>
  <r>
    <x v="2"/>
    <n v="15"/>
  </r>
  <r>
    <x v="2"/>
    <n v="18"/>
  </r>
  <r>
    <x v="3"/>
    <n v="13"/>
  </r>
  <r>
    <x v="2"/>
    <n v="6"/>
  </r>
  <r>
    <x v="1"/>
    <n v="2"/>
  </r>
  <r>
    <x v="3"/>
    <n v="14"/>
  </r>
  <r>
    <x v="5"/>
    <n v="10"/>
  </r>
  <r>
    <x v="0"/>
    <n v="13"/>
  </r>
  <r>
    <x v="3"/>
    <n v="14"/>
  </r>
  <r>
    <x v="1"/>
    <n v="14"/>
  </r>
  <r>
    <x v="4"/>
    <n v="6"/>
  </r>
  <r>
    <x v="3"/>
    <n v="7"/>
  </r>
  <r>
    <x v="4"/>
    <n v="19"/>
  </r>
  <r>
    <x v="5"/>
    <n v="9"/>
  </r>
  <r>
    <x v="0"/>
    <n v="20"/>
  </r>
  <r>
    <x v="5"/>
    <n v="15"/>
  </r>
  <r>
    <x v="4"/>
    <n v="2"/>
  </r>
  <r>
    <x v="5"/>
    <n v="1"/>
  </r>
  <r>
    <x v="2"/>
    <n v="8"/>
  </r>
  <r>
    <x v="2"/>
    <n v="14"/>
  </r>
  <r>
    <x v="4"/>
    <n v="14"/>
  </r>
  <r>
    <x v="0"/>
    <n v="12"/>
  </r>
  <r>
    <x v="0"/>
    <n v="20"/>
  </r>
  <r>
    <x v="1"/>
    <n v="16"/>
  </r>
  <r>
    <x v="5"/>
    <n v="16"/>
  </r>
  <r>
    <x v="4"/>
    <n v="17"/>
  </r>
  <r>
    <x v="0"/>
    <n v="15"/>
  </r>
  <r>
    <x v="4"/>
    <n v="1"/>
  </r>
  <r>
    <x v="2"/>
    <n v="4"/>
  </r>
  <r>
    <x v="5"/>
    <n v="19"/>
  </r>
  <r>
    <x v="2"/>
    <n v="13"/>
  </r>
  <r>
    <x v="4"/>
    <n v="11"/>
  </r>
  <r>
    <x v="0"/>
    <n v="7"/>
  </r>
  <r>
    <x v="2"/>
    <n v="6"/>
  </r>
  <r>
    <x v="0"/>
    <n v="1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n v="10001"/>
    <x v="0"/>
    <x v="0"/>
    <s v="North"/>
    <s v="Rani"/>
    <n v="2"/>
    <n v="28065"/>
    <n v="56130"/>
    <n v="56130"/>
  </r>
  <r>
    <n v="10002"/>
    <x v="1"/>
    <x v="1"/>
    <s v="West"/>
    <s v="Priya"/>
    <n v="13"/>
    <n v="31447"/>
    <n v="408811"/>
    <n v="408811"/>
  </r>
  <r>
    <n v="10003"/>
    <x v="2"/>
    <x v="0"/>
    <s v="West"/>
    <s v="Rani"/>
    <n v="17"/>
    <n v="15964"/>
    <n v="271388"/>
    <n v="271388"/>
  </r>
  <r>
    <n v="10004"/>
    <x v="3"/>
    <x v="2"/>
    <s v="West"/>
    <s v="Priya"/>
    <n v="1"/>
    <n v="7998"/>
    <n v="7998"/>
    <n v="7998"/>
  </r>
  <r>
    <n v="10005"/>
    <x v="4"/>
    <x v="2"/>
    <s v="South"/>
    <s v="Priya"/>
    <n v="15"/>
    <n v="24427"/>
    <n v="366405"/>
    <n v="366405"/>
  </r>
  <r>
    <n v="10006"/>
    <x v="5"/>
    <x v="3"/>
    <s v="North"/>
    <s v="Rani"/>
    <n v="18"/>
    <n v="29506"/>
    <n v="531108"/>
    <n v="531108"/>
  </r>
  <r>
    <n v="10007"/>
    <x v="6"/>
    <x v="0"/>
    <s v="East"/>
    <s v="Rahul"/>
    <n v="11"/>
    <n v="27450"/>
    <n v="301950"/>
    <n v="301950"/>
  </r>
  <r>
    <n v="10008"/>
    <x v="7"/>
    <x v="4"/>
    <s v="West"/>
    <s v="Rani"/>
    <n v="17"/>
    <n v="47146"/>
    <n v="801482"/>
    <n v="801482"/>
  </r>
  <r>
    <n v="10009"/>
    <x v="8"/>
    <x v="4"/>
    <s v="East"/>
    <s v="Rahul"/>
    <n v="1"/>
    <n v="32413"/>
    <n v="32413"/>
    <n v="32413"/>
  </r>
  <r>
    <n v="10010"/>
    <x v="9"/>
    <x v="2"/>
    <s v="North"/>
    <s v="Amit"/>
    <n v="15"/>
    <n v="49247"/>
    <n v="738705"/>
    <n v="738705"/>
  </r>
  <r>
    <n v="10011"/>
    <x v="10"/>
    <x v="2"/>
    <s v="East"/>
    <s v="Amit"/>
    <n v="3"/>
    <n v="4699"/>
    <n v="14097"/>
    <n v="14097"/>
  </r>
  <r>
    <n v="10012"/>
    <x v="11"/>
    <x v="3"/>
    <s v="East"/>
    <s v="Rahul"/>
    <n v="15"/>
    <n v="42072"/>
    <n v="631080"/>
    <n v="631080"/>
  </r>
  <r>
    <n v="10013"/>
    <x v="12"/>
    <x v="2"/>
    <s v="South"/>
    <s v="Rahul"/>
    <n v="12"/>
    <n v="39654"/>
    <n v="475848"/>
    <n v="475848"/>
  </r>
  <r>
    <n v="10014"/>
    <x v="13"/>
    <x v="3"/>
    <s v="North"/>
    <s v="Amit"/>
    <n v="6"/>
    <n v="52534"/>
    <n v="315204"/>
    <n v="315204"/>
  </r>
  <r>
    <n v="10015"/>
    <x v="14"/>
    <x v="2"/>
    <s v="North"/>
    <s v="Suman"/>
    <n v="5"/>
    <n v="52669"/>
    <n v="263345"/>
    <n v="263345"/>
  </r>
  <r>
    <n v="10016"/>
    <x v="15"/>
    <x v="0"/>
    <s v="East"/>
    <s v="Suman"/>
    <n v="1"/>
    <n v="29501"/>
    <n v="29501"/>
    <n v="29501"/>
  </r>
  <r>
    <n v="10017"/>
    <x v="16"/>
    <x v="4"/>
    <s v="West"/>
    <s v="Rahul"/>
    <n v="3"/>
    <n v="1059"/>
    <n v="3177"/>
    <n v="3177"/>
  </r>
  <r>
    <n v="10018"/>
    <x v="17"/>
    <x v="1"/>
    <s v="East"/>
    <s v="Priya"/>
    <n v="12"/>
    <n v="39102"/>
    <n v="469224"/>
    <n v="469224"/>
  </r>
  <r>
    <n v="10019"/>
    <x v="18"/>
    <x v="0"/>
    <s v="North"/>
    <s v="Anita"/>
    <n v="6"/>
    <n v="3115"/>
    <n v="18690"/>
    <n v="18690"/>
  </r>
  <r>
    <n v="10020"/>
    <x v="19"/>
    <x v="5"/>
    <s v="North"/>
    <s v="Anita"/>
    <n v="14"/>
    <n v="6317"/>
    <n v="88438"/>
    <n v="88438"/>
  </r>
  <r>
    <n v="10021"/>
    <x v="20"/>
    <x v="1"/>
    <s v="East"/>
    <s v="Rahul"/>
    <n v="14"/>
    <n v="9167"/>
    <n v="128338"/>
    <n v="128338"/>
  </r>
  <r>
    <n v="10022"/>
    <x v="21"/>
    <x v="6"/>
    <s v="West"/>
    <s v="Anita"/>
    <n v="1"/>
    <n v="3469"/>
    <n v="3469"/>
    <n v="3469"/>
  </r>
  <r>
    <n v="10023"/>
    <x v="22"/>
    <x v="1"/>
    <s v="South"/>
    <s v="Amit"/>
    <n v="3"/>
    <n v="10394"/>
    <n v="31182"/>
    <n v="31182"/>
  </r>
  <r>
    <n v="10024"/>
    <x v="23"/>
    <x v="5"/>
    <s v="East"/>
    <s v="Anita"/>
    <n v="1"/>
    <n v="54444"/>
    <n v="54444"/>
    <n v="54444"/>
  </r>
  <r>
    <n v="10025"/>
    <x v="24"/>
    <x v="1"/>
    <s v="South"/>
    <s v="Suman"/>
    <n v="3"/>
    <n v="4960"/>
    <n v="14880"/>
    <n v="14880"/>
  </r>
  <r>
    <n v="10026"/>
    <x v="25"/>
    <x v="4"/>
    <s v="West"/>
    <s v="Amit"/>
    <n v="2"/>
    <n v="20055"/>
    <n v="40110"/>
    <n v="40110"/>
  </r>
  <r>
    <n v="10027"/>
    <x v="26"/>
    <x v="6"/>
    <s v="North"/>
    <s v="Suman"/>
    <n v="11"/>
    <n v="16483"/>
    <n v="181313"/>
    <n v="181313"/>
  </r>
  <r>
    <n v="10028"/>
    <x v="27"/>
    <x v="2"/>
    <s v="North"/>
    <s v="Priya"/>
    <n v="17"/>
    <n v="49017"/>
    <n v="833289"/>
    <n v="833289"/>
  </r>
  <r>
    <n v="10029"/>
    <x v="28"/>
    <x v="1"/>
    <s v="North"/>
    <s v="Anita"/>
    <n v="19"/>
    <n v="6254"/>
    <n v="118826"/>
    <n v="118826"/>
  </r>
  <r>
    <n v="10030"/>
    <x v="29"/>
    <x v="0"/>
    <s v="West"/>
    <s v="Amit"/>
    <n v="19"/>
    <n v="45051"/>
    <n v="855969"/>
    <n v="855969"/>
  </r>
  <r>
    <n v="10031"/>
    <x v="30"/>
    <x v="3"/>
    <s v="East"/>
    <s v="Amit"/>
    <n v="5"/>
    <n v="37913"/>
    <n v="189565"/>
    <n v="189565"/>
  </r>
  <r>
    <n v="10032"/>
    <x v="31"/>
    <x v="5"/>
    <s v="East"/>
    <s v="Anita"/>
    <n v="4"/>
    <n v="52918"/>
    <n v="211672"/>
    <n v="211672"/>
  </r>
  <r>
    <n v="10033"/>
    <x v="29"/>
    <x v="6"/>
    <s v="North"/>
    <s v="Anita"/>
    <n v="13"/>
    <n v="56619"/>
    <n v="736047"/>
    <n v="736047"/>
  </r>
  <r>
    <n v="10034"/>
    <x v="32"/>
    <x v="0"/>
    <s v="East"/>
    <s v="Suman"/>
    <n v="11"/>
    <n v="23308"/>
    <n v="256388"/>
    <n v="256388"/>
  </r>
  <r>
    <n v="10035"/>
    <x v="33"/>
    <x v="5"/>
    <s v="West"/>
    <s v="Rahul"/>
    <n v="1"/>
    <n v="34892"/>
    <n v="34892"/>
    <n v="34892"/>
  </r>
  <r>
    <n v="10036"/>
    <x v="31"/>
    <x v="0"/>
    <s v="West"/>
    <s v="Rani"/>
    <n v="11"/>
    <n v="25019"/>
    <n v="275209"/>
    <n v="275209"/>
  </r>
  <r>
    <n v="10037"/>
    <x v="34"/>
    <x v="4"/>
    <s v="East"/>
    <s v="Rahul"/>
    <n v="15"/>
    <n v="38315"/>
    <n v="574725"/>
    <n v="574725"/>
  </r>
  <r>
    <n v="10038"/>
    <x v="35"/>
    <x v="3"/>
    <s v="West"/>
    <s v="Rani"/>
    <n v="16"/>
    <n v="32544"/>
    <n v="520704"/>
    <n v="520704"/>
  </r>
  <r>
    <n v="10039"/>
    <x v="36"/>
    <x v="2"/>
    <s v="West"/>
    <s v="Anita"/>
    <n v="9"/>
    <n v="46063"/>
    <n v="414567"/>
    <n v="414567"/>
  </r>
  <r>
    <n v="10040"/>
    <x v="37"/>
    <x v="4"/>
    <s v="West"/>
    <s v="Anita"/>
    <n v="8"/>
    <n v="8487"/>
    <n v="67896"/>
    <n v="67896"/>
  </r>
  <r>
    <n v="10041"/>
    <x v="38"/>
    <x v="1"/>
    <s v="East"/>
    <s v="Suman"/>
    <n v="18"/>
    <n v="45642"/>
    <n v="821556"/>
    <n v="821556"/>
  </r>
  <r>
    <n v="10042"/>
    <x v="39"/>
    <x v="2"/>
    <s v="East"/>
    <s v="Priya"/>
    <n v="19"/>
    <n v="41951"/>
    <n v="797069"/>
    <n v="797069"/>
  </r>
  <r>
    <n v="10043"/>
    <x v="40"/>
    <x v="3"/>
    <s v="West"/>
    <s v="Rahul"/>
    <n v="3"/>
    <n v="2518"/>
    <n v="7554"/>
    <n v="7554"/>
  </r>
  <r>
    <n v="10044"/>
    <x v="41"/>
    <x v="5"/>
    <s v="North"/>
    <s v="Rani"/>
    <n v="11"/>
    <n v="22345"/>
    <n v="245795"/>
    <n v="245795"/>
  </r>
  <r>
    <n v="10045"/>
    <x v="42"/>
    <x v="5"/>
    <s v="West"/>
    <s v="Rani"/>
    <n v="7"/>
    <n v="55324"/>
    <n v="387268"/>
    <n v="387268"/>
  </r>
  <r>
    <n v="10046"/>
    <x v="43"/>
    <x v="0"/>
    <s v="South"/>
    <s v="Anita"/>
    <n v="9"/>
    <n v="45592"/>
    <n v="410328"/>
    <n v="410328"/>
  </r>
  <r>
    <n v="10047"/>
    <x v="44"/>
    <x v="5"/>
    <s v="North"/>
    <s v="Amit"/>
    <n v="4"/>
    <n v="34399"/>
    <n v="137596"/>
    <n v="137596"/>
  </r>
  <r>
    <n v="10048"/>
    <x v="7"/>
    <x v="6"/>
    <s v="North"/>
    <s v="Priya"/>
    <n v="1"/>
    <n v="38681"/>
    <n v="38681"/>
    <n v="38681"/>
  </r>
  <r>
    <n v="10049"/>
    <x v="45"/>
    <x v="1"/>
    <s v="South"/>
    <s v="Amit"/>
    <n v="3"/>
    <n v="55179"/>
    <n v="165537"/>
    <n v="165537"/>
  </r>
  <r>
    <n v="10050"/>
    <x v="10"/>
    <x v="0"/>
    <s v="East"/>
    <s v="Rani"/>
    <n v="20"/>
    <n v="46182"/>
    <n v="923640"/>
    <n v="923640"/>
  </r>
  <r>
    <n v="10051"/>
    <x v="46"/>
    <x v="5"/>
    <s v="West"/>
    <s v="Amit"/>
    <n v="10"/>
    <n v="16881"/>
    <n v="168810"/>
    <n v="168810"/>
  </r>
  <r>
    <n v="10052"/>
    <x v="47"/>
    <x v="5"/>
    <s v="North"/>
    <s v="Anita"/>
    <n v="10"/>
    <n v="9338"/>
    <n v="93380"/>
    <n v="93380"/>
  </r>
  <r>
    <n v="10053"/>
    <x v="48"/>
    <x v="1"/>
    <s v="West"/>
    <s v="Rani"/>
    <n v="10"/>
    <n v="53531"/>
    <n v="535310"/>
    <n v="535310"/>
  </r>
  <r>
    <n v="10054"/>
    <x v="49"/>
    <x v="0"/>
    <s v="West"/>
    <s v="Amit"/>
    <n v="5"/>
    <n v="38770"/>
    <n v="193850"/>
    <n v="193850"/>
  </r>
  <r>
    <n v="10055"/>
    <x v="50"/>
    <x v="2"/>
    <s v="South"/>
    <s v="Rahul"/>
    <n v="15"/>
    <n v="45168"/>
    <n v="677520"/>
    <n v="677520"/>
  </r>
  <r>
    <n v="10056"/>
    <x v="51"/>
    <x v="1"/>
    <s v="South"/>
    <s v="Suman"/>
    <n v="2"/>
    <n v="3989"/>
    <n v="7978"/>
    <n v="7978"/>
  </r>
  <r>
    <n v="10057"/>
    <x v="39"/>
    <x v="4"/>
    <s v="East"/>
    <s v="Amit"/>
    <n v="20"/>
    <n v="2933"/>
    <n v="58660"/>
    <n v="58660"/>
  </r>
  <r>
    <n v="10058"/>
    <x v="52"/>
    <x v="6"/>
    <s v="South"/>
    <s v="Priya"/>
    <n v="8"/>
    <n v="42271"/>
    <n v="338168"/>
    <n v="338168"/>
  </r>
  <r>
    <n v="10059"/>
    <x v="53"/>
    <x v="5"/>
    <s v="East"/>
    <s v="Priya"/>
    <n v="2"/>
    <n v="37969"/>
    <n v="75938"/>
    <n v="75938"/>
  </r>
  <r>
    <n v="10060"/>
    <x v="54"/>
    <x v="2"/>
    <s v="South"/>
    <s v="Anita"/>
    <n v="4"/>
    <n v="11562"/>
    <n v="46248"/>
    <n v="46248"/>
  </r>
  <r>
    <n v="10061"/>
    <x v="55"/>
    <x v="0"/>
    <s v="South"/>
    <s v="Suman"/>
    <n v="4"/>
    <n v="38916"/>
    <n v="155664"/>
    <n v="155664"/>
  </r>
  <r>
    <n v="10062"/>
    <x v="56"/>
    <x v="6"/>
    <s v="South"/>
    <s v="Amit"/>
    <n v="17"/>
    <n v="16199"/>
    <n v="275383"/>
    <n v="275383"/>
  </r>
  <r>
    <n v="10063"/>
    <x v="57"/>
    <x v="0"/>
    <s v="North"/>
    <s v="Rani"/>
    <n v="8"/>
    <n v="20131"/>
    <n v="161048"/>
    <n v="161048"/>
  </r>
  <r>
    <n v="10064"/>
    <x v="58"/>
    <x v="1"/>
    <s v="North"/>
    <s v="Priya"/>
    <n v="14"/>
    <n v="53868"/>
    <n v="754152"/>
    <n v="754152"/>
  </r>
  <r>
    <n v="10065"/>
    <x v="59"/>
    <x v="1"/>
    <s v="West"/>
    <s v="Amit"/>
    <n v="11"/>
    <n v="20767"/>
    <n v="228437"/>
    <n v="228437"/>
  </r>
  <r>
    <n v="10066"/>
    <x v="60"/>
    <x v="0"/>
    <s v="West"/>
    <s v="Priya"/>
    <n v="8"/>
    <n v="10541"/>
    <n v="84328"/>
    <n v="84328"/>
  </r>
  <r>
    <n v="10067"/>
    <x v="17"/>
    <x v="1"/>
    <s v="North"/>
    <s v="Suman"/>
    <n v="16"/>
    <n v="58118"/>
    <n v="929888"/>
    <n v="929888"/>
  </r>
  <r>
    <n v="10068"/>
    <x v="61"/>
    <x v="4"/>
    <s v="South"/>
    <s v="Anita"/>
    <n v="13"/>
    <n v="33508"/>
    <n v="435604"/>
    <n v="435604"/>
  </r>
  <r>
    <n v="10069"/>
    <x v="62"/>
    <x v="4"/>
    <s v="West"/>
    <s v="Amit"/>
    <n v="11"/>
    <n v="41351"/>
    <n v="454861"/>
    <n v="454861"/>
  </r>
  <r>
    <n v="10070"/>
    <x v="27"/>
    <x v="6"/>
    <s v="West"/>
    <s v="Anita"/>
    <n v="5"/>
    <n v="49278"/>
    <n v="246390"/>
    <n v="246390"/>
  </r>
  <r>
    <n v="10071"/>
    <x v="27"/>
    <x v="4"/>
    <s v="East"/>
    <s v="Priya"/>
    <n v="20"/>
    <n v="48480"/>
    <n v="969600"/>
    <n v="969600"/>
  </r>
  <r>
    <n v="10072"/>
    <x v="63"/>
    <x v="4"/>
    <s v="North"/>
    <s v="Priya"/>
    <n v="16"/>
    <n v="29629"/>
    <n v="474064"/>
    <n v="474064"/>
  </r>
  <r>
    <n v="10073"/>
    <x v="64"/>
    <x v="5"/>
    <s v="West"/>
    <s v="Amit"/>
    <n v="2"/>
    <n v="18726"/>
    <n v="37452"/>
    <n v="37452"/>
  </r>
  <r>
    <n v="10074"/>
    <x v="65"/>
    <x v="0"/>
    <s v="North"/>
    <s v="Amit"/>
    <n v="17"/>
    <n v="52706"/>
    <n v="896002"/>
    <n v="896002"/>
  </r>
  <r>
    <n v="10075"/>
    <x v="66"/>
    <x v="4"/>
    <s v="South"/>
    <s v="Rani"/>
    <n v="3"/>
    <n v="56086"/>
    <n v="168258"/>
    <n v="168258"/>
  </r>
  <r>
    <n v="10076"/>
    <x v="27"/>
    <x v="1"/>
    <s v="North"/>
    <s v="Suman"/>
    <n v="12"/>
    <n v="18331"/>
    <n v="219972"/>
    <n v="219972"/>
  </r>
  <r>
    <n v="10077"/>
    <x v="67"/>
    <x v="3"/>
    <s v="North"/>
    <s v="Priya"/>
    <n v="4"/>
    <n v="38899"/>
    <n v="155596"/>
    <n v="155596"/>
  </r>
  <r>
    <n v="10078"/>
    <x v="33"/>
    <x v="6"/>
    <s v="East"/>
    <s v="Rahul"/>
    <n v="18"/>
    <n v="33512"/>
    <n v="603216"/>
    <n v="603216"/>
  </r>
  <r>
    <n v="10079"/>
    <x v="68"/>
    <x v="4"/>
    <s v="South"/>
    <s v="Anita"/>
    <n v="18"/>
    <n v="22341"/>
    <n v="402138"/>
    <n v="402138"/>
  </r>
  <r>
    <n v="10080"/>
    <x v="52"/>
    <x v="2"/>
    <s v="South"/>
    <s v="Amit"/>
    <n v="6"/>
    <n v="21374"/>
    <n v="128244"/>
    <n v="128244"/>
  </r>
  <r>
    <n v="10081"/>
    <x v="69"/>
    <x v="1"/>
    <s v="East"/>
    <s v="Suman"/>
    <n v="14"/>
    <n v="16197"/>
    <n v="226758"/>
    <n v="226758"/>
  </r>
  <r>
    <n v="10082"/>
    <x v="19"/>
    <x v="2"/>
    <s v="West"/>
    <s v="Rahul"/>
    <n v="18"/>
    <n v="4924"/>
    <n v="88632"/>
    <n v="88632"/>
  </r>
  <r>
    <n v="10083"/>
    <x v="70"/>
    <x v="3"/>
    <s v="West"/>
    <s v="Rahul"/>
    <n v="15"/>
    <n v="58854"/>
    <n v="882810"/>
    <n v="882810"/>
  </r>
  <r>
    <n v="10084"/>
    <x v="71"/>
    <x v="4"/>
    <s v="South"/>
    <s v="Priya"/>
    <n v="16"/>
    <n v="9283"/>
    <n v="148528"/>
    <n v="148528"/>
  </r>
  <r>
    <n v="10085"/>
    <x v="72"/>
    <x v="1"/>
    <s v="East"/>
    <s v="Priya"/>
    <n v="5"/>
    <n v="2880"/>
    <n v="14400"/>
    <n v="14400"/>
  </r>
  <r>
    <n v="10086"/>
    <x v="11"/>
    <x v="2"/>
    <s v="West"/>
    <s v="Rahul"/>
    <n v="7"/>
    <n v="49723"/>
    <n v="348061"/>
    <n v="348061"/>
  </r>
  <r>
    <n v="10087"/>
    <x v="73"/>
    <x v="6"/>
    <s v="South"/>
    <s v="Suman"/>
    <n v="8"/>
    <n v="30135"/>
    <n v="241080"/>
    <n v="241080"/>
  </r>
  <r>
    <n v="10088"/>
    <x v="74"/>
    <x v="5"/>
    <s v="West"/>
    <s v="Rahul"/>
    <n v="10"/>
    <n v="12227"/>
    <n v="122270"/>
    <n v="122270"/>
  </r>
  <r>
    <n v="10089"/>
    <x v="75"/>
    <x v="2"/>
    <s v="East"/>
    <s v="Rani"/>
    <n v="2"/>
    <n v="37842"/>
    <n v="75684"/>
    <n v="75684"/>
  </r>
  <r>
    <n v="10090"/>
    <x v="6"/>
    <x v="4"/>
    <s v="East"/>
    <s v="Amit"/>
    <n v="6"/>
    <n v="27781"/>
    <n v="166686"/>
    <n v="166686"/>
  </r>
  <r>
    <n v="10091"/>
    <x v="76"/>
    <x v="3"/>
    <s v="East"/>
    <s v="Anita"/>
    <n v="17"/>
    <n v="53282"/>
    <n v="905794"/>
    <n v="905794"/>
  </r>
  <r>
    <n v="10092"/>
    <x v="77"/>
    <x v="6"/>
    <s v="South"/>
    <s v="Suman"/>
    <n v="19"/>
    <n v="3066"/>
    <n v="58254"/>
    <n v="58254"/>
  </r>
  <r>
    <n v="10093"/>
    <x v="78"/>
    <x v="1"/>
    <s v="East"/>
    <s v="Suman"/>
    <n v="8"/>
    <n v="22462"/>
    <n v="179696"/>
    <n v="179696"/>
  </r>
  <r>
    <n v="10094"/>
    <x v="79"/>
    <x v="6"/>
    <s v="West"/>
    <s v="Rani"/>
    <n v="4"/>
    <n v="55835"/>
    <n v="223340"/>
    <n v="223340"/>
  </r>
  <r>
    <n v="10095"/>
    <x v="31"/>
    <x v="4"/>
    <s v="West"/>
    <s v="Anita"/>
    <n v="16"/>
    <n v="3377"/>
    <n v="54032"/>
    <n v="54032"/>
  </r>
  <r>
    <n v="10096"/>
    <x v="80"/>
    <x v="4"/>
    <s v="West"/>
    <s v="Rahul"/>
    <n v="7"/>
    <n v="49619"/>
    <n v="347333"/>
    <n v="347333"/>
  </r>
  <r>
    <n v="10097"/>
    <x v="81"/>
    <x v="3"/>
    <s v="North"/>
    <s v="Suman"/>
    <n v="4"/>
    <n v="2654"/>
    <n v="10616"/>
    <n v="10616"/>
  </r>
  <r>
    <n v="10098"/>
    <x v="33"/>
    <x v="0"/>
    <s v="West"/>
    <s v="Amit"/>
    <n v="8"/>
    <n v="3297"/>
    <n v="26376"/>
    <n v="26376"/>
  </r>
  <r>
    <n v="10099"/>
    <x v="82"/>
    <x v="1"/>
    <s v="East"/>
    <s v="Suman"/>
    <n v="11"/>
    <n v="43915"/>
    <n v="483065"/>
    <n v="483065"/>
  </r>
  <r>
    <n v="10100"/>
    <x v="83"/>
    <x v="2"/>
    <s v="East"/>
    <s v="Rahul"/>
    <n v="4"/>
    <n v="39710"/>
    <n v="158840"/>
    <n v="158840"/>
  </r>
  <r>
    <n v="10101"/>
    <x v="6"/>
    <x v="5"/>
    <s v="North"/>
    <s v="Priya"/>
    <n v="13"/>
    <n v="56914"/>
    <n v="739882"/>
    <n v="739882"/>
  </r>
  <r>
    <n v="10102"/>
    <x v="84"/>
    <x v="6"/>
    <s v="West"/>
    <s v="Rahul"/>
    <n v="4"/>
    <n v="59888"/>
    <n v="239552"/>
    <n v="239552"/>
  </r>
  <r>
    <n v="10103"/>
    <x v="85"/>
    <x v="5"/>
    <s v="South"/>
    <s v="Priya"/>
    <n v="9"/>
    <n v="11232"/>
    <n v="101088"/>
    <n v="101088"/>
  </r>
  <r>
    <n v="10104"/>
    <x v="86"/>
    <x v="4"/>
    <s v="East"/>
    <s v="Rahul"/>
    <n v="18"/>
    <n v="29097"/>
    <n v="523746"/>
    <n v="523746"/>
  </r>
  <r>
    <n v="10105"/>
    <x v="34"/>
    <x v="6"/>
    <s v="West"/>
    <s v="Anita"/>
    <n v="7"/>
    <n v="1574"/>
    <n v="11018"/>
    <n v="11018"/>
  </r>
  <r>
    <n v="10106"/>
    <x v="87"/>
    <x v="6"/>
    <s v="East"/>
    <s v="Rani"/>
    <n v="1"/>
    <n v="5229"/>
    <n v="5229"/>
    <n v="5229"/>
  </r>
  <r>
    <n v="10107"/>
    <x v="88"/>
    <x v="1"/>
    <s v="West"/>
    <s v="Rahul"/>
    <n v="4"/>
    <n v="42829"/>
    <n v="171316"/>
    <n v="171316"/>
  </r>
  <r>
    <n v="10108"/>
    <x v="44"/>
    <x v="1"/>
    <s v="East"/>
    <s v="Rani"/>
    <n v="1"/>
    <n v="38744"/>
    <n v="38744"/>
    <n v="38744"/>
  </r>
  <r>
    <n v="10109"/>
    <x v="89"/>
    <x v="3"/>
    <s v="East"/>
    <s v="Rani"/>
    <n v="6"/>
    <n v="11328"/>
    <n v="67968"/>
    <n v="67968"/>
  </r>
  <r>
    <n v="10110"/>
    <x v="90"/>
    <x v="0"/>
    <s v="North"/>
    <s v="Amit"/>
    <n v="11"/>
    <n v="41427"/>
    <n v="455697"/>
    <n v="455697"/>
  </r>
  <r>
    <n v="10111"/>
    <x v="89"/>
    <x v="6"/>
    <s v="East"/>
    <s v="Priya"/>
    <n v="6"/>
    <n v="28920"/>
    <n v="173520"/>
    <n v="173520"/>
  </r>
  <r>
    <n v="10112"/>
    <x v="91"/>
    <x v="5"/>
    <s v="North"/>
    <s v="Anita"/>
    <n v="11"/>
    <n v="20033"/>
    <n v="220363"/>
    <n v="220363"/>
  </r>
  <r>
    <n v="10113"/>
    <x v="92"/>
    <x v="0"/>
    <s v="West"/>
    <s v="Amit"/>
    <n v="12"/>
    <n v="44732"/>
    <n v="536784"/>
    <n v="536784"/>
  </r>
  <r>
    <n v="10114"/>
    <x v="93"/>
    <x v="2"/>
    <s v="West"/>
    <s v="Rahul"/>
    <n v="9"/>
    <n v="44568"/>
    <n v="401112"/>
    <n v="401112"/>
  </r>
  <r>
    <n v="10115"/>
    <x v="94"/>
    <x v="3"/>
    <s v="North"/>
    <s v="Priya"/>
    <n v="12"/>
    <n v="26285"/>
    <n v="315420"/>
    <n v="315420"/>
  </r>
  <r>
    <n v="10116"/>
    <x v="95"/>
    <x v="3"/>
    <s v="East"/>
    <s v="Amit"/>
    <n v="16"/>
    <n v="14203"/>
    <n v="227248"/>
    <n v="227248"/>
  </r>
  <r>
    <n v="10117"/>
    <x v="96"/>
    <x v="2"/>
    <s v="West"/>
    <s v="Priya"/>
    <n v="14"/>
    <n v="40909"/>
    <n v="572726"/>
    <n v="572726"/>
  </r>
  <r>
    <n v="10118"/>
    <x v="97"/>
    <x v="1"/>
    <s v="South"/>
    <s v="Amit"/>
    <n v="19"/>
    <n v="40284"/>
    <n v="765396"/>
    <n v="765396"/>
  </r>
  <r>
    <n v="10119"/>
    <x v="98"/>
    <x v="5"/>
    <s v="West"/>
    <s v="Anita"/>
    <n v="2"/>
    <n v="733"/>
    <n v="1466"/>
    <n v="1466"/>
  </r>
  <r>
    <n v="10120"/>
    <x v="99"/>
    <x v="5"/>
    <s v="West"/>
    <s v="Rahul"/>
    <n v="4"/>
    <n v="51118"/>
    <n v="204472"/>
    <n v="204472"/>
  </r>
  <r>
    <n v="10121"/>
    <x v="100"/>
    <x v="5"/>
    <s v="South"/>
    <s v="Priya"/>
    <n v="20"/>
    <n v="51954"/>
    <n v="1039080"/>
    <n v="1039080"/>
  </r>
  <r>
    <n v="10122"/>
    <x v="101"/>
    <x v="6"/>
    <s v="West"/>
    <s v="Suman"/>
    <n v="7"/>
    <n v="17197"/>
    <n v="120379"/>
    <n v="120379"/>
  </r>
  <r>
    <n v="10123"/>
    <x v="102"/>
    <x v="0"/>
    <s v="East"/>
    <s v="Rahul"/>
    <n v="9"/>
    <n v="4635"/>
    <n v="41715"/>
    <n v="41715"/>
  </r>
  <r>
    <n v="10124"/>
    <x v="88"/>
    <x v="1"/>
    <s v="West"/>
    <s v="Suman"/>
    <n v="16"/>
    <n v="43222"/>
    <n v="691552"/>
    <n v="691552"/>
  </r>
  <r>
    <n v="10125"/>
    <x v="103"/>
    <x v="4"/>
    <s v="East"/>
    <s v="Anita"/>
    <n v="19"/>
    <n v="58931"/>
    <n v="1119689"/>
    <n v="1119689"/>
  </r>
  <r>
    <n v="10126"/>
    <x v="27"/>
    <x v="1"/>
    <s v="East"/>
    <s v="Rahul"/>
    <n v="20"/>
    <n v="58388"/>
    <n v="1167760"/>
    <n v="1167760"/>
  </r>
  <r>
    <n v="10127"/>
    <x v="104"/>
    <x v="2"/>
    <s v="North"/>
    <s v="Anita"/>
    <n v="13"/>
    <n v="37700"/>
    <n v="490100"/>
    <n v="490100"/>
  </r>
  <r>
    <n v="10128"/>
    <x v="13"/>
    <x v="2"/>
    <s v="East"/>
    <s v="Anita"/>
    <n v="16"/>
    <n v="57414"/>
    <n v="918624"/>
    <n v="918624"/>
  </r>
  <r>
    <n v="10129"/>
    <x v="105"/>
    <x v="5"/>
    <s v="North"/>
    <s v="Rahul"/>
    <n v="18"/>
    <n v="41119"/>
    <n v="740142"/>
    <n v="740142"/>
  </r>
  <r>
    <n v="10130"/>
    <x v="106"/>
    <x v="2"/>
    <s v="West"/>
    <s v="Rani"/>
    <n v="8"/>
    <n v="50032"/>
    <n v="400256"/>
    <n v="400256"/>
  </r>
  <r>
    <n v="10131"/>
    <x v="107"/>
    <x v="5"/>
    <s v="East"/>
    <s v="Priya"/>
    <n v="7"/>
    <n v="24874"/>
    <n v="174118"/>
    <n v="174118"/>
  </r>
  <r>
    <n v="10132"/>
    <x v="38"/>
    <x v="4"/>
    <s v="West"/>
    <s v="Amit"/>
    <n v="6"/>
    <n v="33954"/>
    <n v="203724"/>
    <n v="203724"/>
  </r>
  <r>
    <n v="10133"/>
    <x v="108"/>
    <x v="2"/>
    <s v="East"/>
    <s v="Priya"/>
    <n v="16"/>
    <n v="37546"/>
    <n v="600736"/>
    <n v="600736"/>
  </r>
  <r>
    <n v="10134"/>
    <x v="109"/>
    <x v="1"/>
    <s v="South"/>
    <s v="Amit"/>
    <n v="14"/>
    <n v="43566"/>
    <n v="609924"/>
    <n v="609924"/>
  </r>
  <r>
    <n v="10135"/>
    <x v="18"/>
    <x v="2"/>
    <s v="East"/>
    <s v="Amit"/>
    <n v="9"/>
    <n v="15374"/>
    <n v="138366"/>
    <n v="138366"/>
  </r>
  <r>
    <n v="10136"/>
    <x v="110"/>
    <x v="0"/>
    <s v="West"/>
    <s v="Rani"/>
    <n v="20"/>
    <n v="37365"/>
    <n v="747300"/>
    <n v="747300"/>
  </r>
  <r>
    <n v="10137"/>
    <x v="52"/>
    <x v="3"/>
    <s v="South"/>
    <s v="Rahul"/>
    <n v="20"/>
    <n v="14189"/>
    <n v="283780"/>
    <n v="283780"/>
  </r>
  <r>
    <n v="10138"/>
    <x v="111"/>
    <x v="1"/>
    <s v="East"/>
    <s v="Priya"/>
    <n v="9"/>
    <n v="37208"/>
    <n v="334872"/>
    <n v="334872"/>
  </r>
  <r>
    <n v="10139"/>
    <x v="112"/>
    <x v="2"/>
    <s v="West"/>
    <s v="Rahul"/>
    <n v="2"/>
    <n v="20879"/>
    <n v="41758"/>
    <n v="41758"/>
  </r>
  <r>
    <n v="10140"/>
    <x v="113"/>
    <x v="0"/>
    <s v="North"/>
    <s v="Suman"/>
    <n v="6"/>
    <n v="7268"/>
    <n v="43608"/>
    <n v="43608"/>
  </r>
  <r>
    <n v="10141"/>
    <x v="114"/>
    <x v="4"/>
    <s v="North"/>
    <s v="Anita"/>
    <n v="3"/>
    <n v="41877"/>
    <n v="125631"/>
    <n v="125631"/>
  </r>
  <r>
    <n v="10142"/>
    <x v="115"/>
    <x v="5"/>
    <s v="East"/>
    <s v="Amit"/>
    <n v="10"/>
    <n v="9264"/>
    <n v="92640"/>
    <n v="92640"/>
  </r>
  <r>
    <n v="10143"/>
    <x v="25"/>
    <x v="6"/>
    <s v="South"/>
    <s v="Rahul"/>
    <n v="12"/>
    <n v="42669"/>
    <n v="512028"/>
    <n v="512028"/>
  </r>
  <r>
    <n v="10144"/>
    <x v="73"/>
    <x v="3"/>
    <s v="North"/>
    <s v="Rahul"/>
    <n v="6"/>
    <n v="4455"/>
    <n v="26730"/>
    <n v="26730"/>
  </r>
  <r>
    <n v="10145"/>
    <x v="116"/>
    <x v="0"/>
    <s v="South"/>
    <s v="Suman"/>
    <n v="15"/>
    <n v="20830"/>
    <n v="312450"/>
    <n v="312450"/>
  </r>
  <r>
    <n v="10146"/>
    <x v="64"/>
    <x v="6"/>
    <s v="South"/>
    <s v="Amit"/>
    <n v="3"/>
    <n v="27437"/>
    <n v="82311"/>
    <n v="82311"/>
  </r>
  <r>
    <n v="10147"/>
    <x v="13"/>
    <x v="4"/>
    <s v="North"/>
    <s v="Suman"/>
    <n v="20"/>
    <n v="49087"/>
    <n v="981740"/>
    <n v="981740"/>
  </r>
  <r>
    <n v="10148"/>
    <x v="52"/>
    <x v="6"/>
    <s v="West"/>
    <s v="Rahul"/>
    <n v="20"/>
    <n v="54580"/>
    <n v="1091600"/>
    <n v="1091600"/>
  </r>
  <r>
    <n v="10149"/>
    <x v="28"/>
    <x v="4"/>
    <s v="North"/>
    <s v="Anita"/>
    <n v="13"/>
    <n v="17822"/>
    <n v="231686"/>
    <n v="231686"/>
  </r>
  <r>
    <n v="10150"/>
    <x v="117"/>
    <x v="1"/>
    <s v="East"/>
    <s v="Suman"/>
    <n v="6"/>
    <n v="51222"/>
    <n v="307332"/>
    <n v="307332"/>
  </r>
  <r>
    <n v="10151"/>
    <x v="88"/>
    <x v="6"/>
    <s v="West"/>
    <s v="Suman"/>
    <n v="8"/>
    <n v="4645"/>
    <n v="37160"/>
    <n v="37160"/>
  </r>
  <r>
    <n v="10152"/>
    <x v="12"/>
    <x v="4"/>
    <s v="North"/>
    <s v="Anita"/>
    <n v="1"/>
    <n v="16144"/>
    <n v="16144"/>
    <n v="16144"/>
  </r>
  <r>
    <n v="10153"/>
    <x v="118"/>
    <x v="4"/>
    <s v="East"/>
    <s v="Priya"/>
    <n v="5"/>
    <n v="23012"/>
    <n v="115060"/>
    <n v="115060"/>
  </r>
  <r>
    <n v="10154"/>
    <x v="119"/>
    <x v="1"/>
    <s v="South"/>
    <s v="Suman"/>
    <n v="7"/>
    <n v="3566"/>
    <n v="24962"/>
    <n v="24962"/>
  </r>
  <r>
    <n v="10155"/>
    <x v="60"/>
    <x v="1"/>
    <s v="West"/>
    <s v="Rahul"/>
    <n v="6"/>
    <n v="11287"/>
    <n v="67722"/>
    <n v="67722"/>
  </r>
  <r>
    <n v="10156"/>
    <x v="120"/>
    <x v="4"/>
    <s v="North"/>
    <s v="Suman"/>
    <n v="1"/>
    <n v="35024"/>
    <n v="35024"/>
    <n v="35024"/>
  </r>
  <r>
    <n v="10157"/>
    <x v="121"/>
    <x v="1"/>
    <s v="West"/>
    <s v="Rani"/>
    <n v="5"/>
    <n v="50091"/>
    <n v="250455"/>
    <n v="250455"/>
  </r>
  <r>
    <n v="10158"/>
    <x v="122"/>
    <x v="1"/>
    <s v="South"/>
    <s v="Suman"/>
    <n v="1"/>
    <n v="17623"/>
    <n v="17623"/>
    <n v="17623"/>
  </r>
  <r>
    <n v="10159"/>
    <x v="91"/>
    <x v="3"/>
    <s v="East"/>
    <s v="Priya"/>
    <n v="12"/>
    <n v="52586"/>
    <n v="631032"/>
    <n v="631032"/>
  </r>
  <r>
    <n v="10160"/>
    <x v="123"/>
    <x v="4"/>
    <s v="East"/>
    <s v="Suman"/>
    <n v="17"/>
    <n v="35128"/>
    <n v="597176"/>
    <n v="597176"/>
  </r>
  <r>
    <n v="10161"/>
    <x v="124"/>
    <x v="2"/>
    <s v="West"/>
    <s v="Amit"/>
    <n v="7"/>
    <n v="54658"/>
    <n v="382606"/>
    <n v="382606"/>
  </r>
  <r>
    <n v="10162"/>
    <x v="125"/>
    <x v="4"/>
    <s v="West"/>
    <s v="Priya"/>
    <n v="18"/>
    <n v="41609"/>
    <n v="748962"/>
    <n v="748962"/>
  </r>
  <r>
    <n v="10163"/>
    <x v="126"/>
    <x v="5"/>
    <s v="South"/>
    <s v="Anita"/>
    <n v="7"/>
    <n v="17956"/>
    <n v="125692"/>
    <n v="125692"/>
  </r>
  <r>
    <n v="10164"/>
    <x v="59"/>
    <x v="3"/>
    <s v="North"/>
    <s v="Anita"/>
    <n v="18"/>
    <n v="31542"/>
    <n v="567756"/>
    <n v="567756"/>
  </r>
  <r>
    <n v="10165"/>
    <x v="127"/>
    <x v="2"/>
    <s v="South"/>
    <s v="Suman"/>
    <n v="4"/>
    <n v="40666"/>
    <n v="162664"/>
    <n v="162664"/>
  </r>
  <r>
    <n v="10166"/>
    <x v="44"/>
    <x v="3"/>
    <s v="North"/>
    <s v="Rani"/>
    <n v="18"/>
    <n v="39290"/>
    <n v="707220"/>
    <n v="707220"/>
  </r>
  <r>
    <n v="10167"/>
    <x v="128"/>
    <x v="4"/>
    <s v="North"/>
    <s v="Rani"/>
    <n v="14"/>
    <n v="52534"/>
    <n v="735476"/>
    <n v="735476"/>
  </r>
  <r>
    <n v="10168"/>
    <x v="129"/>
    <x v="0"/>
    <s v="South"/>
    <s v="Amit"/>
    <n v="8"/>
    <n v="10777"/>
    <n v="86216"/>
    <n v="86216"/>
  </r>
  <r>
    <n v="10169"/>
    <x v="117"/>
    <x v="3"/>
    <s v="East"/>
    <s v="Suman"/>
    <n v="9"/>
    <n v="6445"/>
    <n v="58005"/>
    <n v="58005"/>
  </r>
  <r>
    <n v="10170"/>
    <x v="43"/>
    <x v="5"/>
    <s v="West"/>
    <s v="Rani"/>
    <n v="9"/>
    <n v="11782"/>
    <n v="106038"/>
    <n v="106038"/>
  </r>
  <r>
    <n v="10171"/>
    <x v="130"/>
    <x v="5"/>
    <s v="North"/>
    <s v="Amit"/>
    <n v="4"/>
    <n v="48383"/>
    <n v="193532"/>
    <n v="193532"/>
  </r>
  <r>
    <n v="10172"/>
    <x v="131"/>
    <x v="5"/>
    <s v="West"/>
    <s v="Rahul"/>
    <n v="5"/>
    <n v="49940"/>
    <n v="249700"/>
    <n v="249700"/>
  </r>
  <r>
    <n v="10173"/>
    <x v="132"/>
    <x v="2"/>
    <s v="South"/>
    <s v="Priya"/>
    <n v="12"/>
    <n v="36829"/>
    <n v="441948"/>
    <n v="441948"/>
  </r>
  <r>
    <n v="10174"/>
    <x v="133"/>
    <x v="1"/>
    <s v="West"/>
    <s v="Rahul"/>
    <n v="7"/>
    <n v="24627"/>
    <n v="172389"/>
    <n v="172389"/>
  </r>
  <r>
    <n v="10175"/>
    <x v="134"/>
    <x v="0"/>
    <s v="South"/>
    <s v="Suman"/>
    <n v="18"/>
    <n v="7816"/>
    <n v="140688"/>
    <n v="140688"/>
  </r>
  <r>
    <n v="10176"/>
    <x v="132"/>
    <x v="3"/>
    <s v="North"/>
    <s v="Rani"/>
    <n v="8"/>
    <n v="6260"/>
    <n v="50080"/>
    <n v="50080"/>
  </r>
  <r>
    <n v="10177"/>
    <x v="135"/>
    <x v="2"/>
    <s v="North"/>
    <s v="Priya"/>
    <n v="15"/>
    <n v="49245"/>
    <n v="738675"/>
    <n v="738675"/>
  </r>
  <r>
    <n v="10178"/>
    <x v="78"/>
    <x v="3"/>
    <s v="North"/>
    <s v="Amit"/>
    <n v="19"/>
    <n v="54901"/>
    <n v="1043119"/>
    <n v="1043119"/>
  </r>
  <r>
    <n v="10179"/>
    <x v="18"/>
    <x v="3"/>
    <s v="East"/>
    <s v="Rahul"/>
    <n v="8"/>
    <n v="20977"/>
    <n v="167816"/>
    <n v="167816"/>
  </r>
  <r>
    <n v="10180"/>
    <x v="136"/>
    <x v="4"/>
    <s v="North"/>
    <s v="Rahul"/>
    <n v="6"/>
    <n v="14814"/>
    <n v="88884"/>
    <n v="88884"/>
  </r>
  <r>
    <n v="10181"/>
    <x v="137"/>
    <x v="0"/>
    <s v="West"/>
    <s v="Amit"/>
    <n v="5"/>
    <n v="17975"/>
    <n v="89875"/>
    <n v="89875"/>
  </r>
  <r>
    <n v="10182"/>
    <x v="43"/>
    <x v="5"/>
    <s v="West"/>
    <s v="Amit"/>
    <n v="13"/>
    <n v="45054"/>
    <n v="585702"/>
    <n v="585702"/>
  </r>
  <r>
    <n v="10183"/>
    <x v="138"/>
    <x v="3"/>
    <s v="South"/>
    <s v="Priya"/>
    <n v="1"/>
    <n v="45600"/>
    <n v="45600"/>
    <n v="45600"/>
  </r>
  <r>
    <n v="10184"/>
    <x v="115"/>
    <x v="4"/>
    <s v="South"/>
    <s v="Priya"/>
    <n v="4"/>
    <n v="21193"/>
    <n v="84772"/>
    <n v="84772"/>
  </r>
  <r>
    <n v="10185"/>
    <x v="139"/>
    <x v="1"/>
    <s v="East"/>
    <s v="Amit"/>
    <n v="15"/>
    <n v="29144"/>
    <n v="437160"/>
    <n v="437160"/>
  </r>
  <r>
    <n v="10186"/>
    <x v="140"/>
    <x v="4"/>
    <s v="South"/>
    <s v="Amit"/>
    <n v="1"/>
    <n v="12322"/>
    <n v="12322"/>
    <n v="12322"/>
  </r>
  <r>
    <n v="10187"/>
    <x v="141"/>
    <x v="3"/>
    <s v="West"/>
    <s v="Rani"/>
    <n v="16"/>
    <n v="38730"/>
    <n v="619680"/>
    <n v="619680"/>
  </r>
  <r>
    <n v="10188"/>
    <x v="142"/>
    <x v="3"/>
    <s v="South"/>
    <s v="Amit"/>
    <n v="16"/>
    <n v="57057"/>
    <n v="912912"/>
    <n v="912912"/>
  </r>
  <r>
    <n v="10189"/>
    <x v="36"/>
    <x v="6"/>
    <s v="North"/>
    <s v="Amit"/>
    <n v="5"/>
    <n v="9630"/>
    <n v="48150"/>
    <n v="48150"/>
  </r>
  <r>
    <n v="10190"/>
    <x v="91"/>
    <x v="4"/>
    <s v="East"/>
    <s v="Priya"/>
    <n v="19"/>
    <n v="32741"/>
    <n v="622079"/>
    <n v="622079"/>
  </r>
  <r>
    <n v="10191"/>
    <x v="114"/>
    <x v="0"/>
    <s v="East"/>
    <s v="Rahul"/>
    <n v="16"/>
    <n v="39726"/>
    <n v="635616"/>
    <n v="635616"/>
  </r>
  <r>
    <n v="10192"/>
    <x v="143"/>
    <x v="3"/>
    <s v="South"/>
    <s v="Anita"/>
    <n v="18"/>
    <n v="21797"/>
    <n v="392346"/>
    <n v="392346"/>
  </r>
  <r>
    <n v="10193"/>
    <x v="144"/>
    <x v="5"/>
    <s v="West"/>
    <s v="Rahul"/>
    <n v="12"/>
    <n v="36719"/>
    <n v="440628"/>
    <n v="440628"/>
  </r>
  <r>
    <n v="10194"/>
    <x v="18"/>
    <x v="0"/>
    <s v="East"/>
    <s v="Amit"/>
    <n v="19"/>
    <n v="49201"/>
    <n v="934819"/>
    <n v="934819"/>
  </r>
  <r>
    <n v="10195"/>
    <x v="109"/>
    <x v="4"/>
    <s v="South"/>
    <s v="Priya"/>
    <n v="1"/>
    <n v="18457"/>
    <n v="18457"/>
    <n v="18457"/>
  </r>
  <r>
    <n v="10196"/>
    <x v="28"/>
    <x v="2"/>
    <s v="East"/>
    <s v="Suman"/>
    <n v="18"/>
    <n v="10543"/>
    <n v="189774"/>
    <n v="189774"/>
  </r>
  <r>
    <n v="10197"/>
    <x v="145"/>
    <x v="6"/>
    <s v="East"/>
    <s v="Rahul"/>
    <n v="5"/>
    <n v="40619"/>
    <n v="203095"/>
    <n v="203095"/>
  </r>
  <r>
    <n v="10198"/>
    <x v="146"/>
    <x v="2"/>
    <s v="North"/>
    <s v="Rani"/>
    <n v="18"/>
    <n v="26964"/>
    <n v="485352"/>
    <n v="485352"/>
  </r>
  <r>
    <n v="10199"/>
    <x v="147"/>
    <x v="6"/>
    <s v="North"/>
    <s v="Suman"/>
    <n v="2"/>
    <n v="25988"/>
    <n v="51976"/>
    <n v="51976"/>
  </r>
  <r>
    <n v="10200"/>
    <x v="148"/>
    <x v="0"/>
    <s v="West"/>
    <s v="Suman"/>
    <n v="19"/>
    <n v="7866"/>
    <n v="149454"/>
    <n v="149454"/>
  </r>
  <r>
    <n v="10201"/>
    <x v="149"/>
    <x v="2"/>
    <s v="West"/>
    <s v="Amit"/>
    <n v="15"/>
    <n v="41755"/>
    <n v="626325"/>
    <n v="626325"/>
  </r>
  <r>
    <n v="10202"/>
    <x v="56"/>
    <x v="2"/>
    <s v="South"/>
    <s v="Rani"/>
    <n v="18"/>
    <n v="35215"/>
    <n v="633870"/>
    <n v="633870"/>
  </r>
  <r>
    <n v="10203"/>
    <x v="73"/>
    <x v="3"/>
    <s v="South"/>
    <s v="Priya"/>
    <n v="13"/>
    <n v="7421"/>
    <n v="96473"/>
    <n v="96473"/>
  </r>
  <r>
    <n v="10204"/>
    <x v="150"/>
    <x v="1"/>
    <s v="North"/>
    <s v="Rahul"/>
    <n v="16"/>
    <n v="6041"/>
    <n v="96656"/>
    <n v="96656"/>
  </r>
  <r>
    <n v="10205"/>
    <x v="64"/>
    <x v="2"/>
    <s v="East"/>
    <s v="Rani"/>
    <n v="1"/>
    <n v="47142"/>
    <n v="47142"/>
    <n v="47142"/>
  </r>
  <r>
    <n v="10206"/>
    <x v="151"/>
    <x v="5"/>
    <s v="West"/>
    <s v="Anita"/>
    <n v="15"/>
    <n v="35096"/>
    <n v="526440"/>
    <n v="526440"/>
  </r>
  <r>
    <n v="10207"/>
    <x v="152"/>
    <x v="3"/>
    <s v="West"/>
    <s v="Rahul"/>
    <n v="8"/>
    <n v="51583"/>
    <n v="412664"/>
    <n v="412664"/>
  </r>
  <r>
    <n v="10208"/>
    <x v="153"/>
    <x v="1"/>
    <s v="North"/>
    <s v="Suman"/>
    <n v="5"/>
    <n v="44722"/>
    <n v="223610"/>
    <n v="223610"/>
  </r>
  <r>
    <n v="10209"/>
    <x v="81"/>
    <x v="5"/>
    <s v="South"/>
    <s v="Priya"/>
    <n v="8"/>
    <n v="34615"/>
    <n v="276920"/>
    <n v="276920"/>
  </r>
  <r>
    <n v="10210"/>
    <x v="120"/>
    <x v="3"/>
    <s v="North"/>
    <s v="Rahul"/>
    <n v="1"/>
    <n v="20346"/>
    <n v="20346"/>
    <n v="20346"/>
  </r>
  <r>
    <n v="10211"/>
    <x v="154"/>
    <x v="1"/>
    <s v="West"/>
    <s v="Anita"/>
    <n v="15"/>
    <n v="30912"/>
    <n v="463680"/>
    <n v="463680"/>
  </r>
  <r>
    <n v="10212"/>
    <x v="16"/>
    <x v="6"/>
    <s v="East"/>
    <s v="Rani"/>
    <n v="15"/>
    <n v="51193"/>
    <n v="767895"/>
    <n v="767895"/>
  </r>
  <r>
    <n v="10213"/>
    <x v="100"/>
    <x v="4"/>
    <s v="East"/>
    <s v="Priya"/>
    <n v="11"/>
    <n v="52205"/>
    <n v="574255"/>
    <n v="574255"/>
  </r>
  <r>
    <n v="10214"/>
    <x v="119"/>
    <x v="3"/>
    <s v="North"/>
    <s v="Amit"/>
    <n v="14"/>
    <n v="14984"/>
    <n v="209776"/>
    <n v="209776"/>
  </r>
  <r>
    <n v="10215"/>
    <x v="155"/>
    <x v="6"/>
    <s v="North"/>
    <s v="Rahul"/>
    <n v="8"/>
    <n v="50369"/>
    <n v="402952"/>
    <n v="402952"/>
  </r>
  <r>
    <n v="10216"/>
    <x v="156"/>
    <x v="0"/>
    <s v="North"/>
    <s v="Suman"/>
    <n v="6"/>
    <n v="30009"/>
    <n v="180054"/>
    <n v="180054"/>
  </r>
  <r>
    <n v="10217"/>
    <x v="157"/>
    <x v="0"/>
    <s v="South"/>
    <s v="Suman"/>
    <n v="8"/>
    <n v="26855"/>
    <n v="214840"/>
    <n v="214840"/>
  </r>
  <r>
    <n v="10218"/>
    <x v="30"/>
    <x v="3"/>
    <s v="South"/>
    <s v="Anita"/>
    <n v="5"/>
    <n v="41733"/>
    <n v="208665"/>
    <n v="208665"/>
  </r>
  <r>
    <n v="10219"/>
    <x v="158"/>
    <x v="5"/>
    <s v="West"/>
    <s v="Rahul"/>
    <n v="9"/>
    <n v="6730"/>
    <n v="60570"/>
    <n v="60570"/>
  </r>
  <r>
    <n v="10220"/>
    <x v="159"/>
    <x v="6"/>
    <s v="East"/>
    <s v="Rani"/>
    <n v="9"/>
    <n v="29527"/>
    <n v="265743"/>
    <n v="265743"/>
  </r>
  <r>
    <n v="10221"/>
    <x v="160"/>
    <x v="2"/>
    <s v="West"/>
    <s v="Rani"/>
    <n v="6"/>
    <n v="55071"/>
    <n v="330426"/>
    <n v="330426"/>
  </r>
  <r>
    <n v="10222"/>
    <x v="12"/>
    <x v="5"/>
    <s v="South"/>
    <s v="Rani"/>
    <n v="5"/>
    <n v="10451"/>
    <n v="52255"/>
    <n v="52255"/>
  </r>
  <r>
    <n v="10223"/>
    <x v="59"/>
    <x v="1"/>
    <s v="West"/>
    <s v="Amit"/>
    <n v="19"/>
    <n v="38036"/>
    <n v="722684"/>
    <n v="722684"/>
  </r>
  <r>
    <n v="10224"/>
    <x v="6"/>
    <x v="1"/>
    <s v="North"/>
    <s v="Suman"/>
    <n v="3"/>
    <n v="17656"/>
    <n v="52968"/>
    <n v="52968"/>
  </r>
  <r>
    <n v="10225"/>
    <x v="161"/>
    <x v="3"/>
    <s v="West"/>
    <s v="Rani"/>
    <n v="3"/>
    <n v="55008"/>
    <n v="165024"/>
    <n v="165024"/>
  </r>
  <r>
    <n v="10226"/>
    <x v="162"/>
    <x v="3"/>
    <s v="East"/>
    <s v="Rahul"/>
    <n v="19"/>
    <n v="16236"/>
    <n v="308484"/>
    <n v="308484"/>
  </r>
  <r>
    <n v="10227"/>
    <x v="163"/>
    <x v="6"/>
    <s v="East"/>
    <s v="Anita"/>
    <n v="14"/>
    <n v="59790"/>
    <n v="837060"/>
    <n v="837060"/>
  </r>
  <r>
    <n v="10228"/>
    <x v="142"/>
    <x v="5"/>
    <s v="East"/>
    <s v="Rahul"/>
    <n v="8"/>
    <n v="54471"/>
    <n v="435768"/>
    <n v="435768"/>
  </r>
  <r>
    <n v="10229"/>
    <x v="164"/>
    <x v="2"/>
    <s v="North"/>
    <s v="Anita"/>
    <n v="12"/>
    <n v="6528"/>
    <n v="78336"/>
    <n v="78336"/>
  </r>
  <r>
    <n v="10230"/>
    <x v="165"/>
    <x v="3"/>
    <s v="South"/>
    <s v="Rani"/>
    <n v="13"/>
    <n v="34736"/>
    <n v="451568"/>
    <n v="451568"/>
  </r>
  <r>
    <n v="10231"/>
    <x v="117"/>
    <x v="0"/>
    <s v="West"/>
    <s v="Rahul"/>
    <n v="5"/>
    <n v="27153"/>
    <n v="135765"/>
    <n v="135765"/>
  </r>
  <r>
    <n v="10232"/>
    <x v="160"/>
    <x v="2"/>
    <s v="West"/>
    <s v="Suman"/>
    <n v="4"/>
    <n v="20989"/>
    <n v="83956"/>
    <n v="83956"/>
  </r>
  <r>
    <n v="10233"/>
    <x v="14"/>
    <x v="3"/>
    <s v="South"/>
    <s v="Rani"/>
    <n v="20"/>
    <n v="30342"/>
    <n v="606840"/>
    <n v="606840"/>
  </r>
  <r>
    <n v="10234"/>
    <x v="16"/>
    <x v="6"/>
    <s v="South"/>
    <s v="Suman"/>
    <n v="13"/>
    <n v="51791"/>
    <n v="673283"/>
    <n v="673283"/>
  </r>
  <r>
    <n v="10235"/>
    <x v="21"/>
    <x v="2"/>
    <s v="South"/>
    <s v="Priya"/>
    <n v="18"/>
    <n v="41002"/>
    <n v="738036"/>
    <n v="738036"/>
  </r>
  <r>
    <n v="10236"/>
    <x v="135"/>
    <x v="4"/>
    <s v="East"/>
    <s v="Rani"/>
    <n v="17"/>
    <n v="18735"/>
    <n v="318495"/>
    <n v="318495"/>
  </r>
  <r>
    <n v="10237"/>
    <x v="166"/>
    <x v="3"/>
    <s v="North"/>
    <s v="Rahul"/>
    <n v="9"/>
    <n v="39512"/>
    <n v="355608"/>
    <n v="355608"/>
  </r>
  <r>
    <n v="10238"/>
    <x v="167"/>
    <x v="0"/>
    <s v="West"/>
    <s v="Priya"/>
    <n v="18"/>
    <n v="51485"/>
    <n v="926730"/>
    <n v="926730"/>
  </r>
  <r>
    <n v="10239"/>
    <x v="23"/>
    <x v="4"/>
    <s v="West"/>
    <s v="Rani"/>
    <n v="5"/>
    <n v="28579"/>
    <n v="142895"/>
    <n v="142895"/>
  </r>
  <r>
    <n v="10240"/>
    <x v="168"/>
    <x v="0"/>
    <s v="South"/>
    <s v="Suman"/>
    <n v="1"/>
    <n v="17711"/>
    <n v="17711"/>
    <n v="17711"/>
  </r>
  <r>
    <n v="10241"/>
    <x v="153"/>
    <x v="2"/>
    <s v="South"/>
    <s v="Rahul"/>
    <n v="2"/>
    <n v="53612"/>
    <n v="107224"/>
    <n v="107224"/>
  </r>
  <r>
    <n v="10242"/>
    <x v="169"/>
    <x v="4"/>
    <s v="South"/>
    <s v="Suman"/>
    <n v="14"/>
    <n v="16024"/>
    <n v="224336"/>
    <n v="224336"/>
  </r>
  <r>
    <n v="10243"/>
    <x v="170"/>
    <x v="4"/>
    <s v="South"/>
    <s v="Anita"/>
    <n v="18"/>
    <n v="18883"/>
    <n v="339894"/>
    <n v="339894"/>
  </r>
  <r>
    <n v="10244"/>
    <x v="171"/>
    <x v="4"/>
    <s v="North"/>
    <s v="Rani"/>
    <n v="12"/>
    <n v="45998"/>
    <n v="551976"/>
    <n v="551976"/>
  </r>
  <r>
    <n v="10245"/>
    <x v="172"/>
    <x v="4"/>
    <s v="East"/>
    <s v="Priya"/>
    <n v="6"/>
    <n v="18242"/>
    <n v="109452"/>
    <n v="109452"/>
  </r>
  <r>
    <n v="10246"/>
    <x v="49"/>
    <x v="6"/>
    <s v="West"/>
    <s v="Rahul"/>
    <n v="8"/>
    <n v="8494"/>
    <n v="67952"/>
    <n v="67952"/>
  </r>
  <r>
    <n v="10247"/>
    <x v="73"/>
    <x v="0"/>
    <s v="West"/>
    <s v="Priya"/>
    <n v="17"/>
    <n v="5163"/>
    <n v="87771"/>
    <n v="87771"/>
  </r>
  <r>
    <n v="10248"/>
    <x v="173"/>
    <x v="5"/>
    <s v="West"/>
    <s v="Priya"/>
    <n v="2"/>
    <n v="41025"/>
    <n v="82050"/>
    <n v="82050"/>
  </r>
  <r>
    <n v="10249"/>
    <x v="27"/>
    <x v="0"/>
    <s v="North"/>
    <s v="Amit"/>
    <n v="17"/>
    <n v="37238"/>
    <n v="633046"/>
    <n v="633046"/>
  </r>
  <r>
    <n v="10250"/>
    <x v="174"/>
    <x v="6"/>
    <s v="West"/>
    <s v="Rani"/>
    <n v="10"/>
    <n v="15609"/>
    <n v="156090"/>
    <n v="156090"/>
  </r>
  <r>
    <n v="10251"/>
    <x v="175"/>
    <x v="6"/>
    <s v="West"/>
    <s v="Amit"/>
    <n v="2"/>
    <n v="3002"/>
    <n v="6004"/>
    <n v="6004"/>
  </r>
  <r>
    <n v="10252"/>
    <x v="176"/>
    <x v="6"/>
    <s v="South"/>
    <s v="Suman"/>
    <n v="9"/>
    <n v="13962"/>
    <n v="125658"/>
    <n v="125658"/>
  </r>
  <r>
    <n v="10253"/>
    <x v="177"/>
    <x v="4"/>
    <s v="South"/>
    <s v="Rani"/>
    <n v="13"/>
    <n v="34488"/>
    <n v="448344"/>
    <n v="448344"/>
  </r>
  <r>
    <n v="10254"/>
    <x v="178"/>
    <x v="0"/>
    <s v="North"/>
    <s v="Suman"/>
    <n v="6"/>
    <n v="52586"/>
    <n v="315516"/>
    <n v="315516"/>
  </r>
  <r>
    <n v="10255"/>
    <x v="179"/>
    <x v="6"/>
    <s v="North"/>
    <s v="Anita"/>
    <n v="2"/>
    <n v="13355"/>
    <n v="26710"/>
    <n v="26710"/>
  </r>
  <r>
    <n v="10256"/>
    <x v="180"/>
    <x v="2"/>
    <s v="North"/>
    <s v="Suman"/>
    <n v="17"/>
    <n v="984"/>
    <n v="16728"/>
    <n v="16728"/>
  </r>
  <r>
    <n v="10257"/>
    <x v="181"/>
    <x v="2"/>
    <s v="South"/>
    <s v="Suman"/>
    <n v="20"/>
    <n v="11143"/>
    <n v="222860"/>
    <n v="222860"/>
  </r>
  <r>
    <n v="10258"/>
    <x v="123"/>
    <x v="2"/>
    <s v="South"/>
    <s v="Rahul"/>
    <n v="15"/>
    <n v="53428"/>
    <n v="801420"/>
    <n v="801420"/>
  </r>
  <r>
    <n v="10259"/>
    <x v="182"/>
    <x v="4"/>
    <s v="East"/>
    <s v="Rahul"/>
    <n v="16"/>
    <n v="11260"/>
    <n v="180160"/>
    <n v="180160"/>
  </r>
  <r>
    <n v="10260"/>
    <x v="183"/>
    <x v="0"/>
    <s v="South"/>
    <s v="Priya"/>
    <n v="7"/>
    <n v="17276"/>
    <n v="120932"/>
    <n v="120932"/>
  </r>
  <r>
    <n v="10261"/>
    <x v="1"/>
    <x v="1"/>
    <s v="North"/>
    <s v="Priya"/>
    <n v="2"/>
    <n v="10797"/>
    <n v="21594"/>
    <n v="21594"/>
  </r>
  <r>
    <n v="10262"/>
    <x v="184"/>
    <x v="3"/>
    <s v="North"/>
    <s v="Suman"/>
    <n v="16"/>
    <n v="47302"/>
    <n v="756832"/>
    <n v="756832"/>
  </r>
  <r>
    <n v="10263"/>
    <x v="185"/>
    <x v="5"/>
    <s v="West"/>
    <s v="Rahul"/>
    <n v="7"/>
    <n v="11929"/>
    <n v="83503"/>
    <n v="83503"/>
  </r>
  <r>
    <n v="10264"/>
    <x v="186"/>
    <x v="3"/>
    <s v="East"/>
    <s v="Suman"/>
    <n v="13"/>
    <n v="46217"/>
    <n v="600821"/>
    <n v="600821"/>
  </r>
  <r>
    <n v="10265"/>
    <x v="187"/>
    <x v="3"/>
    <s v="North"/>
    <s v="Priya"/>
    <n v="18"/>
    <n v="18140"/>
    <n v="326520"/>
    <n v="326520"/>
  </r>
  <r>
    <n v="10266"/>
    <x v="188"/>
    <x v="1"/>
    <s v="South"/>
    <s v="Anita"/>
    <n v="4"/>
    <n v="2361"/>
    <n v="9444"/>
    <n v="9444"/>
  </r>
  <r>
    <n v="10267"/>
    <x v="189"/>
    <x v="6"/>
    <s v="South"/>
    <s v="Priya"/>
    <n v="13"/>
    <n v="4955"/>
    <n v="64415"/>
    <n v="64415"/>
  </r>
  <r>
    <n v="10268"/>
    <x v="190"/>
    <x v="5"/>
    <s v="South"/>
    <s v="Rahul"/>
    <n v="16"/>
    <n v="3414"/>
    <n v="54624"/>
    <n v="54624"/>
  </r>
  <r>
    <n v="10269"/>
    <x v="184"/>
    <x v="1"/>
    <s v="East"/>
    <s v="Suman"/>
    <n v="9"/>
    <n v="30302"/>
    <n v="272718"/>
    <n v="272718"/>
  </r>
  <r>
    <n v="10270"/>
    <x v="180"/>
    <x v="0"/>
    <s v="East"/>
    <s v="Rani"/>
    <n v="1"/>
    <n v="9985"/>
    <n v="9985"/>
    <n v="9985"/>
  </r>
  <r>
    <n v="10271"/>
    <x v="191"/>
    <x v="6"/>
    <s v="East"/>
    <s v="Priya"/>
    <n v="9"/>
    <n v="38345"/>
    <n v="345105"/>
    <n v="345105"/>
  </r>
  <r>
    <n v="10272"/>
    <x v="192"/>
    <x v="5"/>
    <s v="East"/>
    <s v="Anita"/>
    <n v="11"/>
    <n v="44136"/>
    <n v="485496"/>
    <n v="485496"/>
  </r>
  <r>
    <n v="10273"/>
    <x v="193"/>
    <x v="6"/>
    <s v="North"/>
    <s v="Rani"/>
    <n v="20"/>
    <n v="53436"/>
    <n v="1068720"/>
    <n v="1068720"/>
  </r>
  <r>
    <n v="10274"/>
    <x v="194"/>
    <x v="4"/>
    <s v="South"/>
    <s v="Rani"/>
    <n v="14"/>
    <n v="53953"/>
    <n v="755342"/>
    <n v="755342"/>
  </r>
  <r>
    <n v="10275"/>
    <x v="112"/>
    <x v="2"/>
    <s v="North"/>
    <s v="Suman"/>
    <n v="16"/>
    <n v="4681"/>
    <n v="74896"/>
    <n v="74896"/>
  </r>
  <r>
    <n v="10276"/>
    <x v="40"/>
    <x v="3"/>
    <s v="East"/>
    <s v="Priya"/>
    <n v="2"/>
    <n v="38571"/>
    <n v="77142"/>
    <n v="77142"/>
  </r>
  <r>
    <n v="10277"/>
    <x v="195"/>
    <x v="6"/>
    <s v="South"/>
    <s v="Suman"/>
    <n v="15"/>
    <n v="18551"/>
    <n v="278265"/>
    <n v="278265"/>
  </r>
  <r>
    <n v="10278"/>
    <x v="196"/>
    <x v="1"/>
    <s v="South"/>
    <s v="Priya"/>
    <n v="15"/>
    <n v="28753"/>
    <n v="431295"/>
    <n v="431295"/>
  </r>
  <r>
    <n v="10279"/>
    <x v="160"/>
    <x v="4"/>
    <s v="North"/>
    <s v="Amit"/>
    <n v="18"/>
    <n v="28797"/>
    <n v="518346"/>
    <n v="518346"/>
  </r>
  <r>
    <n v="10280"/>
    <x v="39"/>
    <x v="4"/>
    <s v="East"/>
    <s v="Anita"/>
    <n v="13"/>
    <n v="762"/>
    <n v="9906"/>
    <n v="9906"/>
  </r>
  <r>
    <n v="10281"/>
    <x v="197"/>
    <x v="5"/>
    <s v="East"/>
    <s v="Priya"/>
    <n v="13"/>
    <n v="16775"/>
    <n v="218075"/>
    <n v="218075"/>
  </r>
  <r>
    <n v="10282"/>
    <x v="198"/>
    <x v="1"/>
    <s v="West"/>
    <s v="Anita"/>
    <n v="10"/>
    <n v="5770"/>
    <n v="57700"/>
    <n v="57700"/>
  </r>
  <r>
    <n v="10283"/>
    <x v="182"/>
    <x v="5"/>
    <s v="West"/>
    <s v="Anita"/>
    <n v="13"/>
    <n v="58186"/>
    <n v="756418"/>
    <n v="756418"/>
  </r>
  <r>
    <n v="10284"/>
    <x v="199"/>
    <x v="6"/>
    <s v="East"/>
    <s v="Priya"/>
    <n v="16"/>
    <n v="46659"/>
    <n v="746544"/>
    <n v="746544"/>
  </r>
  <r>
    <n v="10285"/>
    <x v="44"/>
    <x v="6"/>
    <s v="West"/>
    <s v="Anita"/>
    <n v="12"/>
    <n v="31431"/>
    <n v="377172"/>
    <n v="377172"/>
  </r>
  <r>
    <n v="10286"/>
    <x v="191"/>
    <x v="3"/>
    <s v="North"/>
    <s v="Rani"/>
    <n v="8"/>
    <n v="29355"/>
    <n v="234840"/>
    <n v="234840"/>
  </r>
  <r>
    <n v="10287"/>
    <x v="200"/>
    <x v="3"/>
    <s v="North"/>
    <s v="Anita"/>
    <n v="20"/>
    <n v="29068"/>
    <n v="581360"/>
    <n v="581360"/>
  </r>
  <r>
    <n v="10288"/>
    <x v="69"/>
    <x v="5"/>
    <s v="East"/>
    <s v="Rani"/>
    <n v="11"/>
    <n v="5667"/>
    <n v="62337"/>
    <n v="62337"/>
  </r>
  <r>
    <n v="10289"/>
    <x v="201"/>
    <x v="0"/>
    <s v="North"/>
    <s v="Suman"/>
    <n v="11"/>
    <n v="31428"/>
    <n v="345708"/>
    <n v="345708"/>
  </r>
  <r>
    <n v="10290"/>
    <x v="202"/>
    <x v="0"/>
    <s v="South"/>
    <s v="Suman"/>
    <n v="20"/>
    <n v="48724"/>
    <n v="974480"/>
    <n v="974480"/>
  </r>
  <r>
    <n v="10291"/>
    <x v="203"/>
    <x v="2"/>
    <s v="East"/>
    <s v="Rani"/>
    <n v="9"/>
    <n v="12415"/>
    <n v="111735"/>
    <n v="111735"/>
  </r>
  <r>
    <n v="10292"/>
    <x v="85"/>
    <x v="4"/>
    <s v="West"/>
    <s v="Rani"/>
    <n v="6"/>
    <n v="6333"/>
    <n v="37998"/>
    <n v="37998"/>
  </r>
  <r>
    <n v="10293"/>
    <x v="28"/>
    <x v="5"/>
    <s v="North"/>
    <s v="Priya"/>
    <n v="11"/>
    <n v="50762"/>
    <n v="558382"/>
    <n v="558382"/>
  </r>
  <r>
    <n v="10294"/>
    <x v="204"/>
    <x v="0"/>
    <s v="North"/>
    <s v="Amit"/>
    <n v="1"/>
    <n v="36890"/>
    <n v="36890"/>
    <n v="36890"/>
  </r>
  <r>
    <n v="10295"/>
    <x v="16"/>
    <x v="5"/>
    <s v="South"/>
    <s v="Suman"/>
    <n v="8"/>
    <n v="59766"/>
    <n v="478128"/>
    <n v="478128"/>
  </r>
  <r>
    <n v="10296"/>
    <x v="101"/>
    <x v="2"/>
    <s v="South"/>
    <s v="Rani"/>
    <n v="6"/>
    <n v="40710"/>
    <n v="244260"/>
    <n v="244260"/>
  </r>
  <r>
    <n v="10297"/>
    <x v="205"/>
    <x v="3"/>
    <s v="North"/>
    <s v="Rahul"/>
    <n v="11"/>
    <n v="51617"/>
    <n v="567787"/>
    <n v="567787"/>
  </r>
  <r>
    <n v="10298"/>
    <x v="206"/>
    <x v="4"/>
    <s v="South"/>
    <s v="Rani"/>
    <n v="1"/>
    <n v="32396"/>
    <n v="32396"/>
    <n v="32396"/>
  </r>
  <r>
    <n v="10299"/>
    <x v="207"/>
    <x v="6"/>
    <s v="North"/>
    <s v="Rani"/>
    <n v="5"/>
    <n v="45922"/>
    <n v="229610"/>
    <n v="229610"/>
  </r>
  <r>
    <n v="10300"/>
    <x v="137"/>
    <x v="6"/>
    <s v="South"/>
    <s v="Suman"/>
    <n v="20"/>
    <n v="39471"/>
    <n v="789420"/>
    <n v="789420"/>
  </r>
  <r>
    <n v="10301"/>
    <x v="45"/>
    <x v="3"/>
    <s v="South"/>
    <s v="Rahul"/>
    <n v="6"/>
    <n v="31022"/>
    <n v="186132"/>
    <n v="186132"/>
  </r>
  <r>
    <n v="10302"/>
    <x v="101"/>
    <x v="5"/>
    <s v="East"/>
    <s v="Suman"/>
    <n v="11"/>
    <n v="30303"/>
    <n v="333333"/>
    <n v="333333"/>
  </r>
  <r>
    <n v="10303"/>
    <x v="208"/>
    <x v="0"/>
    <s v="West"/>
    <s v="Suman"/>
    <n v="5"/>
    <n v="9754"/>
    <n v="48770"/>
    <n v="48770"/>
  </r>
  <r>
    <n v="10304"/>
    <x v="148"/>
    <x v="1"/>
    <s v="North"/>
    <s v="Priya"/>
    <n v="6"/>
    <n v="40081"/>
    <n v="240486"/>
    <n v="240486"/>
  </r>
  <r>
    <n v="10305"/>
    <x v="209"/>
    <x v="0"/>
    <s v="North"/>
    <s v="Rani"/>
    <n v="4"/>
    <n v="4060"/>
    <n v="16240"/>
    <n v="16240"/>
  </r>
  <r>
    <n v="10306"/>
    <x v="210"/>
    <x v="4"/>
    <s v="West"/>
    <s v="Rani"/>
    <n v="13"/>
    <n v="1805"/>
    <n v="23465"/>
    <n v="23465"/>
  </r>
  <r>
    <n v="10307"/>
    <x v="34"/>
    <x v="5"/>
    <s v="East"/>
    <s v="Amit"/>
    <n v="20"/>
    <n v="14445"/>
    <n v="288900"/>
    <n v="288900"/>
  </r>
  <r>
    <n v="10308"/>
    <x v="106"/>
    <x v="4"/>
    <s v="North"/>
    <s v="Rahul"/>
    <n v="5"/>
    <n v="51616"/>
    <n v="258080"/>
    <n v="258080"/>
  </r>
  <r>
    <n v="10309"/>
    <x v="33"/>
    <x v="0"/>
    <s v="West"/>
    <s v="Priya"/>
    <n v="8"/>
    <n v="52638"/>
    <n v="421104"/>
    <n v="421104"/>
  </r>
  <r>
    <n v="10310"/>
    <x v="211"/>
    <x v="1"/>
    <s v="West"/>
    <s v="Suman"/>
    <n v="5"/>
    <n v="53898"/>
    <n v="269490"/>
    <n v="269490"/>
  </r>
  <r>
    <n v="10311"/>
    <x v="212"/>
    <x v="3"/>
    <s v="South"/>
    <s v="Priya"/>
    <n v="18"/>
    <n v="52618"/>
    <n v="947124"/>
    <n v="947124"/>
  </r>
  <r>
    <n v="10312"/>
    <x v="213"/>
    <x v="0"/>
    <s v="East"/>
    <s v="Anita"/>
    <n v="14"/>
    <n v="3407"/>
    <n v="47698"/>
    <n v="47698"/>
  </r>
  <r>
    <n v="10313"/>
    <x v="28"/>
    <x v="6"/>
    <s v="South"/>
    <s v="Rani"/>
    <n v="5"/>
    <n v="54369"/>
    <n v="271845"/>
    <n v="271845"/>
  </r>
  <r>
    <n v="10314"/>
    <x v="51"/>
    <x v="0"/>
    <s v="South"/>
    <s v="Anita"/>
    <n v="4"/>
    <n v="38621"/>
    <n v="154484"/>
    <n v="154484"/>
  </r>
  <r>
    <n v="10315"/>
    <x v="214"/>
    <x v="1"/>
    <s v="South"/>
    <s v="Anita"/>
    <n v="7"/>
    <n v="47758"/>
    <n v="334306"/>
    <n v="334306"/>
  </r>
  <r>
    <n v="10316"/>
    <x v="66"/>
    <x v="2"/>
    <s v="North"/>
    <s v="Anita"/>
    <n v="7"/>
    <n v="11412"/>
    <n v="79884"/>
    <n v="79884"/>
  </r>
  <r>
    <n v="10317"/>
    <x v="92"/>
    <x v="5"/>
    <s v="East"/>
    <s v="Rahul"/>
    <n v="14"/>
    <n v="56302"/>
    <n v="788228"/>
    <n v="788228"/>
  </r>
  <r>
    <n v="10318"/>
    <x v="215"/>
    <x v="0"/>
    <s v="South"/>
    <s v="Amit"/>
    <n v="8"/>
    <n v="11004"/>
    <n v="88032"/>
    <n v="88032"/>
  </r>
  <r>
    <n v="10319"/>
    <x v="216"/>
    <x v="6"/>
    <s v="North"/>
    <s v="Amit"/>
    <n v="1"/>
    <n v="52306"/>
    <n v="52306"/>
    <n v="52306"/>
  </r>
  <r>
    <n v="10320"/>
    <x v="180"/>
    <x v="6"/>
    <s v="South"/>
    <s v="Rahul"/>
    <n v="19"/>
    <n v="18134"/>
    <n v="344546"/>
    <n v="344546"/>
  </r>
  <r>
    <n v="10321"/>
    <x v="217"/>
    <x v="6"/>
    <s v="East"/>
    <s v="Amit"/>
    <n v="16"/>
    <n v="38952"/>
    <n v="623232"/>
    <n v="623232"/>
  </r>
  <r>
    <n v="10322"/>
    <x v="16"/>
    <x v="1"/>
    <s v="South"/>
    <s v="Rani"/>
    <n v="1"/>
    <n v="37841"/>
    <n v="37841"/>
    <n v="37841"/>
  </r>
  <r>
    <n v="10323"/>
    <x v="205"/>
    <x v="5"/>
    <s v="South"/>
    <s v="Priya"/>
    <n v="17"/>
    <n v="26686"/>
    <n v="453662"/>
    <n v="453662"/>
  </r>
  <r>
    <n v="10324"/>
    <x v="218"/>
    <x v="3"/>
    <s v="North"/>
    <s v="Rani"/>
    <n v="10"/>
    <n v="12572"/>
    <n v="125720"/>
    <n v="125720"/>
  </r>
  <r>
    <n v="10325"/>
    <x v="219"/>
    <x v="2"/>
    <s v="South"/>
    <s v="Suman"/>
    <n v="9"/>
    <n v="58449"/>
    <n v="526041"/>
    <n v="526041"/>
  </r>
  <r>
    <n v="10326"/>
    <x v="204"/>
    <x v="3"/>
    <s v="West"/>
    <s v="Priya"/>
    <n v="9"/>
    <n v="12382"/>
    <n v="111438"/>
    <n v="111438"/>
  </r>
  <r>
    <n v="10327"/>
    <x v="220"/>
    <x v="6"/>
    <s v="West"/>
    <s v="Rahul"/>
    <n v="2"/>
    <n v="33612"/>
    <n v="67224"/>
    <n v="67224"/>
  </r>
  <r>
    <n v="10328"/>
    <x v="161"/>
    <x v="6"/>
    <s v="South"/>
    <s v="Anita"/>
    <n v="14"/>
    <n v="8989"/>
    <n v="125846"/>
    <n v="125846"/>
  </r>
  <r>
    <n v="10329"/>
    <x v="221"/>
    <x v="4"/>
    <s v="North"/>
    <s v="Amit"/>
    <n v="3"/>
    <n v="56994"/>
    <n v="170982"/>
    <n v="170982"/>
  </r>
  <r>
    <n v="10330"/>
    <x v="222"/>
    <x v="4"/>
    <s v="North"/>
    <s v="Anita"/>
    <n v="6"/>
    <n v="8924"/>
    <n v="53544"/>
    <n v="53544"/>
  </r>
  <r>
    <n v="10331"/>
    <x v="223"/>
    <x v="3"/>
    <s v="West"/>
    <s v="Anita"/>
    <n v="15"/>
    <n v="54790"/>
    <n v="821850"/>
    <n v="821850"/>
  </r>
  <r>
    <n v="10332"/>
    <x v="49"/>
    <x v="3"/>
    <s v="North"/>
    <s v="Rani"/>
    <n v="16"/>
    <n v="7528"/>
    <n v="120448"/>
    <n v="120448"/>
  </r>
  <r>
    <n v="10333"/>
    <x v="25"/>
    <x v="2"/>
    <s v="East"/>
    <s v="Priya"/>
    <n v="19"/>
    <n v="30562"/>
    <n v="580678"/>
    <n v="580678"/>
  </r>
  <r>
    <n v="10334"/>
    <x v="207"/>
    <x v="2"/>
    <s v="North"/>
    <s v="Anita"/>
    <n v="11"/>
    <n v="57834"/>
    <n v="636174"/>
    <n v="636174"/>
  </r>
  <r>
    <n v="10335"/>
    <x v="182"/>
    <x v="5"/>
    <s v="West"/>
    <s v="Priya"/>
    <n v="4"/>
    <n v="34827"/>
    <n v="139308"/>
    <n v="139308"/>
  </r>
  <r>
    <n v="10336"/>
    <x v="153"/>
    <x v="2"/>
    <s v="South"/>
    <s v="Amit"/>
    <n v="19"/>
    <n v="27943"/>
    <n v="530917"/>
    <n v="530917"/>
  </r>
  <r>
    <n v="10337"/>
    <x v="140"/>
    <x v="2"/>
    <s v="West"/>
    <s v="Anita"/>
    <n v="19"/>
    <n v="42002"/>
    <n v="798038"/>
    <n v="798038"/>
  </r>
  <r>
    <n v="10338"/>
    <x v="49"/>
    <x v="3"/>
    <s v="South"/>
    <s v="Anita"/>
    <n v="20"/>
    <n v="34153"/>
    <n v="683060"/>
    <n v="683060"/>
  </r>
  <r>
    <n v="10339"/>
    <x v="120"/>
    <x v="4"/>
    <s v="South"/>
    <s v="Suman"/>
    <n v="15"/>
    <n v="21509"/>
    <n v="322635"/>
    <n v="322635"/>
  </r>
  <r>
    <n v="10340"/>
    <x v="224"/>
    <x v="5"/>
    <s v="South"/>
    <s v="Rahul"/>
    <n v="2"/>
    <n v="27523"/>
    <n v="55046"/>
    <n v="55046"/>
  </r>
  <r>
    <n v="10341"/>
    <x v="197"/>
    <x v="4"/>
    <s v="East"/>
    <s v="Amit"/>
    <n v="6"/>
    <n v="31674"/>
    <n v="190044"/>
    <n v="190044"/>
  </r>
  <r>
    <n v="10342"/>
    <x v="116"/>
    <x v="4"/>
    <s v="West"/>
    <s v="Suman"/>
    <n v="1"/>
    <n v="24480"/>
    <n v="24480"/>
    <n v="24480"/>
  </r>
  <r>
    <n v="10343"/>
    <x v="225"/>
    <x v="0"/>
    <s v="West"/>
    <s v="Suman"/>
    <n v="13"/>
    <n v="3398"/>
    <n v="44174"/>
    <n v="44174"/>
  </r>
  <r>
    <n v="10344"/>
    <x v="183"/>
    <x v="1"/>
    <s v="North"/>
    <s v="Anita"/>
    <n v="12"/>
    <n v="34429"/>
    <n v="413148"/>
    <n v="413148"/>
  </r>
  <r>
    <n v="10345"/>
    <x v="226"/>
    <x v="2"/>
    <s v="West"/>
    <s v="Anita"/>
    <n v="10"/>
    <n v="41602"/>
    <n v="416020"/>
    <n v="416020"/>
  </r>
  <r>
    <n v="10346"/>
    <x v="215"/>
    <x v="5"/>
    <s v="South"/>
    <s v="Suman"/>
    <n v="2"/>
    <n v="57009"/>
    <n v="114018"/>
    <n v="114018"/>
  </r>
  <r>
    <n v="10347"/>
    <x v="17"/>
    <x v="4"/>
    <s v="South"/>
    <s v="Rani"/>
    <n v="15"/>
    <n v="27707"/>
    <n v="415605"/>
    <n v="415605"/>
  </r>
  <r>
    <n v="10348"/>
    <x v="227"/>
    <x v="3"/>
    <s v="East"/>
    <s v="Rahul"/>
    <n v="3"/>
    <n v="30080"/>
    <n v="90240"/>
    <n v="90240"/>
  </r>
  <r>
    <n v="10349"/>
    <x v="155"/>
    <x v="6"/>
    <s v="West"/>
    <s v="Priya"/>
    <n v="13"/>
    <n v="30079"/>
    <n v="391027"/>
    <n v="391027"/>
  </r>
  <r>
    <n v="10350"/>
    <x v="99"/>
    <x v="1"/>
    <s v="East"/>
    <s v="Amit"/>
    <n v="17"/>
    <n v="17025"/>
    <n v="289425"/>
    <n v="289425"/>
  </r>
  <r>
    <n v="10351"/>
    <x v="228"/>
    <x v="2"/>
    <s v="East"/>
    <s v="Anita"/>
    <n v="16"/>
    <n v="37453"/>
    <n v="599248"/>
    <n v="599248"/>
  </r>
  <r>
    <n v="10352"/>
    <x v="218"/>
    <x v="0"/>
    <s v="East"/>
    <s v="Priya"/>
    <n v="14"/>
    <n v="24653"/>
    <n v="345142"/>
    <n v="345142"/>
  </r>
  <r>
    <n v="10353"/>
    <x v="229"/>
    <x v="0"/>
    <s v="North"/>
    <s v="Anita"/>
    <n v="9"/>
    <n v="6968"/>
    <n v="62712"/>
    <n v="62712"/>
  </r>
  <r>
    <n v="10354"/>
    <x v="230"/>
    <x v="0"/>
    <s v="South"/>
    <s v="Suman"/>
    <n v="11"/>
    <n v="57001"/>
    <n v="627011"/>
    <n v="627011"/>
  </r>
  <r>
    <n v="10355"/>
    <x v="106"/>
    <x v="4"/>
    <s v="West"/>
    <s v="Anita"/>
    <n v="14"/>
    <n v="3054"/>
    <n v="42756"/>
    <n v="42756"/>
  </r>
  <r>
    <n v="10356"/>
    <x v="120"/>
    <x v="5"/>
    <s v="East"/>
    <s v="Amit"/>
    <n v="18"/>
    <n v="22818"/>
    <n v="410724"/>
    <n v="410724"/>
  </r>
  <r>
    <n v="10357"/>
    <x v="97"/>
    <x v="6"/>
    <s v="West"/>
    <s v="Anita"/>
    <n v="6"/>
    <n v="11064"/>
    <n v="66384"/>
    <n v="66384"/>
  </r>
  <r>
    <n v="10358"/>
    <x v="5"/>
    <x v="2"/>
    <s v="South"/>
    <s v="Suman"/>
    <n v="17"/>
    <n v="31030"/>
    <n v="527510"/>
    <n v="527510"/>
  </r>
  <r>
    <n v="10359"/>
    <x v="98"/>
    <x v="3"/>
    <s v="West"/>
    <s v="Amit"/>
    <n v="4"/>
    <n v="10912"/>
    <n v="43648"/>
    <n v="43648"/>
  </r>
  <r>
    <n v="10360"/>
    <x v="66"/>
    <x v="5"/>
    <s v="East"/>
    <s v="Anita"/>
    <n v="6"/>
    <n v="23997"/>
    <n v="143982"/>
    <n v="143982"/>
  </r>
  <r>
    <n v="10361"/>
    <x v="231"/>
    <x v="5"/>
    <s v="East"/>
    <s v="Suman"/>
    <n v="18"/>
    <n v="30103"/>
    <n v="541854"/>
    <n v="541854"/>
  </r>
  <r>
    <n v="10362"/>
    <x v="198"/>
    <x v="2"/>
    <s v="North"/>
    <s v="Suman"/>
    <n v="7"/>
    <n v="25401"/>
    <n v="177807"/>
    <n v="177807"/>
  </r>
  <r>
    <n v="10363"/>
    <x v="77"/>
    <x v="1"/>
    <s v="West"/>
    <s v="Rahul"/>
    <n v="20"/>
    <n v="50760"/>
    <n v="1015200"/>
    <n v="1015200"/>
  </r>
  <r>
    <n v="10364"/>
    <x v="232"/>
    <x v="0"/>
    <s v="North"/>
    <s v="Priya"/>
    <n v="11"/>
    <n v="26034"/>
    <n v="286374"/>
    <n v="286374"/>
  </r>
  <r>
    <n v="10365"/>
    <x v="183"/>
    <x v="6"/>
    <s v="South"/>
    <s v="Rani"/>
    <n v="9"/>
    <n v="5309"/>
    <n v="47781"/>
    <n v="47781"/>
  </r>
  <r>
    <n v="10366"/>
    <x v="66"/>
    <x v="1"/>
    <s v="West"/>
    <s v="Rani"/>
    <n v="6"/>
    <n v="5789"/>
    <n v="34734"/>
    <n v="34734"/>
  </r>
  <r>
    <n v="10367"/>
    <x v="70"/>
    <x v="0"/>
    <s v="East"/>
    <s v="Rani"/>
    <n v="3"/>
    <n v="50761"/>
    <n v="152283"/>
    <n v="152283"/>
  </r>
  <r>
    <n v="10368"/>
    <x v="91"/>
    <x v="2"/>
    <s v="North"/>
    <s v="Amit"/>
    <n v="2"/>
    <n v="33408"/>
    <n v="66816"/>
    <n v="66816"/>
  </r>
  <r>
    <n v="10369"/>
    <x v="233"/>
    <x v="6"/>
    <s v="South"/>
    <s v="Rani"/>
    <n v="10"/>
    <n v="27432"/>
    <n v="274320"/>
    <n v="274320"/>
  </r>
  <r>
    <n v="10370"/>
    <x v="114"/>
    <x v="0"/>
    <s v="West"/>
    <s v="Rahul"/>
    <n v="3"/>
    <n v="53652"/>
    <n v="160956"/>
    <n v="160956"/>
  </r>
  <r>
    <n v="10371"/>
    <x v="104"/>
    <x v="0"/>
    <s v="West"/>
    <s v="Suman"/>
    <n v="8"/>
    <n v="14022"/>
    <n v="112176"/>
    <n v="112176"/>
  </r>
  <r>
    <n v="10372"/>
    <x v="234"/>
    <x v="3"/>
    <s v="South"/>
    <s v="Rahul"/>
    <n v="11"/>
    <n v="53700"/>
    <n v="590700"/>
    <n v="590700"/>
  </r>
  <r>
    <n v="10373"/>
    <x v="189"/>
    <x v="1"/>
    <s v="West"/>
    <s v="Rani"/>
    <n v="8"/>
    <n v="23698"/>
    <n v="189584"/>
    <n v="189584"/>
  </r>
  <r>
    <n v="10374"/>
    <x v="208"/>
    <x v="1"/>
    <s v="North"/>
    <s v="Priya"/>
    <n v="4"/>
    <n v="15626"/>
    <n v="62504"/>
    <n v="62504"/>
  </r>
  <r>
    <n v="10375"/>
    <x v="235"/>
    <x v="4"/>
    <s v="South"/>
    <s v="Amit"/>
    <n v="13"/>
    <n v="40000"/>
    <n v="520000"/>
    <n v="520000"/>
  </r>
  <r>
    <n v="10376"/>
    <x v="236"/>
    <x v="6"/>
    <s v="North"/>
    <s v="Rahul"/>
    <n v="13"/>
    <n v="12448"/>
    <n v="161824"/>
    <n v="161824"/>
  </r>
  <r>
    <n v="10377"/>
    <x v="19"/>
    <x v="0"/>
    <s v="South"/>
    <s v="Rahul"/>
    <n v="5"/>
    <n v="18172"/>
    <n v="90860"/>
    <n v="90860"/>
  </r>
  <r>
    <n v="10378"/>
    <x v="237"/>
    <x v="1"/>
    <s v="East"/>
    <s v="Priya"/>
    <n v="11"/>
    <n v="58477"/>
    <n v="643247"/>
    <n v="643247"/>
  </r>
  <r>
    <n v="10379"/>
    <x v="238"/>
    <x v="1"/>
    <s v="East"/>
    <s v="Priya"/>
    <n v="17"/>
    <n v="15657"/>
    <n v="266169"/>
    <n v="266169"/>
  </r>
  <r>
    <n v="10380"/>
    <x v="50"/>
    <x v="4"/>
    <s v="North"/>
    <s v="Rani"/>
    <n v="12"/>
    <n v="19883"/>
    <n v="238596"/>
    <n v="238596"/>
  </r>
  <r>
    <n v="10381"/>
    <x v="239"/>
    <x v="1"/>
    <s v="South"/>
    <s v="Suman"/>
    <n v="3"/>
    <n v="2000"/>
    <n v="6000"/>
    <n v="6000"/>
  </r>
  <r>
    <n v="10382"/>
    <x v="55"/>
    <x v="6"/>
    <s v="South"/>
    <s v="Anita"/>
    <n v="5"/>
    <n v="24813"/>
    <n v="124065"/>
    <n v="124065"/>
  </r>
  <r>
    <n v="10383"/>
    <x v="194"/>
    <x v="6"/>
    <s v="West"/>
    <s v="Amit"/>
    <n v="5"/>
    <n v="51713"/>
    <n v="258565"/>
    <n v="258565"/>
  </r>
  <r>
    <n v="10384"/>
    <x v="81"/>
    <x v="3"/>
    <s v="North"/>
    <s v="Rani"/>
    <n v="4"/>
    <n v="39228"/>
    <n v="156912"/>
    <n v="156912"/>
  </r>
  <r>
    <n v="10385"/>
    <x v="240"/>
    <x v="3"/>
    <s v="East"/>
    <s v="Priya"/>
    <n v="13"/>
    <n v="50434"/>
    <n v="655642"/>
    <n v="655642"/>
  </r>
  <r>
    <n v="10386"/>
    <x v="241"/>
    <x v="5"/>
    <s v="North"/>
    <s v="Rahul"/>
    <n v="5"/>
    <n v="8220"/>
    <n v="41100"/>
    <n v="41100"/>
  </r>
  <r>
    <n v="10387"/>
    <x v="141"/>
    <x v="0"/>
    <s v="North"/>
    <s v="Suman"/>
    <n v="1"/>
    <n v="46598"/>
    <n v="46598"/>
    <n v="46598"/>
  </r>
  <r>
    <n v="10388"/>
    <x v="242"/>
    <x v="3"/>
    <s v="South"/>
    <s v="Amit"/>
    <n v="4"/>
    <n v="2554"/>
    <n v="10216"/>
    <n v="10216"/>
  </r>
  <r>
    <n v="10389"/>
    <x v="129"/>
    <x v="5"/>
    <s v="North"/>
    <s v="Amit"/>
    <n v="15"/>
    <n v="10081"/>
    <n v="151215"/>
    <n v="151215"/>
  </r>
  <r>
    <n v="10390"/>
    <x v="155"/>
    <x v="5"/>
    <s v="South"/>
    <s v="Rani"/>
    <n v="11"/>
    <n v="21046"/>
    <n v="231506"/>
    <n v="231506"/>
  </r>
  <r>
    <n v="10391"/>
    <x v="142"/>
    <x v="4"/>
    <s v="West"/>
    <s v="Suman"/>
    <n v="4"/>
    <n v="59935"/>
    <n v="239740"/>
    <n v="239740"/>
  </r>
  <r>
    <n v="10392"/>
    <x v="161"/>
    <x v="0"/>
    <s v="East"/>
    <s v="Amit"/>
    <n v="5"/>
    <n v="16875"/>
    <n v="84375"/>
    <n v="84375"/>
  </r>
  <r>
    <n v="10393"/>
    <x v="73"/>
    <x v="6"/>
    <s v="South"/>
    <s v="Anita"/>
    <n v="8"/>
    <n v="38019"/>
    <n v="304152"/>
    <n v="304152"/>
  </r>
  <r>
    <n v="10394"/>
    <x v="114"/>
    <x v="2"/>
    <s v="East"/>
    <s v="Priya"/>
    <n v="12"/>
    <n v="44973"/>
    <n v="539676"/>
    <n v="539676"/>
  </r>
  <r>
    <n v="10395"/>
    <x v="151"/>
    <x v="6"/>
    <s v="South"/>
    <s v="Rani"/>
    <n v="7"/>
    <n v="14814"/>
    <n v="103698"/>
    <n v="103698"/>
  </r>
  <r>
    <n v="10396"/>
    <x v="127"/>
    <x v="2"/>
    <s v="East"/>
    <s v="Rahul"/>
    <n v="8"/>
    <n v="16433"/>
    <n v="131464"/>
    <n v="131464"/>
  </r>
  <r>
    <n v="10397"/>
    <x v="80"/>
    <x v="3"/>
    <s v="West"/>
    <s v="Suman"/>
    <n v="19"/>
    <n v="21953"/>
    <n v="417107"/>
    <n v="417107"/>
  </r>
  <r>
    <n v="10398"/>
    <x v="88"/>
    <x v="0"/>
    <s v="North"/>
    <s v="Rani"/>
    <n v="19"/>
    <n v="14332"/>
    <n v="272308"/>
    <n v="272308"/>
  </r>
  <r>
    <n v="10399"/>
    <x v="203"/>
    <x v="2"/>
    <s v="South"/>
    <s v="Rani"/>
    <n v="6"/>
    <n v="48957"/>
    <n v="293742"/>
    <n v="293742"/>
  </r>
  <r>
    <n v="10400"/>
    <x v="44"/>
    <x v="3"/>
    <s v="South"/>
    <s v="Anita"/>
    <n v="4"/>
    <n v="20388"/>
    <n v="81552"/>
    <n v="81552"/>
  </r>
  <r>
    <n v="10401"/>
    <x v="243"/>
    <x v="3"/>
    <s v="North"/>
    <s v="Suman"/>
    <n v="2"/>
    <n v="29616"/>
    <n v="59232"/>
    <n v="59232"/>
  </r>
  <r>
    <n v="10402"/>
    <x v="190"/>
    <x v="3"/>
    <s v="East"/>
    <s v="Suman"/>
    <n v="18"/>
    <n v="5308"/>
    <n v="95544"/>
    <n v="95544"/>
  </r>
  <r>
    <n v="10403"/>
    <x v="244"/>
    <x v="1"/>
    <s v="East"/>
    <s v="Rani"/>
    <n v="11"/>
    <n v="49622"/>
    <n v="545842"/>
    <n v="545842"/>
  </r>
  <r>
    <n v="10404"/>
    <x v="245"/>
    <x v="1"/>
    <s v="West"/>
    <s v="Suman"/>
    <n v="16"/>
    <n v="6631"/>
    <n v="106096"/>
    <n v="106096"/>
  </r>
  <r>
    <n v="10405"/>
    <x v="246"/>
    <x v="3"/>
    <s v="West"/>
    <s v="Rahul"/>
    <n v="14"/>
    <n v="18031"/>
    <n v="252434"/>
    <n v="252434"/>
  </r>
  <r>
    <n v="10406"/>
    <x v="240"/>
    <x v="0"/>
    <s v="South"/>
    <s v="Rahul"/>
    <n v="5"/>
    <n v="20986"/>
    <n v="104930"/>
    <n v="104930"/>
  </r>
  <r>
    <n v="10407"/>
    <x v="247"/>
    <x v="3"/>
    <s v="North"/>
    <s v="Rani"/>
    <n v="5"/>
    <n v="15342"/>
    <n v="76710"/>
    <n v="76710"/>
  </r>
  <r>
    <n v="10408"/>
    <x v="192"/>
    <x v="5"/>
    <s v="South"/>
    <s v="Amit"/>
    <n v="4"/>
    <n v="52066"/>
    <n v="208264"/>
    <n v="208264"/>
  </r>
  <r>
    <n v="10409"/>
    <x v="41"/>
    <x v="6"/>
    <s v="East"/>
    <s v="Rani"/>
    <n v="12"/>
    <n v="59794"/>
    <n v="717528"/>
    <n v="717528"/>
  </r>
  <r>
    <n v="10410"/>
    <x v="19"/>
    <x v="4"/>
    <s v="South"/>
    <s v="Amit"/>
    <n v="2"/>
    <n v="12111"/>
    <n v="24222"/>
    <n v="24222"/>
  </r>
  <r>
    <n v="10411"/>
    <x v="211"/>
    <x v="1"/>
    <s v="East"/>
    <s v="Priya"/>
    <n v="7"/>
    <n v="30944"/>
    <n v="216608"/>
    <n v="216608"/>
  </r>
  <r>
    <n v="10412"/>
    <x v="229"/>
    <x v="4"/>
    <s v="West"/>
    <s v="Suman"/>
    <n v="15"/>
    <n v="21990"/>
    <n v="329850"/>
    <n v="329850"/>
  </r>
  <r>
    <n v="10413"/>
    <x v="59"/>
    <x v="2"/>
    <s v="South"/>
    <s v="Amit"/>
    <n v="7"/>
    <n v="8881"/>
    <n v="62167"/>
    <n v="62167"/>
  </r>
  <r>
    <n v="10414"/>
    <x v="248"/>
    <x v="0"/>
    <s v="West"/>
    <s v="Amit"/>
    <n v="14"/>
    <n v="8471"/>
    <n v="118594"/>
    <n v="118594"/>
  </r>
  <r>
    <n v="10415"/>
    <x v="249"/>
    <x v="1"/>
    <s v="North"/>
    <s v="Anita"/>
    <n v="10"/>
    <n v="50974"/>
    <n v="509740"/>
    <n v="509740"/>
  </r>
  <r>
    <n v="10416"/>
    <x v="150"/>
    <x v="3"/>
    <s v="West"/>
    <s v="Anita"/>
    <n v="16"/>
    <n v="11554"/>
    <n v="184864"/>
    <n v="184864"/>
  </r>
  <r>
    <n v="10417"/>
    <x v="250"/>
    <x v="6"/>
    <s v="South"/>
    <s v="Rahul"/>
    <n v="17"/>
    <n v="45116"/>
    <n v="766972"/>
    <n v="766972"/>
  </r>
  <r>
    <n v="10418"/>
    <x v="20"/>
    <x v="2"/>
    <s v="East"/>
    <s v="Suman"/>
    <n v="4"/>
    <n v="58461"/>
    <n v="233844"/>
    <n v="233844"/>
  </r>
  <r>
    <n v="10419"/>
    <x v="251"/>
    <x v="3"/>
    <s v="South"/>
    <s v="Amit"/>
    <n v="9"/>
    <n v="25460"/>
    <n v="229140"/>
    <n v="229140"/>
  </r>
  <r>
    <n v="10420"/>
    <x v="95"/>
    <x v="3"/>
    <s v="East"/>
    <s v="Suman"/>
    <n v="7"/>
    <n v="2830"/>
    <n v="19810"/>
    <n v="19810"/>
  </r>
  <r>
    <n v="10421"/>
    <x v="226"/>
    <x v="2"/>
    <s v="North"/>
    <s v="Rahul"/>
    <n v="19"/>
    <n v="9052"/>
    <n v="171988"/>
    <n v="171988"/>
  </r>
  <r>
    <n v="10422"/>
    <x v="61"/>
    <x v="4"/>
    <s v="East"/>
    <s v="Amit"/>
    <n v="17"/>
    <n v="47836"/>
    <n v="813212"/>
    <n v="813212"/>
  </r>
  <r>
    <n v="10423"/>
    <x v="82"/>
    <x v="3"/>
    <s v="South"/>
    <s v="Priya"/>
    <n v="17"/>
    <n v="51811"/>
    <n v="880787"/>
    <n v="880787"/>
  </r>
  <r>
    <n v="10424"/>
    <x v="252"/>
    <x v="0"/>
    <s v="North"/>
    <s v="Rani"/>
    <n v="6"/>
    <n v="36287"/>
    <n v="217722"/>
    <n v="217722"/>
  </r>
  <r>
    <n v="10425"/>
    <x v="251"/>
    <x v="0"/>
    <s v="East"/>
    <s v="Priya"/>
    <n v="20"/>
    <n v="11521"/>
    <n v="230420"/>
    <n v="230420"/>
  </r>
  <r>
    <n v="10426"/>
    <x v="128"/>
    <x v="0"/>
    <s v="West"/>
    <s v="Rani"/>
    <n v="2"/>
    <n v="27446"/>
    <n v="54892"/>
    <n v="54892"/>
  </r>
  <r>
    <n v="10427"/>
    <x v="219"/>
    <x v="0"/>
    <s v="West"/>
    <s v="Rahul"/>
    <n v="9"/>
    <n v="34943"/>
    <n v="314487"/>
    <n v="314487"/>
  </r>
  <r>
    <n v="10428"/>
    <x v="253"/>
    <x v="4"/>
    <s v="South"/>
    <s v="Rahul"/>
    <n v="9"/>
    <n v="29935"/>
    <n v="269415"/>
    <n v="269415"/>
  </r>
  <r>
    <n v="10429"/>
    <x v="224"/>
    <x v="2"/>
    <s v="West"/>
    <s v="Suman"/>
    <n v="12"/>
    <n v="16732"/>
    <n v="200784"/>
    <n v="200784"/>
  </r>
  <r>
    <n v="10430"/>
    <x v="96"/>
    <x v="5"/>
    <s v="North"/>
    <s v="Suman"/>
    <n v="18"/>
    <n v="39675"/>
    <n v="714150"/>
    <n v="714150"/>
  </r>
  <r>
    <n v="10431"/>
    <x v="100"/>
    <x v="5"/>
    <s v="West"/>
    <s v="Amit"/>
    <n v="3"/>
    <n v="54088"/>
    <n v="162264"/>
    <n v="162264"/>
  </r>
  <r>
    <n v="10432"/>
    <x v="254"/>
    <x v="2"/>
    <s v="West"/>
    <s v="Anita"/>
    <n v="13"/>
    <n v="59767"/>
    <n v="776971"/>
    <n v="776971"/>
  </r>
  <r>
    <n v="10433"/>
    <x v="206"/>
    <x v="3"/>
    <s v="North"/>
    <s v="Rani"/>
    <n v="20"/>
    <n v="8336"/>
    <n v="166720"/>
    <n v="166720"/>
  </r>
  <r>
    <n v="10434"/>
    <x v="29"/>
    <x v="4"/>
    <s v="West"/>
    <s v="Suman"/>
    <n v="17"/>
    <n v="36510"/>
    <n v="620670"/>
    <n v="620670"/>
  </r>
  <r>
    <n v="10435"/>
    <x v="101"/>
    <x v="0"/>
    <s v="West"/>
    <s v="Amit"/>
    <n v="4"/>
    <n v="11400"/>
    <n v="45600"/>
    <n v="45600"/>
  </r>
  <r>
    <n v="10436"/>
    <x v="26"/>
    <x v="3"/>
    <s v="South"/>
    <s v="Suman"/>
    <n v="8"/>
    <n v="57531"/>
    <n v="460248"/>
    <n v="460248"/>
  </r>
  <r>
    <n v="10437"/>
    <x v="169"/>
    <x v="0"/>
    <s v="South"/>
    <s v="Suman"/>
    <n v="6"/>
    <n v="33368"/>
    <n v="200208"/>
    <n v="200208"/>
  </r>
  <r>
    <n v="10438"/>
    <x v="17"/>
    <x v="1"/>
    <s v="South"/>
    <s v="Rahul"/>
    <n v="20"/>
    <n v="29422"/>
    <n v="588440"/>
    <n v="588440"/>
  </r>
  <r>
    <n v="10439"/>
    <x v="255"/>
    <x v="0"/>
    <s v="East"/>
    <s v="Anita"/>
    <n v="19"/>
    <n v="23281"/>
    <n v="442339"/>
    <n v="442339"/>
  </r>
  <r>
    <n v="10440"/>
    <x v="176"/>
    <x v="0"/>
    <s v="South"/>
    <s v="Rani"/>
    <n v="12"/>
    <n v="49162"/>
    <n v="589944"/>
    <n v="589944"/>
  </r>
  <r>
    <n v="10441"/>
    <x v="48"/>
    <x v="0"/>
    <s v="South"/>
    <s v="Rahul"/>
    <n v="19"/>
    <n v="10676"/>
    <n v="202844"/>
    <n v="202844"/>
  </r>
  <r>
    <n v="10442"/>
    <x v="237"/>
    <x v="1"/>
    <s v="West"/>
    <s v="Rani"/>
    <n v="12"/>
    <n v="51829"/>
    <n v="621948"/>
    <n v="621948"/>
  </r>
  <r>
    <n v="10443"/>
    <x v="238"/>
    <x v="3"/>
    <s v="East"/>
    <s v="Priya"/>
    <n v="19"/>
    <n v="49054"/>
    <n v="932026"/>
    <n v="932026"/>
  </r>
  <r>
    <n v="10444"/>
    <x v="181"/>
    <x v="4"/>
    <s v="West"/>
    <s v="Priya"/>
    <n v="19"/>
    <n v="958"/>
    <n v="18202"/>
    <n v="18202"/>
  </r>
  <r>
    <n v="10445"/>
    <x v="196"/>
    <x v="0"/>
    <s v="East"/>
    <s v="Amit"/>
    <n v="16"/>
    <n v="46382"/>
    <n v="742112"/>
    <n v="742112"/>
  </r>
  <r>
    <n v="10446"/>
    <x v="254"/>
    <x v="5"/>
    <s v="East"/>
    <s v="Suman"/>
    <n v="3"/>
    <n v="51474"/>
    <n v="154422"/>
    <n v="154422"/>
  </r>
  <r>
    <n v="10447"/>
    <x v="151"/>
    <x v="2"/>
    <s v="East"/>
    <s v="Rani"/>
    <n v="19"/>
    <n v="55270"/>
    <n v="1050130"/>
    <n v="1050130"/>
  </r>
  <r>
    <n v="10448"/>
    <x v="256"/>
    <x v="5"/>
    <s v="South"/>
    <s v="Suman"/>
    <n v="14"/>
    <n v="49936"/>
    <n v="699104"/>
    <n v="699104"/>
  </r>
  <r>
    <n v="10449"/>
    <x v="257"/>
    <x v="2"/>
    <s v="South"/>
    <s v="Amit"/>
    <n v="20"/>
    <n v="24355"/>
    <n v="487100"/>
    <n v="487100"/>
  </r>
  <r>
    <n v="10450"/>
    <x v="258"/>
    <x v="1"/>
    <s v="South"/>
    <s v="Amit"/>
    <n v="1"/>
    <n v="43842"/>
    <n v="43842"/>
    <n v="43842"/>
  </r>
  <r>
    <n v="10451"/>
    <x v="259"/>
    <x v="4"/>
    <s v="East"/>
    <s v="Rahul"/>
    <n v="11"/>
    <n v="31793"/>
    <n v="349723"/>
    <n v="349723"/>
  </r>
  <r>
    <n v="10452"/>
    <x v="260"/>
    <x v="6"/>
    <s v="North"/>
    <s v="Rani"/>
    <n v="20"/>
    <n v="8581"/>
    <n v="171620"/>
    <n v="171620"/>
  </r>
  <r>
    <n v="10453"/>
    <x v="4"/>
    <x v="4"/>
    <s v="North"/>
    <s v="Suman"/>
    <n v="20"/>
    <n v="3783"/>
    <n v="75660"/>
    <n v="75660"/>
  </r>
  <r>
    <n v="10454"/>
    <x v="5"/>
    <x v="1"/>
    <s v="South"/>
    <s v="Suman"/>
    <n v="2"/>
    <n v="42723"/>
    <n v="85446"/>
    <n v="85446"/>
  </r>
  <r>
    <n v="10455"/>
    <x v="261"/>
    <x v="2"/>
    <s v="East"/>
    <s v="Amit"/>
    <n v="20"/>
    <n v="19493"/>
    <n v="389860"/>
    <n v="389860"/>
  </r>
  <r>
    <n v="10456"/>
    <x v="212"/>
    <x v="3"/>
    <s v="West"/>
    <s v="Priya"/>
    <n v="13"/>
    <n v="51457"/>
    <n v="668941"/>
    <n v="668941"/>
  </r>
  <r>
    <n v="10457"/>
    <x v="50"/>
    <x v="2"/>
    <s v="North"/>
    <s v="Rani"/>
    <n v="7"/>
    <n v="31193"/>
    <n v="218351"/>
    <n v="218351"/>
  </r>
  <r>
    <n v="10458"/>
    <x v="91"/>
    <x v="5"/>
    <s v="East"/>
    <s v="Anita"/>
    <n v="8"/>
    <n v="58679"/>
    <n v="469432"/>
    <n v="469432"/>
  </r>
  <r>
    <n v="10459"/>
    <x v="134"/>
    <x v="3"/>
    <s v="North"/>
    <s v="Amit"/>
    <n v="2"/>
    <n v="30421"/>
    <n v="60842"/>
    <n v="60842"/>
  </r>
  <r>
    <n v="10460"/>
    <x v="23"/>
    <x v="0"/>
    <s v="East"/>
    <s v="Amit"/>
    <n v="6"/>
    <n v="32693"/>
    <n v="196158"/>
    <n v="196158"/>
  </r>
  <r>
    <n v="10461"/>
    <x v="262"/>
    <x v="3"/>
    <s v="South"/>
    <s v="Anita"/>
    <n v="19"/>
    <n v="35847"/>
    <n v="681093"/>
    <n v="681093"/>
  </r>
  <r>
    <n v="10462"/>
    <x v="44"/>
    <x v="3"/>
    <s v="East"/>
    <s v="Rahul"/>
    <n v="14"/>
    <n v="47804"/>
    <n v="669256"/>
    <n v="669256"/>
  </r>
  <r>
    <n v="10463"/>
    <x v="263"/>
    <x v="0"/>
    <s v="West"/>
    <s v="Rani"/>
    <n v="18"/>
    <n v="19397"/>
    <n v="349146"/>
    <n v="349146"/>
  </r>
  <r>
    <n v="10464"/>
    <x v="144"/>
    <x v="1"/>
    <s v="East"/>
    <s v="Rani"/>
    <n v="10"/>
    <n v="48669"/>
    <n v="486690"/>
    <n v="486690"/>
  </r>
  <r>
    <n v="10465"/>
    <x v="136"/>
    <x v="2"/>
    <s v="West"/>
    <s v="Rahul"/>
    <n v="18"/>
    <n v="29970"/>
    <n v="539460"/>
    <n v="539460"/>
  </r>
  <r>
    <n v="10466"/>
    <x v="89"/>
    <x v="6"/>
    <s v="South"/>
    <s v="Amit"/>
    <n v="13"/>
    <n v="24698"/>
    <n v="321074"/>
    <n v="321074"/>
  </r>
  <r>
    <n v="10467"/>
    <x v="45"/>
    <x v="4"/>
    <s v="South"/>
    <s v="Amit"/>
    <n v="5"/>
    <n v="37459"/>
    <n v="187295"/>
    <n v="187295"/>
  </r>
  <r>
    <n v="10468"/>
    <x v="264"/>
    <x v="1"/>
    <s v="East"/>
    <s v="Suman"/>
    <n v="12"/>
    <n v="54732"/>
    <n v="656784"/>
    <n v="656784"/>
  </r>
  <r>
    <n v="10469"/>
    <x v="206"/>
    <x v="6"/>
    <s v="North"/>
    <s v="Rahul"/>
    <n v="1"/>
    <n v="18798"/>
    <n v="18798"/>
    <n v="18798"/>
  </r>
  <r>
    <n v="10470"/>
    <x v="143"/>
    <x v="4"/>
    <s v="North"/>
    <s v="Priya"/>
    <n v="14"/>
    <n v="26755"/>
    <n v="374570"/>
    <n v="374570"/>
  </r>
  <r>
    <n v="10471"/>
    <x v="54"/>
    <x v="4"/>
    <s v="East"/>
    <s v="Anita"/>
    <n v="10"/>
    <n v="15774"/>
    <n v="157740"/>
    <n v="157740"/>
  </r>
  <r>
    <n v="10472"/>
    <x v="265"/>
    <x v="1"/>
    <s v="West"/>
    <s v="Rahul"/>
    <n v="3"/>
    <n v="6604"/>
    <n v="19812"/>
    <n v="19812"/>
  </r>
  <r>
    <n v="10473"/>
    <x v="266"/>
    <x v="1"/>
    <s v="East"/>
    <s v="Amit"/>
    <n v="10"/>
    <n v="21766"/>
    <n v="217660"/>
    <n v="217660"/>
  </r>
  <r>
    <n v="10474"/>
    <x v="215"/>
    <x v="1"/>
    <s v="South"/>
    <s v="Suman"/>
    <n v="15"/>
    <n v="26991"/>
    <n v="404865"/>
    <n v="404865"/>
  </r>
  <r>
    <n v="10475"/>
    <x v="267"/>
    <x v="2"/>
    <s v="East"/>
    <s v="Anita"/>
    <n v="4"/>
    <n v="50221"/>
    <n v="200884"/>
    <n v="200884"/>
  </r>
  <r>
    <n v="10476"/>
    <x v="257"/>
    <x v="0"/>
    <s v="East"/>
    <s v="Anita"/>
    <n v="14"/>
    <n v="46053"/>
    <n v="644742"/>
    <n v="644742"/>
  </r>
  <r>
    <n v="10477"/>
    <x v="86"/>
    <x v="1"/>
    <s v="East"/>
    <s v="Suman"/>
    <n v="14"/>
    <n v="9129"/>
    <n v="127806"/>
    <n v="127806"/>
  </r>
  <r>
    <n v="10478"/>
    <x v="28"/>
    <x v="4"/>
    <s v="East"/>
    <s v="Suman"/>
    <n v="7"/>
    <n v="55113"/>
    <n v="385791"/>
    <n v="385791"/>
  </r>
  <r>
    <n v="10479"/>
    <x v="249"/>
    <x v="3"/>
    <s v="East"/>
    <s v="Amit"/>
    <n v="2"/>
    <n v="26912"/>
    <n v="53824"/>
    <n v="53824"/>
  </r>
  <r>
    <n v="10480"/>
    <x v="142"/>
    <x v="5"/>
    <s v="West"/>
    <s v="Anita"/>
    <n v="20"/>
    <n v="2897"/>
    <n v="57940"/>
    <n v="57940"/>
  </r>
  <r>
    <n v="10481"/>
    <x v="89"/>
    <x v="5"/>
    <s v="North"/>
    <s v="Anita"/>
    <n v="16"/>
    <n v="1842"/>
    <n v="29472"/>
    <n v="29472"/>
  </r>
  <r>
    <n v="10482"/>
    <x v="70"/>
    <x v="3"/>
    <s v="East"/>
    <s v="Amit"/>
    <n v="19"/>
    <n v="53334"/>
    <n v="1013346"/>
    <n v="1013346"/>
  </r>
  <r>
    <n v="10483"/>
    <x v="239"/>
    <x v="1"/>
    <s v="North"/>
    <s v="Priya"/>
    <n v="19"/>
    <n v="25622"/>
    <n v="486818"/>
    <n v="486818"/>
  </r>
  <r>
    <n v="10484"/>
    <x v="232"/>
    <x v="3"/>
    <s v="West"/>
    <s v="Priya"/>
    <n v="19"/>
    <n v="44652"/>
    <n v="848388"/>
    <n v="848388"/>
  </r>
  <r>
    <n v="10485"/>
    <x v="215"/>
    <x v="6"/>
    <s v="East"/>
    <s v="Amit"/>
    <n v="8"/>
    <n v="28363"/>
    <n v="226904"/>
    <n v="226904"/>
  </r>
  <r>
    <n v="10486"/>
    <x v="32"/>
    <x v="0"/>
    <s v="East"/>
    <s v="Anita"/>
    <n v="2"/>
    <n v="26310"/>
    <n v="52620"/>
    <n v="52620"/>
  </r>
  <r>
    <n v="10487"/>
    <x v="262"/>
    <x v="6"/>
    <s v="North"/>
    <s v="Suman"/>
    <n v="19"/>
    <n v="43744"/>
    <n v="831136"/>
    <n v="831136"/>
  </r>
  <r>
    <n v="10488"/>
    <x v="268"/>
    <x v="3"/>
    <s v="North"/>
    <s v="Rani"/>
    <n v="6"/>
    <n v="44569"/>
    <n v="267414"/>
    <n v="267414"/>
  </r>
  <r>
    <n v="10489"/>
    <x v="269"/>
    <x v="1"/>
    <s v="South"/>
    <s v="Priya"/>
    <n v="15"/>
    <n v="41302"/>
    <n v="619530"/>
    <n v="619530"/>
  </r>
  <r>
    <n v="10490"/>
    <x v="270"/>
    <x v="0"/>
    <s v="North"/>
    <s v="Amit"/>
    <n v="19"/>
    <n v="57611"/>
    <n v="1094609"/>
    <n v="1094609"/>
  </r>
  <r>
    <n v="10491"/>
    <x v="107"/>
    <x v="3"/>
    <s v="North"/>
    <s v="Rahul"/>
    <n v="13"/>
    <n v="1254"/>
    <n v="16302"/>
    <n v="16302"/>
  </r>
  <r>
    <n v="10492"/>
    <x v="271"/>
    <x v="1"/>
    <s v="South"/>
    <s v="Rahul"/>
    <n v="10"/>
    <n v="36245"/>
    <n v="362450"/>
    <n v="362450"/>
  </r>
  <r>
    <n v="10493"/>
    <x v="265"/>
    <x v="3"/>
    <s v="West"/>
    <s v="Anita"/>
    <n v="14"/>
    <n v="52706"/>
    <n v="737884"/>
    <n v="737884"/>
  </r>
  <r>
    <n v="10494"/>
    <x v="233"/>
    <x v="5"/>
    <s v="West"/>
    <s v="Amit"/>
    <n v="2"/>
    <n v="9248"/>
    <n v="18496"/>
    <n v="18496"/>
  </r>
  <r>
    <n v="10495"/>
    <x v="210"/>
    <x v="3"/>
    <s v="North"/>
    <s v="Anita"/>
    <n v="10"/>
    <n v="21786"/>
    <n v="217860"/>
    <n v="217860"/>
  </r>
  <r>
    <n v="10496"/>
    <x v="115"/>
    <x v="6"/>
    <s v="North"/>
    <s v="Suman"/>
    <n v="13"/>
    <n v="14845"/>
    <n v="192985"/>
    <n v="192985"/>
  </r>
  <r>
    <n v="10497"/>
    <x v="272"/>
    <x v="0"/>
    <s v="West"/>
    <s v="Rahul"/>
    <n v="13"/>
    <n v="39379"/>
    <n v="511927"/>
    <n v="511927"/>
  </r>
  <r>
    <n v="10498"/>
    <x v="72"/>
    <x v="6"/>
    <s v="South"/>
    <s v="Suman"/>
    <n v="19"/>
    <n v="31148"/>
    <n v="591812"/>
    <n v="591812"/>
  </r>
  <r>
    <n v="10499"/>
    <x v="273"/>
    <x v="0"/>
    <s v="South"/>
    <s v="Amit"/>
    <n v="13"/>
    <n v="56414"/>
    <n v="733382"/>
    <n v="733382"/>
  </r>
  <r>
    <n v="10500"/>
    <x v="209"/>
    <x v="2"/>
    <s v="South"/>
    <s v="Rani"/>
    <n v="3"/>
    <n v="57031"/>
    <n v="171093"/>
    <n v="171093"/>
  </r>
  <r>
    <n v="10501"/>
    <x v="107"/>
    <x v="1"/>
    <s v="West"/>
    <s v="Amit"/>
    <n v="9"/>
    <n v="17059"/>
    <n v="153531"/>
    <n v="153531"/>
  </r>
  <r>
    <n v="10502"/>
    <x v="274"/>
    <x v="3"/>
    <s v="North"/>
    <s v="Rahul"/>
    <n v="10"/>
    <n v="5634"/>
    <n v="56340"/>
    <n v="56340"/>
  </r>
  <r>
    <n v="10503"/>
    <x v="202"/>
    <x v="6"/>
    <s v="East"/>
    <s v="Suman"/>
    <n v="11"/>
    <n v="20320"/>
    <n v="223520"/>
    <n v="223520"/>
  </r>
  <r>
    <n v="10504"/>
    <x v="34"/>
    <x v="6"/>
    <s v="South"/>
    <s v="Suman"/>
    <n v="15"/>
    <n v="15314"/>
    <n v="229710"/>
    <n v="229710"/>
  </r>
  <r>
    <n v="10505"/>
    <x v="120"/>
    <x v="0"/>
    <s v="South"/>
    <s v="Suman"/>
    <n v="2"/>
    <n v="7625"/>
    <n v="15250"/>
    <n v="15250"/>
  </r>
  <r>
    <n v="10506"/>
    <x v="275"/>
    <x v="6"/>
    <s v="West"/>
    <s v="Amit"/>
    <n v="10"/>
    <n v="48688"/>
    <n v="486880"/>
    <n v="486880"/>
  </r>
  <r>
    <n v="10507"/>
    <x v="73"/>
    <x v="2"/>
    <s v="West"/>
    <s v="Amit"/>
    <n v="17"/>
    <n v="45849"/>
    <n v="779433"/>
    <n v="779433"/>
  </r>
  <r>
    <n v="10508"/>
    <x v="271"/>
    <x v="5"/>
    <s v="North"/>
    <s v="Priya"/>
    <n v="9"/>
    <n v="9986"/>
    <n v="89874"/>
    <n v="89874"/>
  </r>
  <r>
    <n v="10509"/>
    <x v="51"/>
    <x v="6"/>
    <s v="East"/>
    <s v="Suman"/>
    <n v="1"/>
    <n v="51250"/>
    <n v="51250"/>
    <n v="51250"/>
  </r>
  <r>
    <n v="10510"/>
    <x v="53"/>
    <x v="3"/>
    <s v="East"/>
    <s v="Amit"/>
    <n v="12"/>
    <n v="21831"/>
    <n v="261972"/>
    <n v="261972"/>
  </r>
  <r>
    <n v="10511"/>
    <x v="276"/>
    <x v="4"/>
    <s v="South"/>
    <s v="Suman"/>
    <n v="14"/>
    <n v="30709"/>
    <n v="429926"/>
    <n v="429926"/>
  </r>
  <r>
    <n v="10512"/>
    <x v="104"/>
    <x v="0"/>
    <s v="South"/>
    <s v="Rahul"/>
    <n v="13"/>
    <n v="22750"/>
    <n v="295750"/>
    <n v="295750"/>
  </r>
  <r>
    <n v="10513"/>
    <x v="78"/>
    <x v="4"/>
    <s v="East"/>
    <s v="Rani"/>
    <n v="5"/>
    <n v="52033"/>
    <n v="260165"/>
    <n v="260165"/>
  </r>
  <r>
    <n v="10514"/>
    <x v="74"/>
    <x v="4"/>
    <s v="East"/>
    <s v="Suman"/>
    <n v="17"/>
    <n v="894"/>
    <n v="15198"/>
    <n v="15198"/>
  </r>
  <r>
    <n v="10515"/>
    <x v="262"/>
    <x v="4"/>
    <s v="West"/>
    <s v="Rani"/>
    <n v="17"/>
    <n v="41073"/>
    <n v="698241"/>
    <n v="698241"/>
  </r>
  <r>
    <n v="10516"/>
    <x v="254"/>
    <x v="1"/>
    <s v="North"/>
    <s v="Rahul"/>
    <n v="18"/>
    <n v="38908"/>
    <n v="700344"/>
    <n v="700344"/>
  </r>
  <r>
    <n v="10517"/>
    <x v="61"/>
    <x v="1"/>
    <s v="West"/>
    <s v="Rani"/>
    <n v="16"/>
    <n v="5390"/>
    <n v="86240"/>
    <n v="86240"/>
  </r>
  <r>
    <n v="10518"/>
    <x v="34"/>
    <x v="1"/>
    <s v="East"/>
    <s v="Rahul"/>
    <n v="7"/>
    <n v="50531"/>
    <n v="353717"/>
    <n v="353717"/>
  </r>
  <r>
    <n v="10519"/>
    <x v="177"/>
    <x v="4"/>
    <s v="South"/>
    <s v="Amit"/>
    <n v="16"/>
    <n v="56343"/>
    <n v="901488"/>
    <n v="901488"/>
  </r>
  <r>
    <n v="10520"/>
    <x v="260"/>
    <x v="2"/>
    <s v="West"/>
    <s v="Rani"/>
    <n v="5"/>
    <n v="53206"/>
    <n v="266030"/>
    <n v="266030"/>
  </r>
  <r>
    <n v="10521"/>
    <x v="78"/>
    <x v="3"/>
    <s v="North"/>
    <s v="Anita"/>
    <n v="20"/>
    <n v="7082"/>
    <n v="141640"/>
    <n v="141640"/>
  </r>
  <r>
    <n v="10522"/>
    <x v="277"/>
    <x v="3"/>
    <s v="South"/>
    <s v="Priya"/>
    <n v="4"/>
    <n v="26212"/>
    <n v="104848"/>
    <n v="104848"/>
  </r>
  <r>
    <n v="10523"/>
    <x v="59"/>
    <x v="3"/>
    <s v="North"/>
    <s v="Priya"/>
    <n v="18"/>
    <n v="27818"/>
    <n v="500724"/>
    <n v="500724"/>
  </r>
  <r>
    <n v="10524"/>
    <x v="98"/>
    <x v="4"/>
    <s v="South"/>
    <s v="Amit"/>
    <n v="6"/>
    <n v="54999"/>
    <n v="329994"/>
    <n v="329994"/>
  </r>
  <r>
    <n v="10525"/>
    <x v="219"/>
    <x v="1"/>
    <s v="North"/>
    <s v="Rani"/>
    <n v="3"/>
    <n v="43302"/>
    <n v="129906"/>
    <n v="129906"/>
  </r>
  <r>
    <n v="10526"/>
    <x v="278"/>
    <x v="2"/>
    <s v="South"/>
    <s v="Priya"/>
    <n v="13"/>
    <n v="12607"/>
    <n v="163891"/>
    <n v="163891"/>
  </r>
  <r>
    <n v="10527"/>
    <x v="279"/>
    <x v="0"/>
    <s v="East"/>
    <s v="Priya"/>
    <n v="13"/>
    <n v="15565"/>
    <n v="202345"/>
    <n v="202345"/>
  </r>
  <r>
    <n v="10528"/>
    <x v="162"/>
    <x v="3"/>
    <s v="West"/>
    <s v="Anita"/>
    <n v="17"/>
    <n v="33369"/>
    <n v="567273"/>
    <n v="567273"/>
  </r>
  <r>
    <n v="10529"/>
    <x v="192"/>
    <x v="5"/>
    <s v="South"/>
    <s v="Rahul"/>
    <n v="3"/>
    <n v="36482"/>
    <n v="109446"/>
    <n v="109446"/>
  </r>
  <r>
    <n v="10530"/>
    <x v="164"/>
    <x v="0"/>
    <s v="South"/>
    <s v="Anita"/>
    <n v="18"/>
    <n v="17639"/>
    <n v="317502"/>
    <n v="317502"/>
  </r>
  <r>
    <n v="10531"/>
    <x v="13"/>
    <x v="1"/>
    <s v="West"/>
    <s v="Amit"/>
    <n v="20"/>
    <n v="28813"/>
    <n v="576260"/>
    <n v="576260"/>
  </r>
  <r>
    <n v="10532"/>
    <x v="164"/>
    <x v="0"/>
    <s v="South"/>
    <s v="Rani"/>
    <n v="4"/>
    <n v="14894"/>
    <n v="59576"/>
    <n v="59576"/>
  </r>
  <r>
    <n v="10533"/>
    <x v="270"/>
    <x v="5"/>
    <s v="North"/>
    <s v="Priya"/>
    <n v="3"/>
    <n v="34128"/>
    <n v="102384"/>
    <n v="102384"/>
  </r>
  <r>
    <n v="10534"/>
    <x v="20"/>
    <x v="4"/>
    <s v="West"/>
    <s v="Priya"/>
    <n v="19"/>
    <n v="3407"/>
    <n v="64733"/>
    <n v="64733"/>
  </r>
  <r>
    <n v="10535"/>
    <x v="182"/>
    <x v="6"/>
    <s v="South"/>
    <s v="Anita"/>
    <n v="7"/>
    <n v="13164"/>
    <n v="92148"/>
    <n v="92148"/>
  </r>
  <r>
    <n v="10536"/>
    <x v="44"/>
    <x v="3"/>
    <s v="South"/>
    <s v="Priya"/>
    <n v="17"/>
    <n v="14677"/>
    <n v="249509"/>
    <n v="249509"/>
  </r>
  <r>
    <n v="10537"/>
    <x v="62"/>
    <x v="3"/>
    <s v="West"/>
    <s v="Amit"/>
    <n v="10"/>
    <n v="11433"/>
    <n v="114330"/>
    <n v="114330"/>
  </r>
  <r>
    <n v="10538"/>
    <x v="280"/>
    <x v="4"/>
    <s v="East"/>
    <s v="Anita"/>
    <n v="14"/>
    <n v="2407"/>
    <n v="33698"/>
    <n v="33698"/>
  </r>
  <r>
    <n v="10539"/>
    <x v="247"/>
    <x v="3"/>
    <s v="West"/>
    <s v="Rani"/>
    <n v="18"/>
    <n v="36698"/>
    <n v="660564"/>
    <n v="660564"/>
  </r>
  <r>
    <n v="10540"/>
    <x v="264"/>
    <x v="2"/>
    <s v="South"/>
    <s v="Suman"/>
    <n v="2"/>
    <n v="16224"/>
    <n v="32448"/>
    <n v="32448"/>
  </r>
  <r>
    <n v="10541"/>
    <x v="281"/>
    <x v="0"/>
    <s v="East"/>
    <s v="Suman"/>
    <n v="1"/>
    <n v="53653"/>
    <n v="53653"/>
    <n v="53653"/>
  </r>
  <r>
    <n v="10542"/>
    <x v="64"/>
    <x v="3"/>
    <s v="East"/>
    <s v="Amit"/>
    <n v="14"/>
    <n v="11546"/>
    <n v="161644"/>
    <n v="161644"/>
  </r>
  <r>
    <n v="10543"/>
    <x v="282"/>
    <x v="4"/>
    <s v="West"/>
    <s v="Rahul"/>
    <n v="7"/>
    <n v="52933"/>
    <n v="370531"/>
    <n v="370531"/>
  </r>
  <r>
    <n v="10544"/>
    <x v="283"/>
    <x v="6"/>
    <s v="South"/>
    <s v="Rahul"/>
    <n v="15"/>
    <n v="26350"/>
    <n v="395250"/>
    <n v="395250"/>
  </r>
  <r>
    <n v="10545"/>
    <x v="284"/>
    <x v="6"/>
    <s v="East"/>
    <s v="Priya"/>
    <n v="16"/>
    <n v="51128"/>
    <n v="818048"/>
    <n v="818048"/>
  </r>
  <r>
    <n v="10546"/>
    <x v="72"/>
    <x v="6"/>
    <s v="North"/>
    <s v="Anita"/>
    <n v="15"/>
    <n v="1140"/>
    <n v="17100"/>
    <n v="17100"/>
  </r>
  <r>
    <n v="10547"/>
    <x v="108"/>
    <x v="1"/>
    <s v="West"/>
    <s v="Anita"/>
    <n v="17"/>
    <n v="47818"/>
    <n v="812906"/>
    <n v="812906"/>
  </r>
  <r>
    <n v="10548"/>
    <x v="20"/>
    <x v="0"/>
    <s v="South"/>
    <s v="Anita"/>
    <n v="12"/>
    <n v="20923"/>
    <n v="251076"/>
    <n v="251076"/>
  </r>
  <r>
    <n v="10549"/>
    <x v="156"/>
    <x v="1"/>
    <s v="North"/>
    <s v="Rahul"/>
    <n v="8"/>
    <n v="28180"/>
    <n v="225440"/>
    <n v="225440"/>
  </r>
  <r>
    <n v="10550"/>
    <x v="285"/>
    <x v="4"/>
    <s v="West"/>
    <s v="Suman"/>
    <n v="6"/>
    <n v="33868"/>
    <n v="203208"/>
    <n v="203208"/>
  </r>
  <r>
    <n v="10551"/>
    <x v="143"/>
    <x v="4"/>
    <s v="North"/>
    <s v="Rahul"/>
    <n v="16"/>
    <n v="49412"/>
    <n v="790592"/>
    <n v="790592"/>
  </r>
  <r>
    <n v="10552"/>
    <x v="286"/>
    <x v="1"/>
    <s v="South"/>
    <s v="Amit"/>
    <n v="20"/>
    <n v="8196"/>
    <n v="163920"/>
    <n v="163920"/>
  </r>
  <r>
    <n v="10553"/>
    <x v="223"/>
    <x v="4"/>
    <s v="East"/>
    <s v="Anita"/>
    <n v="4"/>
    <n v="47173"/>
    <n v="188692"/>
    <n v="188692"/>
  </r>
  <r>
    <n v="10554"/>
    <x v="119"/>
    <x v="4"/>
    <s v="West"/>
    <s v="Amit"/>
    <n v="18"/>
    <n v="13459"/>
    <n v="242262"/>
    <n v="242262"/>
  </r>
  <r>
    <n v="10555"/>
    <x v="67"/>
    <x v="2"/>
    <s v="West"/>
    <s v="Anita"/>
    <n v="16"/>
    <n v="51402"/>
    <n v="822432"/>
    <n v="822432"/>
  </r>
  <r>
    <n v="10556"/>
    <x v="260"/>
    <x v="6"/>
    <s v="East"/>
    <s v="Anita"/>
    <n v="11"/>
    <n v="45794"/>
    <n v="503734"/>
    <n v="503734"/>
  </r>
  <r>
    <n v="10557"/>
    <x v="210"/>
    <x v="5"/>
    <s v="North"/>
    <s v="Amit"/>
    <n v="16"/>
    <n v="40706"/>
    <n v="651296"/>
    <n v="651296"/>
  </r>
  <r>
    <n v="10558"/>
    <x v="112"/>
    <x v="3"/>
    <s v="East"/>
    <s v="Suman"/>
    <n v="13"/>
    <n v="41579"/>
    <n v="540527"/>
    <n v="540527"/>
  </r>
  <r>
    <n v="10559"/>
    <x v="157"/>
    <x v="5"/>
    <s v="West"/>
    <s v="Priya"/>
    <n v="2"/>
    <n v="4545"/>
    <n v="9090"/>
    <n v="9090"/>
  </r>
  <r>
    <n v="10560"/>
    <x v="276"/>
    <x v="4"/>
    <s v="West"/>
    <s v="Anita"/>
    <n v="8"/>
    <n v="13079"/>
    <n v="104632"/>
    <n v="104632"/>
  </r>
  <r>
    <n v="10561"/>
    <x v="98"/>
    <x v="3"/>
    <s v="South"/>
    <s v="Suman"/>
    <n v="17"/>
    <n v="50264"/>
    <n v="854488"/>
    <n v="854488"/>
  </r>
  <r>
    <n v="10562"/>
    <x v="200"/>
    <x v="2"/>
    <s v="West"/>
    <s v="Anita"/>
    <n v="14"/>
    <n v="34179"/>
    <n v="478506"/>
    <n v="478506"/>
  </r>
  <r>
    <n v="10563"/>
    <x v="98"/>
    <x v="0"/>
    <s v="East"/>
    <s v="Anita"/>
    <n v="2"/>
    <n v="48423"/>
    <n v="96846"/>
    <n v="96846"/>
  </r>
  <r>
    <n v="10564"/>
    <x v="181"/>
    <x v="3"/>
    <s v="South"/>
    <s v="Rani"/>
    <n v="18"/>
    <n v="13322"/>
    <n v="239796"/>
    <n v="239796"/>
  </r>
  <r>
    <n v="10565"/>
    <x v="287"/>
    <x v="5"/>
    <s v="West"/>
    <s v="Anita"/>
    <n v="11"/>
    <n v="27979"/>
    <n v="307769"/>
    <n v="307769"/>
  </r>
  <r>
    <n v="10566"/>
    <x v="161"/>
    <x v="0"/>
    <s v="North"/>
    <s v="Rahul"/>
    <n v="2"/>
    <n v="26662"/>
    <n v="53324"/>
    <n v="53324"/>
  </r>
  <r>
    <n v="10567"/>
    <x v="288"/>
    <x v="5"/>
    <s v="West"/>
    <s v="Rani"/>
    <n v="4"/>
    <n v="11602"/>
    <n v="46408"/>
    <n v="46408"/>
  </r>
  <r>
    <n v="10568"/>
    <x v="44"/>
    <x v="0"/>
    <s v="South"/>
    <s v="Rahul"/>
    <n v="9"/>
    <n v="31457"/>
    <n v="283113"/>
    <n v="283113"/>
  </r>
  <r>
    <n v="10569"/>
    <x v="276"/>
    <x v="1"/>
    <s v="East"/>
    <s v="Rahul"/>
    <n v="2"/>
    <n v="33384"/>
    <n v="66768"/>
    <n v="66768"/>
  </r>
  <r>
    <n v="10570"/>
    <x v="175"/>
    <x v="1"/>
    <s v="South"/>
    <s v="Rani"/>
    <n v="17"/>
    <n v="21947"/>
    <n v="373099"/>
    <n v="373099"/>
  </r>
  <r>
    <n v="10571"/>
    <x v="289"/>
    <x v="1"/>
    <s v="South"/>
    <s v="Rani"/>
    <n v="11"/>
    <n v="13499"/>
    <n v="148489"/>
    <n v="148489"/>
  </r>
  <r>
    <n v="10572"/>
    <x v="290"/>
    <x v="0"/>
    <s v="North"/>
    <s v="Amit"/>
    <n v="8"/>
    <n v="39611"/>
    <n v="316888"/>
    <n v="316888"/>
  </r>
  <r>
    <n v="10573"/>
    <x v="259"/>
    <x v="0"/>
    <s v="South"/>
    <s v="Suman"/>
    <n v="16"/>
    <n v="26393"/>
    <n v="422288"/>
    <n v="422288"/>
  </r>
  <r>
    <n v="10574"/>
    <x v="126"/>
    <x v="5"/>
    <s v="South"/>
    <s v="Anita"/>
    <n v="5"/>
    <n v="6479"/>
    <n v="32395"/>
    <n v="32395"/>
  </r>
  <r>
    <n v="10575"/>
    <x v="156"/>
    <x v="5"/>
    <s v="North"/>
    <s v="Priya"/>
    <n v="16"/>
    <n v="45831"/>
    <n v="733296"/>
    <n v="733296"/>
  </r>
  <r>
    <n v="10576"/>
    <x v="291"/>
    <x v="3"/>
    <s v="North"/>
    <s v="Amit"/>
    <n v="17"/>
    <n v="27192"/>
    <n v="462264"/>
    <n v="462264"/>
  </r>
  <r>
    <n v="10577"/>
    <x v="256"/>
    <x v="6"/>
    <s v="South"/>
    <s v="Rahul"/>
    <n v="4"/>
    <n v="14854"/>
    <n v="59416"/>
    <n v="59416"/>
  </r>
  <r>
    <n v="10578"/>
    <x v="39"/>
    <x v="5"/>
    <s v="South"/>
    <s v="Rahul"/>
    <n v="12"/>
    <n v="53539"/>
    <n v="642468"/>
    <n v="642468"/>
  </r>
  <r>
    <n v="10579"/>
    <x v="156"/>
    <x v="4"/>
    <s v="East"/>
    <s v="Anita"/>
    <n v="16"/>
    <n v="27314"/>
    <n v="437024"/>
    <n v="437024"/>
  </r>
  <r>
    <n v="10580"/>
    <x v="292"/>
    <x v="5"/>
    <s v="North"/>
    <s v="Rahul"/>
    <n v="17"/>
    <n v="29836"/>
    <n v="507212"/>
    <n v="507212"/>
  </r>
  <r>
    <n v="10581"/>
    <x v="293"/>
    <x v="2"/>
    <s v="South"/>
    <s v="Priya"/>
    <n v="5"/>
    <n v="18992"/>
    <n v="94960"/>
    <n v="94960"/>
  </r>
  <r>
    <n v="10582"/>
    <x v="150"/>
    <x v="2"/>
    <s v="South"/>
    <s v="Rani"/>
    <n v="10"/>
    <n v="24248"/>
    <n v="242480"/>
    <n v="242480"/>
  </r>
  <r>
    <n v="10583"/>
    <x v="32"/>
    <x v="4"/>
    <s v="South"/>
    <s v="Rani"/>
    <n v="4"/>
    <n v="33110"/>
    <n v="132440"/>
    <n v="132440"/>
  </r>
  <r>
    <n v="10584"/>
    <x v="294"/>
    <x v="4"/>
    <s v="West"/>
    <s v="Amit"/>
    <n v="5"/>
    <n v="8085"/>
    <n v="40425"/>
    <n v="40425"/>
  </r>
  <r>
    <n v="10585"/>
    <x v="242"/>
    <x v="6"/>
    <s v="West"/>
    <s v="Rani"/>
    <n v="4"/>
    <n v="56712"/>
    <n v="226848"/>
    <n v="226848"/>
  </r>
  <r>
    <n v="10586"/>
    <x v="246"/>
    <x v="2"/>
    <s v="South"/>
    <s v="Rahul"/>
    <n v="14"/>
    <n v="12963"/>
    <n v="181482"/>
    <n v="181482"/>
  </r>
  <r>
    <n v="10587"/>
    <x v="174"/>
    <x v="4"/>
    <s v="North"/>
    <s v="Priya"/>
    <n v="15"/>
    <n v="55562"/>
    <n v="833430"/>
    <n v="833430"/>
  </r>
  <r>
    <n v="10588"/>
    <x v="136"/>
    <x v="1"/>
    <s v="South"/>
    <s v="Rahul"/>
    <n v="20"/>
    <n v="6038"/>
    <n v="120760"/>
    <n v="120760"/>
  </r>
  <r>
    <n v="10589"/>
    <x v="295"/>
    <x v="4"/>
    <s v="East"/>
    <s v="Priya"/>
    <n v="13"/>
    <n v="4272"/>
    <n v="55536"/>
    <n v="55536"/>
  </r>
  <r>
    <n v="10590"/>
    <x v="296"/>
    <x v="4"/>
    <s v="East"/>
    <s v="Amit"/>
    <n v="15"/>
    <n v="35737"/>
    <n v="536055"/>
    <n v="536055"/>
  </r>
  <r>
    <n v="10591"/>
    <x v="143"/>
    <x v="1"/>
    <s v="North"/>
    <s v="Rahul"/>
    <n v="1"/>
    <n v="32032"/>
    <n v="32032"/>
    <n v="32032"/>
  </r>
  <r>
    <n v="10592"/>
    <x v="155"/>
    <x v="3"/>
    <s v="West"/>
    <s v="Amit"/>
    <n v="13"/>
    <n v="41161"/>
    <n v="535093"/>
    <n v="535093"/>
  </r>
  <r>
    <n v="10593"/>
    <x v="65"/>
    <x v="4"/>
    <s v="West"/>
    <s v="Suman"/>
    <n v="8"/>
    <n v="51066"/>
    <n v="408528"/>
    <n v="408528"/>
  </r>
  <r>
    <n v="10594"/>
    <x v="264"/>
    <x v="2"/>
    <s v="South"/>
    <s v="Amit"/>
    <n v="17"/>
    <n v="22323"/>
    <n v="379491"/>
    <n v="379491"/>
  </r>
  <r>
    <n v="10595"/>
    <x v="297"/>
    <x v="2"/>
    <s v="West"/>
    <s v="Rani"/>
    <n v="16"/>
    <n v="17477"/>
    <n v="279632"/>
    <n v="279632"/>
  </r>
  <r>
    <n v="10596"/>
    <x v="33"/>
    <x v="6"/>
    <s v="North"/>
    <s v="Suman"/>
    <n v="13"/>
    <n v="7843"/>
    <n v="101959"/>
    <n v="101959"/>
  </r>
  <r>
    <n v="10597"/>
    <x v="298"/>
    <x v="5"/>
    <s v="North"/>
    <s v="Rahul"/>
    <n v="11"/>
    <n v="34800"/>
    <n v="382800"/>
    <n v="382800"/>
  </r>
  <r>
    <n v="10598"/>
    <x v="3"/>
    <x v="4"/>
    <s v="North"/>
    <s v="Rahul"/>
    <n v="14"/>
    <n v="59539"/>
    <n v="833546"/>
    <n v="833546"/>
  </r>
  <r>
    <n v="10599"/>
    <x v="228"/>
    <x v="4"/>
    <s v="East"/>
    <s v="Priya"/>
    <n v="18"/>
    <n v="4079"/>
    <n v="73422"/>
    <n v="73422"/>
  </r>
  <r>
    <n v="10600"/>
    <x v="213"/>
    <x v="4"/>
    <s v="North"/>
    <s v="Rahul"/>
    <n v="11"/>
    <n v="54328"/>
    <n v="597608"/>
    <n v="597608"/>
  </r>
  <r>
    <n v="10601"/>
    <x v="16"/>
    <x v="1"/>
    <s v="North"/>
    <s v="Amit"/>
    <n v="18"/>
    <n v="45915"/>
    <n v="826470"/>
    <n v="826470"/>
  </r>
  <r>
    <n v="10602"/>
    <x v="85"/>
    <x v="1"/>
    <s v="West"/>
    <s v="Anita"/>
    <n v="1"/>
    <n v="31208"/>
    <n v="31208"/>
    <n v="31208"/>
  </r>
  <r>
    <n v="10603"/>
    <x v="267"/>
    <x v="4"/>
    <s v="South"/>
    <s v="Rahul"/>
    <n v="14"/>
    <n v="25065"/>
    <n v="350910"/>
    <n v="350910"/>
  </r>
  <r>
    <n v="10604"/>
    <x v="243"/>
    <x v="6"/>
    <s v="East"/>
    <s v="Amit"/>
    <n v="14"/>
    <n v="46407"/>
    <n v="649698"/>
    <n v="649698"/>
  </r>
  <r>
    <n v="10605"/>
    <x v="52"/>
    <x v="4"/>
    <s v="North"/>
    <s v="Amit"/>
    <n v="10"/>
    <n v="32457"/>
    <n v="324570"/>
    <n v="324570"/>
  </r>
  <r>
    <n v="10606"/>
    <x v="127"/>
    <x v="3"/>
    <s v="North"/>
    <s v="Priya"/>
    <n v="8"/>
    <n v="2626"/>
    <n v="21008"/>
    <n v="21008"/>
  </r>
  <r>
    <n v="10607"/>
    <x v="293"/>
    <x v="2"/>
    <s v="West"/>
    <s v="Suman"/>
    <n v="5"/>
    <n v="19829"/>
    <n v="99145"/>
    <n v="99145"/>
  </r>
  <r>
    <n v="10608"/>
    <x v="260"/>
    <x v="1"/>
    <s v="North"/>
    <s v="Priya"/>
    <n v="6"/>
    <n v="57877"/>
    <n v="347262"/>
    <n v="347262"/>
  </r>
  <r>
    <n v="10609"/>
    <x v="81"/>
    <x v="2"/>
    <s v="South"/>
    <s v="Suman"/>
    <n v="13"/>
    <n v="45145"/>
    <n v="586885"/>
    <n v="586885"/>
  </r>
  <r>
    <n v="10610"/>
    <x v="54"/>
    <x v="3"/>
    <s v="East"/>
    <s v="Suman"/>
    <n v="10"/>
    <n v="7982"/>
    <n v="79820"/>
    <n v="79820"/>
  </r>
  <r>
    <n v="10611"/>
    <x v="159"/>
    <x v="2"/>
    <s v="East"/>
    <s v="Priya"/>
    <n v="12"/>
    <n v="11082"/>
    <n v="132984"/>
    <n v="132984"/>
  </r>
  <r>
    <n v="10612"/>
    <x v="299"/>
    <x v="0"/>
    <s v="East"/>
    <s v="Priya"/>
    <n v="15"/>
    <n v="47366"/>
    <n v="710490"/>
    <n v="710490"/>
  </r>
  <r>
    <n v="10613"/>
    <x v="230"/>
    <x v="1"/>
    <s v="West"/>
    <s v="Priya"/>
    <n v="19"/>
    <n v="55364"/>
    <n v="1051916"/>
    <n v="1051916"/>
  </r>
  <r>
    <n v="10614"/>
    <x v="300"/>
    <x v="4"/>
    <s v="West"/>
    <s v="Suman"/>
    <n v="20"/>
    <n v="32453"/>
    <n v="649060"/>
    <n v="649060"/>
  </r>
  <r>
    <n v="10615"/>
    <x v="79"/>
    <x v="2"/>
    <s v="North"/>
    <s v="Anita"/>
    <n v="12"/>
    <n v="57059"/>
    <n v="684708"/>
    <n v="684708"/>
  </r>
  <r>
    <n v="10616"/>
    <x v="301"/>
    <x v="5"/>
    <s v="North"/>
    <s v="Rani"/>
    <n v="11"/>
    <n v="30026"/>
    <n v="330286"/>
    <n v="330286"/>
  </r>
  <r>
    <n v="10617"/>
    <x v="3"/>
    <x v="3"/>
    <s v="South"/>
    <s v="Rani"/>
    <n v="12"/>
    <n v="8729"/>
    <n v="104748"/>
    <n v="104748"/>
  </r>
  <r>
    <n v="10618"/>
    <x v="302"/>
    <x v="5"/>
    <s v="East"/>
    <s v="Suman"/>
    <n v="7"/>
    <n v="52084"/>
    <n v="364588"/>
    <n v="364588"/>
  </r>
  <r>
    <n v="10619"/>
    <x v="278"/>
    <x v="5"/>
    <s v="North"/>
    <s v="Priya"/>
    <n v="7"/>
    <n v="33354"/>
    <n v="233478"/>
    <n v="233478"/>
  </r>
  <r>
    <n v="10620"/>
    <x v="303"/>
    <x v="2"/>
    <s v="North"/>
    <s v="Amit"/>
    <n v="4"/>
    <n v="52303"/>
    <n v="209212"/>
    <n v="209212"/>
  </r>
  <r>
    <n v="10621"/>
    <x v="114"/>
    <x v="0"/>
    <s v="South"/>
    <s v="Rani"/>
    <n v="12"/>
    <n v="5108"/>
    <n v="61296"/>
    <n v="61296"/>
  </r>
  <r>
    <n v="10622"/>
    <x v="144"/>
    <x v="0"/>
    <s v="South"/>
    <s v="Suman"/>
    <n v="18"/>
    <n v="38694"/>
    <n v="696492"/>
    <n v="696492"/>
  </r>
  <r>
    <n v="10623"/>
    <x v="304"/>
    <x v="1"/>
    <s v="West"/>
    <s v="Anita"/>
    <n v="4"/>
    <n v="3732"/>
    <n v="14928"/>
    <n v="14928"/>
  </r>
  <r>
    <n v="10624"/>
    <x v="2"/>
    <x v="1"/>
    <s v="East"/>
    <s v="Rani"/>
    <n v="20"/>
    <n v="58506"/>
    <n v="1170120"/>
    <n v="1170120"/>
  </r>
  <r>
    <n v="10625"/>
    <x v="195"/>
    <x v="1"/>
    <s v="West"/>
    <s v="Priya"/>
    <n v="13"/>
    <n v="43043"/>
    <n v="559559"/>
    <n v="559559"/>
  </r>
  <r>
    <n v="10626"/>
    <x v="291"/>
    <x v="4"/>
    <s v="South"/>
    <s v="Rani"/>
    <n v="10"/>
    <n v="28085"/>
    <n v="280850"/>
    <n v="280850"/>
  </r>
  <r>
    <n v="10627"/>
    <x v="266"/>
    <x v="6"/>
    <s v="South"/>
    <s v="Suman"/>
    <n v="4"/>
    <n v="56150"/>
    <n v="224600"/>
    <n v="224600"/>
  </r>
  <r>
    <n v="10628"/>
    <x v="289"/>
    <x v="4"/>
    <s v="South"/>
    <s v="Suman"/>
    <n v="17"/>
    <n v="20203"/>
    <n v="343451"/>
    <n v="343451"/>
  </r>
  <r>
    <n v="10629"/>
    <x v="214"/>
    <x v="2"/>
    <s v="East"/>
    <s v="Suman"/>
    <n v="11"/>
    <n v="49016"/>
    <n v="539176"/>
    <n v="539176"/>
  </r>
  <r>
    <n v="10630"/>
    <x v="8"/>
    <x v="3"/>
    <s v="South"/>
    <s v="Anita"/>
    <n v="7"/>
    <n v="6418"/>
    <n v="44926"/>
    <n v="44926"/>
  </r>
  <r>
    <n v="10631"/>
    <x v="305"/>
    <x v="2"/>
    <s v="North"/>
    <s v="Anita"/>
    <n v="15"/>
    <n v="57206"/>
    <n v="858090"/>
    <n v="858090"/>
  </r>
  <r>
    <n v="10632"/>
    <x v="147"/>
    <x v="6"/>
    <s v="West"/>
    <s v="Rahul"/>
    <n v="10"/>
    <n v="49528"/>
    <n v="495280"/>
    <n v="495280"/>
  </r>
  <r>
    <n v="10633"/>
    <x v="56"/>
    <x v="1"/>
    <s v="South"/>
    <s v="Priya"/>
    <n v="13"/>
    <n v="34773"/>
    <n v="452049"/>
    <n v="452049"/>
  </r>
  <r>
    <n v="10634"/>
    <x v="237"/>
    <x v="3"/>
    <s v="North"/>
    <s v="Anita"/>
    <n v="3"/>
    <n v="5358"/>
    <n v="16074"/>
    <n v="16074"/>
  </r>
  <r>
    <n v="10635"/>
    <x v="280"/>
    <x v="3"/>
    <s v="North"/>
    <s v="Amit"/>
    <n v="19"/>
    <n v="25152"/>
    <n v="477888"/>
    <n v="477888"/>
  </r>
  <r>
    <n v="10636"/>
    <x v="218"/>
    <x v="5"/>
    <s v="North"/>
    <s v="Amit"/>
    <n v="11"/>
    <n v="39510"/>
    <n v="434610"/>
    <n v="434610"/>
  </r>
  <r>
    <n v="10637"/>
    <x v="255"/>
    <x v="4"/>
    <s v="East"/>
    <s v="Rani"/>
    <n v="9"/>
    <n v="17984"/>
    <n v="161856"/>
    <n v="161856"/>
  </r>
  <r>
    <n v="10638"/>
    <x v="306"/>
    <x v="1"/>
    <s v="North"/>
    <s v="Rani"/>
    <n v="10"/>
    <n v="15130"/>
    <n v="151300"/>
    <n v="151300"/>
  </r>
  <r>
    <n v="10639"/>
    <x v="214"/>
    <x v="3"/>
    <s v="North"/>
    <s v="Rahul"/>
    <n v="8"/>
    <n v="50153"/>
    <n v="401224"/>
    <n v="401224"/>
  </r>
  <r>
    <n v="10640"/>
    <x v="79"/>
    <x v="3"/>
    <s v="North"/>
    <s v="Suman"/>
    <n v="9"/>
    <n v="28663"/>
    <n v="257967"/>
    <n v="257967"/>
  </r>
  <r>
    <n v="10641"/>
    <x v="187"/>
    <x v="5"/>
    <s v="West"/>
    <s v="Rahul"/>
    <n v="14"/>
    <n v="39062"/>
    <n v="546868"/>
    <n v="546868"/>
  </r>
  <r>
    <n v="10642"/>
    <x v="307"/>
    <x v="3"/>
    <s v="East"/>
    <s v="Priya"/>
    <n v="6"/>
    <n v="17001"/>
    <n v="102006"/>
    <n v="102006"/>
  </r>
  <r>
    <n v="10643"/>
    <x v="48"/>
    <x v="6"/>
    <s v="North"/>
    <s v="Rahul"/>
    <n v="8"/>
    <n v="25860"/>
    <n v="206880"/>
    <n v="206880"/>
  </r>
  <r>
    <n v="10644"/>
    <x v="10"/>
    <x v="1"/>
    <s v="West"/>
    <s v="Anita"/>
    <n v="1"/>
    <n v="43892"/>
    <n v="43892"/>
    <n v="43892"/>
  </r>
  <r>
    <n v="10645"/>
    <x v="16"/>
    <x v="2"/>
    <s v="West"/>
    <s v="Anita"/>
    <n v="10"/>
    <n v="39869"/>
    <n v="398690"/>
    <n v="398690"/>
  </r>
  <r>
    <n v="10646"/>
    <x v="27"/>
    <x v="5"/>
    <s v="South"/>
    <s v="Anita"/>
    <n v="9"/>
    <n v="24552"/>
    <n v="220968"/>
    <n v="220968"/>
  </r>
  <r>
    <n v="10647"/>
    <x v="69"/>
    <x v="5"/>
    <s v="North"/>
    <s v="Anita"/>
    <n v="2"/>
    <n v="11437"/>
    <n v="22874"/>
    <n v="22874"/>
  </r>
  <r>
    <n v="10648"/>
    <x v="178"/>
    <x v="6"/>
    <s v="South"/>
    <s v="Suman"/>
    <n v="2"/>
    <n v="7029"/>
    <n v="14058"/>
    <n v="14058"/>
  </r>
  <r>
    <n v="10649"/>
    <x v="196"/>
    <x v="1"/>
    <s v="West"/>
    <s v="Rahul"/>
    <n v="18"/>
    <n v="39225"/>
    <n v="706050"/>
    <n v="706050"/>
  </r>
  <r>
    <n v="10650"/>
    <x v="217"/>
    <x v="3"/>
    <s v="East"/>
    <s v="Anita"/>
    <n v="5"/>
    <n v="28995"/>
    <n v="144975"/>
    <n v="144975"/>
  </r>
  <r>
    <n v="10651"/>
    <x v="233"/>
    <x v="5"/>
    <s v="South"/>
    <s v="Anita"/>
    <n v="16"/>
    <n v="42446"/>
    <n v="679136"/>
    <n v="679136"/>
  </r>
  <r>
    <n v="10652"/>
    <x v="214"/>
    <x v="1"/>
    <s v="East"/>
    <s v="Suman"/>
    <n v="1"/>
    <n v="42799"/>
    <n v="42799"/>
    <n v="42799"/>
  </r>
  <r>
    <n v="10653"/>
    <x v="308"/>
    <x v="2"/>
    <s v="East"/>
    <s v="Rahul"/>
    <n v="16"/>
    <n v="37076"/>
    <n v="593216"/>
    <n v="593216"/>
  </r>
  <r>
    <n v="10654"/>
    <x v="285"/>
    <x v="6"/>
    <s v="West"/>
    <s v="Priya"/>
    <n v="12"/>
    <n v="25126"/>
    <n v="301512"/>
    <n v="301512"/>
  </r>
  <r>
    <n v="10655"/>
    <x v="25"/>
    <x v="1"/>
    <s v="West"/>
    <s v="Anita"/>
    <n v="10"/>
    <n v="34866"/>
    <n v="348660"/>
    <n v="348660"/>
  </r>
  <r>
    <n v="10656"/>
    <x v="298"/>
    <x v="6"/>
    <s v="East"/>
    <s v="Amit"/>
    <n v="6"/>
    <n v="30703"/>
    <n v="184218"/>
    <n v="184218"/>
  </r>
  <r>
    <n v="10657"/>
    <x v="272"/>
    <x v="4"/>
    <s v="West"/>
    <s v="Anita"/>
    <n v="7"/>
    <n v="10211"/>
    <n v="71477"/>
    <n v="71477"/>
  </r>
  <r>
    <n v="10658"/>
    <x v="29"/>
    <x v="0"/>
    <s v="North"/>
    <s v="Rani"/>
    <n v="6"/>
    <n v="38011"/>
    <n v="228066"/>
    <n v="228066"/>
  </r>
  <r>
    <n v="10659"/>
    <x v="247"/>
    <x v="5"/>
    <s v="South"/>
    <s v="Priya"/>
    <n v="17"/>
    <n v="16638"/>
    <n v="282846"/>
    <n v="282846"/>
  </r>
  <r>
    <n v="10660"/>
    <x v="2"/>
    <x v="1"/>
    <s v="West"/>
    <s v="Suman"/>
    <n v="7"/>
    <n v="36448"/>
    <n v="255136"/>
    <n v="255136"/>
  </r>
  <r>
    <n v="10661"/>
    <x v="76"/>
    <x v="0"/>
    <s v="West"/>
    <s v="Amit"/>
    <n v="5"/>
    <n v="31220"/>
    <n v="156100"/>
    <n v="156100"/>
  </r>
  <r>
    <n v="10662"/>
    <x v="309"/>
    <x v="4"/>
    <s v="North"/>
    <s v="Suman"/>
    <n v="10"/>
    <n v="52330"/>
    <n v="523300"/>
    <n v="523300"/>
  </r>
  <r>
    <n v="10663"/>
    <x v="153"/>
    <x v="1"/>
    <s v="North"/>
    <s v="Amit"/>
    <n v="2"/>
    <n v="58446"/>
    <n v="116892"/>
    <n v="116892"/>
  </r>
  <r>
    <n v="10664"/>
    <x v="310"/>
    <x v="0"/>
    <s v="North"/>
    <s v="Priya"/>
    <n v="7"/>
    <n v="55522"/>
    <n v="388654"/>
    <n v="388654"/>
  </r>
  <r>
    <n v="10665"/>
    <x v="15"/>
    <x v="2"/>
    <s v="East"/>
    <s v="Amit"/>
    <n v="15"/>
    <n v="32783"/>
    <n v="491745"/>
    <n v="491745"/>
  </r>
  <r>
    <n v="10666"/>
    <x v="246"/>
    <x v="3"/>
    <s v="East"/>
    <s v="Priya"/>
    <n v="12"/>
    <n v="6002"/>
    <n v="72024"/>
    <n v="72024"/>
  </r>
  <r>
    <n v="10667"/>
    <x v="115"/>
    <x v="6"/>
    <s v="South"/>
    <s v="Anita"/>
    <n v="15"/>
    <n v="5534"/>
    <n v="83010"/>
    <n v="83010"/>
  </r>
  <r>
    <n v="10668"/>
    <x v="192"/>
    <x v="0"/>
    <s v="South"/>
    <s v="Amit"/>
    <n v="7"/>
    <n v="42921"/>
    <n v="300447"/>
    <n v="300447"/>
  </r>
  <r>
    <n v="10669"/>
    <x v="167"/>
    <x v="1"/>
    <s v="East"/>
    <s v="Suman"/>
    <n v="20"/>
    <n v="53157"/>
    <n v="1063140"/>
    <n v="1063140"/>
  </r>
  <r>
    <n v="10670"/>
    <x v="206"/>
    <x v="1"/>
    <s v="West"/>
    <s v="Anita"/>
    <n v="18"/>
    <n v="29077"/>
    <n v="523386"/>
    <n v="523386"/>
  </r>
  <r>
    <n v="10671"/>
    <x v="296"/>
    <x v="0"/>
    <s v="North"/>
    <s v="Amit"/>
    <n v="14"/>
    <n v="21970"/>
    <n v="307580"/>
    <n v="307580"/>
  </r>
  <r>
    <n v="10672"/>
    <x v="311"/>
    <x v="0"/>
    <s v="South"/>
    <s v="Suman"/>
    <n v="18"/>
    <n v="4586"/>
    <n v="82548"/>
    <n v="82548"/>
  </r>
  <r>
    <n v="10673"/>
    <x v="223"/>
    <x v="0"/>
    <s v="North"/>
    <s v="Priya"/>
    <n v="7"/>
    <n v="50003"/>
    <n v="350021"/>
    <n v="350021"/>
  </r>
  <r>
    <n v="10674"/>
    <x v="232"/>
    <x v="0"/>
    <s v="East"/>
    <s v="Rahul"/>
    <n v="2"/>
    <n v="7417"/>
    <n v="14834"/>
    <n v="14834"/>
  </r>
  <r>
    <n v="10675"/>
    <x v="236"/>
    <x v="6"/>
    <s v="North"/>
    <s v="Amit"/>
    <n v="18"/>
    <n v="54003"/>
    <n v="972054"/>
    <n v="972054"/>
  </r>
  <r>
    <n v="10676"/>
    <x v="183"/>
    <x v="4"/>
    <s v="South"/>
    <s v="Rani"/>
    <n v="3"/>
    <n v="34690"/>
    <n v="104070"/>
    <n v="104070"/>
  </r>
  <r>
    <n v="10677"/>
    <x v="97"/>
    <x v="6"/>
    <s v="West"/>
    <s v="Suman"/>
    <n v="6"/>
    <n v="16573"/>
    <n v="99438"/>
    <n v="99438"/>
  </r>
  <r>
    <n v="10678"/>
    <x v="221"/>
    <x v="3"/>
    <s v="East"/>
    <s v="Anita"/>
    <n v="7"/>
    <n v="12654"/>
    <n v="88578"/>
    <n v="88578"/>
  </r>
  <r>
    <n v="10679"/>
    <x v="241"/>
    <x v="5"/>
    <s v="West"/>
    <s v="Rani"/>
    <n v="18"/>
    <n v="12916"/>
    <n v="232488"/>
    <n v="232488"/>
  </r>
  <r>
    <n v="10680"/>
    <x v="185"/>
    <x v="5"/>
    <s v="North"/>
    <s v="Amit"/>
    <n v="10"/>
    <n v="16887"/>
    <n v="168870"/>
    <n v="168870"/>
  </r>
  <r>
    <n v="10681"/>
    <x v="74"/>
    <x v="0"/>
    <s v="North"/>
    <s v="Suman"/>
    <n v="15"/>
    <n v="38615"/>
    <n v="579225"/>
    <n v="579225"/>
  </r>
  <r>
    <n v="10682"/>
    <x v="244"/>
    <x v="2"/>
    <s v="North"/>
    <s v="Rahul"/>
    <n v="14"/>
    <n v="38925"/>
    <n v="544950"/>
    <n v="544950"/>
  </r>
  <r>
    <n v="10683"/>
    <x v="206"/>
    <x v="6"/>
    <s v="South"/>
    <s v="Amit"/>
    <n v="9"/>
    <n v="32774"/>
    <n v="294966"/>
    <n v="294966"/>
  </r>
  <r>
    <n v="10684"/>
    <x v="312"/>
    <x v="1"/>
    <s v="West"/>
    <s v="Amit"/>
    <n v="14"/>
    <n v="20750"/>
    <n v="290500"/>
    <n v="290500"/>
  </r>
  <r>
    <n v="10685"/>
    <x v="86"/>
    <x v="6"/>
    <s v="West"/>
    <s v="Anita"/>
    <n v="12"/>
    <n v="36444"/>
    <n v="437328"/>
    <n v="437328"/>
  </r>
  <r>
    <n v="10686"/>
    <x v="12"/>
    <x v="2"/>
    <s v="West"/>
    <s v="Suman"/>
    <n v="12"/>
    <n v="11989"/>
    <n v="143868"/>
    <n v="143868"/>
  </r>
  <r>
    <n v="10687"/>
    <x v="158"/>
    <x v="1"/>
    <s v="South"/>
    <s v="Amit"/>
    <n v="6"/>
    <n v="19391"/>
    <n v="116346"/>
    <n v="116346"/>
  </r>
  <r>
    <n v="10688"/>
    <x v="313"/>
    <x v="3"/>
    <s v="South"/>
    <s v="Priya"/>
    <n v="10"/>
    <n v="53370"/>
    <n v="533700"/>
    <n v="533700"/>
  </r>
  <r>
    <n v="10689"/>
    <x v="147"/>
    <x v="3"/>
    <s v="West"/>
    <s v="Amit"/>
    <n v="7"/>
    <n v="52161"/>
    <n v="365127"/>
    <n v="365127"/>
  </r>
  <r>
    <n v="10690"/>
    <x v="102"/>
    <x v="2"/>
    <s v="East"/>
    <s v="Suman"/>
    <n v="6"/>
    <n v="14908"/>
    <n v="89448"/>
    <n v="89448"/>
  </r>
  <r>
    <n v="10691"/>
    <x v="143"/>
    <x v="5"/>
    <s v="West"/>
    <s v="Suman"/>
    <n v="4"/>
    <n v="6855"/>
    <n v="27420"/>
    <n v="27420"/>
  </r>
  <r>
    <n v="10692"/>
    <x v="298"/>
    <x v="0"/>
    <s v="South"/>
    <s v="Suman"/>
    <n v="2"/>
    <n v="22095"/>
    <n v="44190"/>
    <n v="44190"/>
  </r>
  <r>
    <n v="10693"/>
    <x v="113"/>
    <x v="3"/>
    <s v="East"/>
    <s v="Suman"/>
    <n v="18"/>
    <n v="56763"/>
    <n v="1021734"/>
    <n v="1021734"/>
  </r>
  <r>
    <n v="10694"/>
    <x v="206"/>
    <x v="1"/>
    <s v="South"/>
    <s v="Priya"/>
    <n v="12"/>
    <n v="17566"/>
    <n v="210792"/>
    <n v="210792"/>
  </r>
  <r>
    <n v="10695"/>
    <x v="25"/>
    <x v="5"/>
    <s v="South"/>
    <s v="Amit"/>
    <n v="11"/>
    <n v="50725"/>
    <n v="557975"/>
    <n v="557975"/>
  </r>
  <r>
    <n v="10696"/>
    <x v="314"/>
    <x v="1"/>
    <s v="North"/>
    <s v="Rahul"/>
    <n v="19"/>
    <n v="55889"/>
    <n v="1061891"/>
    <n v="1061891"/>
  </r>
  <r>
    <n v="10697"/>
    <x v="43"/>
    <x v="5"/>
    <s v="North"/>
    <s v="Rahul"/>
    <n v="5"/>
    <n v="38453"/>
    <n v="192265"/>
    <n v="192265"/>
  </r>
  <r>
    <n v="10698"/>
    <x v="199"/>
    <x v="0"/>
    <s v="East"/>
    <s v="Suman"/>
    <n v="11"/>
    <n v="45131"/>
    <n v="496441"/>
    <n v="496441"/>
  </r>
  <r>
    <n v="10699"/>
    <x v="28"/>
    <x v="5"/>
    <s v="West"/>
    <s v="Priya"/>
    <n v="10"/>
    <n v="14006"/>
    <n v="140060"/>
    <n v="140060"/>
  </r>
  <r>
    <n v="10700"/>
    <x v="10"/>
    <x v="4"/>
    <s v="East"/>
    <s v="Suman"/>
    <n v="7"/>
    <n v="26998"/>
    <n v="188986"/>
    <n v="188986"/>
  </r>
  <r>
    <n v="10701"/>
    <x v="275"/>
    <x v="0"/>
    <s v="East"/>
    <s v="Amit"/>
    <n v="19"/>
    <n v="58230"/>
    <n v="1106370"/>
    <n v="1106370"/>
  </r>
  <r>
    <n v="10702"/>
    <x v="33"/>
    <x v="5"/>
    <s v="North"/>
    <s v="Anita"/>
    <n v="17"/>
    <n v="45278"/>
    <n v="769726"/>
    <n v="769726"/>
  </r>
  <r>
    <n v="10703"/>
    <x v="198"/>
    <x v="3"/>
    <s v="East"/>
    <s v="Priya"/>
    <n v="6"/>
    <n v="48620"/>
    <n v="291720"/>
    <n v="291720"/>
  </r>
  <r>
    <n v="10704"/>
    <x v="315"/>
    <x v="2"/>
    <s v="North"/>
    <s v="Suman"/>
    <n v="18"/>
    <n v="30351"/>
    <n v="546318"/>
    <n v="546318"/>
  </r>
  <r>
    <n v="10705"/>
    <x v="20"/>
    <x v="4"/>
    <s v="North"/>
    <s v="Rani"/>
    <n v="9"/>
    <n v="39525"/>
    <n v="355725"/>
    <n v="355725"/>
  </r>
  <r>
    <n v="10706"/>
    <x v="86"/>
    <x v="3"/>
    <s v="North"/>
    <s v="Amit"/>
    <n v="11"/>
    <n v="53104"/>
    <n v="584144"/>
    <n v="584144"/>
  </r>
  <r>
    <n v="10707"/>
    <x v="154"/>
    <x v="3"/>
    <s v="North"/>
    <s v="Anita"/>
    <n v="14"/>
    <n v="53315"/>
    <n v="746410"/>
    <n v="746410"/>
  </r>
  <r>
    <n v="10708"/>
    <x v="182"/>
    <x v="4"/>
    <s v="North"/>
    <s v="Anita"/>
    <n v="13"/>
    <n v="7673"/>
    <n v="99749"/>
    <n v="99749"/>
  </r>
  <r>
    <n v="10709"/>
    <x v="161"/>
    <x v="3"/>
    <s v="West"/>
    <s v="Suman"/>
    <n v="5"/>
    <n v="26633"/>
    <n v="133165"/>
    <n v="133165"/>
  </r>
  <r>
    <n v="10710"/>
    <x v="298"/>
    <x v="2"/>
    <s v="North"/>
    <s v="Rani"/>
    <n v="7"/>
    <n v="13422"/>
    <n v="93954"/>
    <n v="93954"/>
  </r>
  <r>
    <n v="10711"/>
    <x v="21"/>
    <x v="5"/>
    <s v="East"/>
    <s v="Rani"/>
    <n v="10"/>
    <n v="3221"/>
    <n v="32210"/>
    <n v="32210"/>
  </r>
  <r>
    <n v="10712"/>
    <x v="316"/>
    <x v="4"/>
    <s v="North"/>
    <s v="Suman"/>
    <n v="9"/>
    <n v="25994"/>
    <n v="233946"/>
    <n v="233946"/>
  </r>
  <r>
    <n v="10713"/>
    <x v="287"/>
    <x v="5"/>
    <s v="West"/>
    <s v="Suman"/>
    <n v="4"/>
    <n v="9833"/>
    <n v="39332"/>
    <n v="39332"/>
  </r>
  <r>
    <n v="10714"/>
    <x v="118"/>
    <x v="0"/>
    <s v="South"/>
    <s v="Rahul"/>
    <n v="19"/>
    <n v="8508"/>
    <n v="161652"/>
    <n v="161652"/>
  </r>
  <r>
    <n v="10715"/>
    <x v="273"/>
    <x v="2"/>
    <s v="South"/>
    <s v="Priya"/>
    <n v="14"/>
    <n v="36936"/>
    <n v="517104"/>
    <n v="517104"/>
  </r>
  <r>
    <n v="10716"/>
    <x v="153"/>
    <x v="6"/>
    <s v="East"/>
    <s v="Anita"/>
    <n v="8"/>
    <n v="41910"/>
    <n v="335280"/>
    <n v="335280"/>
  </r>
  <r>
    <n v="10717"/>
    <x v="6"/>
    <x v="5"/>
    <s v="South"/>
    <s v="Rani"/>
    <n v="5"/>
    <n v="45420"/>
    <n v="227100"/>
    <n v="227100"/>
  </r>
  <r>
    <n v="10718"/>
    <x v="8"/>
    <x v="5"/>
    <s v="West"/>
    <s v="Amit"/>
    <n v="14"/>
    <n v="36554"/>
    <n v="511756"/>
    <n v="511756"/>
  </r>
  <r>
    <n v="10719"/>
    <x v="126"/>
    <x v="5"/>
    <s v="East"/>
    <s v="Rahul"/>
    <n v="10"/>
    <n v="21848"/>
    <n v="218480"/>
    <n v="218480"/>
  </r>
  <r>
    <n v="10720"/>
    <x v="42"/>
    <x v="0"/>
    <s v="West"/>
    <s v="Amit"/>
    <n v="2"/>
    <n v="50474"/>
    <n v="100948"/>
    <n v="100948"/>
  </r>
  <r>
    <n v="10721"/>
    <x v="213"/>
    <x v="1"/>
    <s v="South"/>
    <s v="Rahul"/>
    <n v="17"/>
    <n v="27897"/>
    <n v="474249"/>
    <n v="474249"/>
  </r>
  <r>
    <n v="10722"/>
    <x v="77"/>
    <x v="5"/>
    <s v="North"/>
    <s v="Amit"/>
    <n v="1"/>
    <n v="52224"/>
    <n v="52224"/>
    <n v="52224"/>
  </r>
  <r>
    <n v="10723"/>
    <x v="178"/>
    <x v="6"/>
    <s v="West"/>
    <s v="Rahul"/>
    <n v="11"/>
    <n v="15800"/>
    <n v="173800"/>
    <n v="173800"/>
  </r>
  <r>
    <n v="10724"/>
    <x v="92"/>
    <x v="6"/>
    <s v="South"/>
    <s v="Rahul"/>
    <n v="15"/>
    <n v="21839"/>
    <n v="327585"/>
    <n v="327585"/>
  </r>
  <r>
    <n v="10725"/>
    <x v="79"/>
    <x v="4"/>
    <s v="West"/>
    <s v="Amit"/>
    <n v="3"/>
    <n v="24295"/>
    <n v="72885"/>
    <n v="72885"/>
  </r>
  <r>
    <n v="10726"/>
    <x v="222"/>
    <x v="5"/>
    <s v="South"/>
    <s v="Priya"/>
    <n v="19"/>
    <n v="55093"/>
    <n v="1046767"/>
    <n v="1046767"/>
  </r>
  <r>
    <n v="10727"/>
    <x v="58"/>
    <x v="2"/>
    <s v="West"/>
    <s v="Priya"/>
    <n v="13"/>
    <n v="23962"/>
    <n v="311506"/>
    <n v="311506"/>
  </r>
  <r>
    <n v="10728"/>
    <x v="298"/>
    <x v="0"/>
    <s v="West"/>
    <s v="Rani"/>
    <n v="19"/>
    <n v="19846"/>
    <n v="377074"/>
    <n v="377074"/>
  </r>
  <r>
    <n v="10729"/>
    <x v="295"/>
    <x v="2"/>
    <s v="South"/>
    <s v="Priya"/>
    <n v="8"/>
    <n v="25722"/>
    <n v="205776"/>
    <n v="205776"/>
  </r>
  <r>
    <n v="10730"/>
    <x v="280"/>
    <x v="5"/>
    <s v="North"/>
    <s v="Anita"/>
    <n v="1"/>
    <n v="49061"/>
    <n v="49061"/>
    <n v="49061"/>
  </r>
  <r>
    <n v="10731"/>
    <x v="68"/>
    <x v="1"/>
    <s v="South"/>
    <s v="Rani"/>
    <n v="15"/>
    <n v="1033"/>
    <n v="15495"/>
    <n v="15495"/>
  </r>
  <r>
    <n v="10732"/>
    <x v="72"/>
    <x v="0"/>
    <s v="North"/>
    <s v="Amit"/>
    <n v="20"/>
    <n v="48839"/>
    <n v="976780"/>
    <n v="976780"/>
  </r>
  <r>
    <n v="10733"/>
    <x v="73"/>
    <x v="1"/>
    <s v="South"/>
    <s v="Priya"/>
    <n v="13"/>
    <n v="28172"/>
    <n v="366236"/>
    <n v="366236"/>
  </r>
  <r>
    <n v="10734"/>
    <x v="24"/>
    <x v="1"/>
    <s v="North"/>
    <s v="Anita"/>
    <n v="15"/>
    <n v="30820"/>
    <n v="462300"/>
    <n v="462300"/>
  </r>
  <r>
    <n v="10735"/>
    <x v="167"/>
    <x v="1"/>
    <s v="North"/>
    <s v="Priya"/>
    <n v="19"/>
    <n v="16592"/>
    <n v="315248"/>
    <n v="315248"/>
  </r>
  <r>
    <n v="10736"/>
    <x v="163"/>
    <x v="0"/>
    <s v="West"/>
    <s v="Suman"/>
    <n v="11"/>
    <n v="14473"/>
    <n v="159203"/>
    <n v="159203"/>
  </r>
  <r>
    <n v="10737"/>
    <x v="268"/>
    <x v="4"/>
    <s v="East"/>
    <s v="Anita"/>
    <n v="19"/>
    <n v="47061"/>
    <n v="894159"/>
    <n v="894159"/>
  </r>
  <r>
    <n v="10738"/>
    <x v="317"/>
    <x v="6"/>
    <s v="North"/>
    <s v="Amit"/>
    <n v="18"/>
    <n v="20486"/>
    <n v="368748"/>
    <n v="368748"/>
  </r>
  <r>
    <n v="10739"/>
    <x v="311"/>
    <x v="2"/>
    <s v="East"/>
    <s v="Anita"/>
    <n v="11"/>
    <n v="53077"/>
    <n v="583847"/>
    <n v="583847"/>
  </r>
  <r>
    <n v="10740"/>
    <x v="225"/>
    <x v="0"/>
    <s v="South"/>
    <s v="Amit"/>
    <n v="18"/>
    <n v="22911"/>
    <n v="412398"/>
    <n v="412398"/>
  </r>
  <r>
    <n v="10741"/>
    <x v="266"/>
    <x v="3"/>
    <s v="West"/>
    <s v="Anita"/>
    <n v="2"/>
    <n v="24675"/>
    <n v="49350"/>
    <n v="49350"/>
  </r>
  <r>
    <n v="10742"/>
    <x v="97"/>
    <x v="2"/>
    <s v="West"/>
    <s v="Amit"/>
    <n v="16"/>
    <n v="18793"/>
    <n v="300688"/>
    <n v="300688"/>
  </r>
  <r>
    <n v="10743"/>
    <x v="168"/>
    <x v="6"/>
    <s v="East"/>
    <s v="Rahul"/>
    <n v="1"/>
    <n v="17825"/>
    <n v="17825"/>
    <n v="17825"/>
  </r>
  <r>
    <n v="10744"/>
    <x v="248"/>
    <x v="0"/>
    <s v="North"/>
    <s v="Rahul"/>
    <n v="1"/>
    <n v="5082"/>
    <n v="5082"/>
    <n v="5082"/>
  </r>
  <r>
    <n v="10745"/>
    <x v="166"/>
    <x v="2"/>
    <s v="South"/>
    <s v="Rahul"/>
    <n v="4"/>
    <n v="16295"/>
    <n v="65180"/>
    <n v="65180"/>
  </r>
  <r>
    <n v="10746"/>
    <x v="79"/>
    <x v="1"/>
    <s v="East"/>
    <s v="Priya"/>
    <n v="3"/>
    <n v="54179"/>
    <n v="162537"/>
    <n v="162537"/>
  </r>
  <r>
    <n v="10747"/>
    <x v="318"/>
    <x v="5"/>
    <s v="South"/>
    <s v="Suman"/>
    <n v="6"/>
    <n v="19509"/>
    <n v="117054"/>
    <n v="117054"/>
  </r>
  <r>
    <n v="10748"/>
    <x v="27"/>
    <x v="6"/>
    <s v="East"/>
    <s v="Priya"/>
    <n v="12"/>
    <n v="41501"/>
    <n v="498012"/>
    <n v="498012"/>
  </r>
  <r>
    <n v="10749"/>
    <x v="67"/>
    <x v="4"/>
    <s v="West"/>
    <s v="Anita"/>
    <n v="12"/>
    <n v="10939"/>
    <n v="131268"/>
    <n v="131268"/>
  </r>
  <r>
    <n v="10750"/>
    <x v="78"/>
    <x v="5"/>
    <s v="West"/>
    <s v="Rani"/>
    <n v="14"/>
    <n v="16138"/>
    <n v="225932"/>
    <n v="225932"/>
  </r>
  <r>
    <n v="10751"/>
    <x v="246"/>
    <x v="6"/>
    <s v="North"/>
    <s v="Rahul"/>
    <n v="9"/>
    <n v="16104"/>
    <n v="144936"/>
    <n v="144936"/>
  </r>
  <r>
    <n v="10752"/>
    <x v="218"/>
    <x v="4"/>
    <s v="East"/>
    <s v="Priya"/>
    <n v="11"/>
    <n v="23714"/>
    <n v="260854"/>
    <n v="260854"/>
  </r>
  <r>
    <n v="10753"/>
    <x v="167"/>
    <x v="3"/>
    <s v="West"/>
    <s v="Rani"/>
    <n v="1"/>
    <n v="46665"/>
    <n v="46665"/>
    <n v="46665"/>
  </r>
  <r>
    <n v="10754"/>
    <x v="177"/>
    <x v="6"/>
    <s v="South"/>
    <s v="Suman"/>
    <n v="15"/>
    <n v="8143"/>
    <n v="122145"/>
    <n v="122145"/>
  </r>
  <r>
    <n v="10755"/>
    <x v="118"/>
    <x v="4"/>
    <s v="East"/>
    <s v="Priya"/>
    <n v="3"/>
    <n v="12853"/>
    <n v="38559"/>
    <n v="38559"/>
  </r>
  <r>
    <n v="10756"/>
    <x v="153"/>
    <x v="4"/>
    <s v="North"/>
    <s v="Rahul"/>
    <n v="1"/>
    <n v="5143"/>
    <n v="5143"/>
    <n v="5143"/>
  </r>
  <r>
    <n v="10757"/>
    <x v="158"/>
    <x v="3"/>
    <s v="South"/>
    <s v="Rahul"/>
    <n v="4"/>
    <n v="1168"/>
    <n v="4672"/>
    <n v="4672"/>
  </r>
  <r>
    <n v="10758"/>
    <x v="42"/>
    <x v="0"/>
    <s v="East"/>
    <s v="Amit"/>
    <n v="20"/>
    <n v="48981"/>
    <n v="979620"/>
    <n v="979620"/>
  </r>
  <r>
    <n v="10759"/>
    <x v="313"/>
    <x v="2"/>
    <s v="South"/>
    <s v="Suman"/>
    <n v="11"/>
    <n v="54462"/>
    <n v="599082"/>
    <n v="599082"/>
  </r>
  <r>
    <n v="10760"/>
    <x v="289"/>
    <x v="6"/>
    <s v="East"/>
    <s v="Rahul"/>
    <n v="12"/>
    <n v="16295"/>
    <n v="195540"/>
    <n v="195540"/>
  </r>
  <r>
    <n v="10761"/>
    <x v="14"/>
    <x v="5"/>
    <s v="North"/>
    <s v="Amit"/>
    <n v="19"/>
    <n v="22041"/>
    <n v="418779"/>
    <n v="418779"/>
  </r>
  <r>
    <n v="10762"/>
    <x v="319"/>
    <x v="4"/>
    <s v="West"/>
    <s v="Priya"/>
    <n v="19"/>
    <n v="10947"/>
    <n v="207993"/>
    <n v="207993"/>
  </r>
  <r>
    <n v="10763"/>
    <x v="64"/>
    <x v="3"/>
    <s v="West"/>
    <s v="Amit"/>
    <n v="5"/>
    <n v="57971"/>
    <n v="289855"/>
    <n v="289855"/>
  </r>
  <r>
    <n v="10764"/>
    <x v="74"/>
    <x v="6"/>
    <s v="East"/>
    <s v="Amit"/>
    <n v="2"/>
    <n v="37917"/>
    <n v="75834"/>
    <n v="75834"/>
  </r>
  <r>
    <n v="10765"/>
    <x v="320"/>
    <x v="3"/>
    <s v="West"/>
    <s v="Suman"/>
    <n v="12"/>
    <n v="29482"/>
    <n v="353784"/>
    <n v="353784"/>
  </r>
  <r>
    <n v="10766"/>
    <x v="49"/>
    <x v="5"/>
    <s v="East"/>
    <s v="Rani"/>
    <n v="13"/>
    <n v="38315"/>
    <n v="498095"/>
    <n v="498095"/>
  </r>
  <r>
    <n v="10767"/>
    <x v="6"/>
    <x v="3"/>
    <s v="South"/>
    <s v="Rani"/>
    <n v="1"/>
    <n v="12018"/>
    <n v="12018"/>
    <n v="12018"/>
  </r>
  <r>
    <n v="10768"/>
    <x v="189"/>
    <x v="1"/>
    <s v="West"/>
    <s v="Priya"/>
    <n v="12"/>
    <n v="9369"/>
    <n v="112428"/>
    <n v="112428"/>
  </r>
  <r>
    <n v="10769"/>
    <x v="64"/>
    <x v="3"/>
    <s v="South"/>
    <s v="Rani"/>
    <n v="13"/>
    <n v="6071"/>
    <n v="78923"/>
    <n v="78923"/>
  </r>
  <r>
    <n v="10770"/>
    <x v="104"/>
    <x v="2"/>
    <s v="South"/>
    <s v="Rani"/>
    <n v="19"/>
    <n v="19862"/>
    <n v="377378"/>
    <n v="377378"/>
  </r>
  <r>
    <n v="10771"/>
    <x v="236"/>
    <x v="6"/>
    <s v="West"/>
    <s v="Amit"/>
    <n v="2"/>
    <n v="36884"/>
    <n v="73768"/>
    <n v="73768"/>
  </r>
  <r>
    <n v="10772"/>
    <x v="321"/>
    <x v="6"/>
    <s v="South"/>
    <s v="Rani"/>
    <n v="20"/>
    <n v="36091"/>
    <n v="721820"/>
    <n v="721820"/>
  </r>
  <r>
    <n v="10773"/>
    <x v="80"/>
    <x v="6"/>
    <s v="West"/>
    <s v="Suman"/>
    <n v="11"/>
    <n v="27570"/>
    <n v="303270"/>
    <n v="303270"/>
  </r>
  <r>
    <n v="10774"/>
    <x v="94"/>
    <x v="6"/>
    <s v="South"/>
    <s v="Anita"/>
    <n v="20"/>
    <n v="32896"/>
    <n v="657920"/>
    <n v="657920"/>
  </r>
  <r>
    <n v="10775"/>
    <x v="86"/>
    <x v="0"/>
    <s v="East"/>
    <s v="Suman"/>
    <n v="3"/>
    <n v="36593"/>
    <n v="109779"/>
    <n v="109779"/>
  </r>
  <r>
    <n v="10776"/>
    <x v="189"/>
    <x v="5"/>
    <s v="West"/>
    <s v="Rani"/>
    <n v="1"/>
    <n v="58675"/>
    <n v="58675"/>
    <n v="58675"/>
  </r>
  <r>
    <n v="10777"/>
    <x v="322"/>
    <x v="4"/>
    <s v="South"/>
    <s v="Anita"/>
    <n v="8"/>
    <n v="52079"/>
    <n v="416632"/>
    <n v="416632"/>
  </r>
  <r>
    <n v="10778"/>
    <x v="128"/>
    <x v="3"/>
    <s v="South"/>
    <s v="Suman"/>
    <n v="1"/>
    <n v="21710"/>
    <n v="21710"/>
    <n v="21710"/>
  </r>
  <r>
    <n v="10779"/>
    <x v="23"/>
    <x v="0"/>
    <s v="East"/>
    <s v="Amit"/>
    <n v="2"/>
    <n v="11619"/>
    <n v="23238"/>
    <n v="23238"/>
  </r>
  <r>
    <n v="10780"/>
    <x v="269"/>
    <x v="1"/>
    <s v="South"/>
    <s v="Priya"/>
    <n v="16"/>
    <n v="27874"/>
    <n v="445984"/>
    <n v="445984"/>
  </r>
  <r>
    <n v="10781"/>
    <x v="229"/>
    <x v="4"/>
    <s v="South"/>
    <s v="Rani"/>
    <n v="6"/>
    <n v="36650"/>
    <n v="219900"/>
    <n v="219900"/>
  </r>
  <r>
    <n v="10782"/>
    <x v="286"/>
    <x v="2"/>
    <s v="West"/>
    <s v="Priya"/>
    <n v="17"/>
    <n v="46218"/>
    <n v="785706"/>
    <n v="785706"/>
  </r>
  <r>
    <n v="10783"/>
    <x v="180"/>
    <x v="3"/>
    <s v="West"/>
    <s v="Suman"/>
    <n v="12"/>
    <n v="10834"/>
    <n v="130008"/>
    <n v="130008"/>
  </r>
  <r>
    <n v="10784"/>
    <x v="80"/>
    <x v="5"/>
    <s v="West"/>
    <s v="Rahul"/>
    <n v="12"/>
    <n v="12634"/>
    <n v="151608"/>
    <n v="151608"/>
  </r>
  <r>
    <n v="10785"/>
    <x v="19"/>
    <x v="0"/>
    <s v="South"/>
    <s v="Priya"/>
    <n v="14"/>
    <n v="27831"/>
    <n v="389634"/>
    <n v="389634"/>
  </r>
  <r>
    <n v="10786"/>
    <x v="259"/>
    <x v="6"/>
    <s v="North"/>
    <s v="Rani"/>
    <n v="4"/>
    <n v="2463"/>
    <n v="9852"/>
    <n v="9852"/>
  </r>
  <r>
    <n v="10787"/>
    <x v="242"/>
    <x v="5"/>
    <s v="South"/>
    <s v="Priya"/>
    <n v="15"/>
    <n v="22252"/>
    <n v="333780"/>
    <n v="333780"/>
  </r>
  <r>
    <n v="10788"/>
    <x v="313"/>
    <x v="4"/>
    <s v="North"/>
    <s v="Anita"/>
    <n v="20"/>
    <n v="53869"/>
    <n v="1077380"/>
    <n v="1077380"/>
  </r>
  <r>
    <n v="10789"/>
    <x v="227"/>
    <x v="0"/>
    <s v="South"/>
    <s v="Suman"/>
    <n v="4"/>
    <n v="35380"/>
    <n v="141520"/>
    <n v="141520"/>
  </r>
  <r>
    <n v="10790"/>
    <x v="64"/>
    <x v="0"/>
    <s v="East"/>
    <s v="Suman"/>
    <n v="2"/>
    <n v="28226"/>
    <n v="56452"/>
    <n v="56452"/>
  </r>
  <r>
    <n v="10791"/>
    <x v="226"/>
    <x v="2"/>
    <s v="South"/>
    <s v="Anita"/>
    <n v="5"/>
    <n v="32954"/>
    <n v="164770"/>
    <n v="164770"/>
  </r>
  <r>
    <n v="10792"/>
    <x v="42"/>
    <x v="4"/>
    <s v="South"/>
    <s v="Anita"/>
    <n v="19"/>
    <n v="47735"/>
    <n v="906965"/>
    <n v="906965"/>
  </r>
  <r>
    <n v="10793"/>
    <x v="266"/>
    <x v="0"/>
    <s v="South"/>
    <s v="Suman"/>
    <n v="1"/>
    <n v="36372"/>
    <n v="36372"/>
    <n v="36372"/>
  </r>
  <r>
    <n v="10794"/>
    <x v="111"/>
    <x v="5"/>
    <s v="East"/>
    <s v="Amit"/>
    <n v="10"/>
    <n v="10978"/>
    <n v="109780"/>
    <n v="109780"/>
  </r>
  <r>
    <n v="10795"/>
    <x v="323"/>
    <x v="3"/>
    <s v="North"/>
    <s v="Rahul"/>
    <n v="12"/>
    <n v="44086"/>
    <n v="529032"/>
    <n v="529032"/>
  </r>
  <r>
    <n v="10796"/>
    <x v="71"/>
    <x v="2"/>
    <s v="East"/>
    <s v="Anita"/>
    <n v="13"/>
    <n v="22969"/>
    <n v="298597"/>
    <n v="298597"/>
  </r>
  <r>
    <n v="10797"/>
    <x v="292"/>
    <x v="0"/>
    <s v="South"/>
    <s v="Rani"/>
    <n v="8"/>
    <n v="29116"/>
    <n v="232928"/>
    <n v="232928"/>
  </r>
  <r>
    <n v="10798"/>
    <x v="2"/>
    <x v="6"/>
    <s v="South"/>
    <s v="Amit"/>
    <n v="2"/>
    <n v="15593"/>
    <n v="31186"/>
    <n v="31186"/>
  </r>
  <r>
    <n v="10799"/>
    <x v="5"/>
    <x v="3"/>
    <s v="East"/>
    <s v="Rani"/>
    <n v="8"/>
    <n v="15337"/>
    <n v="122696"/>
    <n v="122696"/>
  </r>
  <r>
    <n v="10800"/>
    <x v="140"/>
    <x v="0"/>
    <s v="North"/>
    <s v="Amit"/>
    <n v="16"/>
    <n v="1030"/>
    <n v="16480"/>
    <n v="16480"/>
  </r>
  <r>
    <n v="10801"/>
    <x v="196"/>
    <x v="0"/>
    <s v="South"/>
    <s v="Suman"/>
    <n v="9"/>
    <n v="13984"/>
    <n v="125856"/>
    <n v="125856"/>
  </r>
  <r>
    <n v="10802"/>
    <x v="136"/>
    <x v="4"/>
    <s v="West"/>
    <s v="Anita"/>
    <n v="8"/>
    <n v="29181"/>
    <n v="233448"/>
    <n v="233448"/>
  </r>
  <r>
    <n v="10803"/>
    <x v="160"/>
    <x v="0"/>
    <s v="North"/>
    <s v="Rani"/>
    <n v="12"/>
    <n v="24036"/>
    <n v="288432"/>
    <n v="288432"/>
  </r>
  <r>
    <n v="10804"/>
    <x v="55"/>
    <x v="5"/>
    <s v="West"/>
    <s v="Rani"/>
    <n v="18"/>
    <n v="31442"/>
    <n v="565956"/>
    <n v="565956"/>
  </r>
  <r>
    <n v="10805"/>
    <x v="213"/>
    <x v="1"/>
    <s v="South"/>
    <s v="Suman"/>
    <n v="18"/>
    <n v="44589"/>
    <n v="802602"/>
    <n v="802602"/>
  </r>
  <r>
    <n v="10806"/>
    <x v="45"/>
    <x v="3"/>
    <s v="South"/>
    <s v="Rahul"/>
    <n v="9"/>
    <n v="27857"/>
    <n v="250713"/>
    <n v="250713"/>
  </r>
  <r>
    <n v="10807"/>
    <x v="294"/>
    <x v="0"/>
    <s v="West"/>
    <s v="Rani"/>
    <n v="7"/>
    <n v="23297"/>
    <n v="163079"/>
    <n v="163079"/>
  </r>
  <r>
    <n v="10808"/>
    <x v="137"/>
    <x v="1"/>
    <s v="South"/>
    <s v="Anita"/>
    <n v="11"/>
    <n v="23317"/>
    <n v="256487"/>
    <n v="256487"/>
  </r>
  <r>
    <n v="10809"/>
    <x v="324"/>
    <x v="3"/>
    <s v="East"/>
    <s v="Priya"/>
    <n v="13"/>
    <n v="2831"/>
    <n v="36803"/>
    <n v="36803"/>
  </r>
  <r>
    <n v="10810"/>
    <x v="219"/>
    <x v="1"/>
    <s v="East"/>
    <s v="Suman"/>
    <n v="3"/>
    <n v="43808"/>
    <n v="131424"/>
    <n v="131424"/>
  </r>
  <r>
    <n v="10811"/>
    <x v="178"/>
    <x v="6"/>
    <s v="West"/>
    <s v="Priya"/>
    <n v="3"/>
    <n v="25594"/>
    <n v="76782"/>
    <n v="76782"/>
  </r>
  <r>
    <n v="10812"/>
    <x v="325"/>
    <x v="2"/>
    <s v="North"/>
    <s v="Rahul"/>
    <n v="9"/>
    <n v="4145"/>
    <n v="37305"/>
    <n v="37305"/>
  </r>
  <r>
    <n v="10813"/>
    <x v="34"/>
    <x v="6"/>
    <s v="South"/>
    <s v="Anita"/>
    <n v="18"/>
    <n v="41819"/>
    <n v="752742"/>
    <n v="752742"/>
  </r>
  <r>
    <n v="10814"/>
    <x v="76"/>
    <x v="4"/>
    <s v="East"/>
    <s v="Priya"/>
    <n v="7"/>
    <n v="14543"/>
    <n v="101801"/>
    <n v="101801"/>
  </r>
  <r>
    <n v="10815"/>
    <x v="39"/>
    <x v="4"/>
    <s v="West"/>
    <s v="Suman"/>
    <n v="15"/>
    <n v="21079"/>
    <n v="316185"/>
    <n v="316185"/>
  </r>
  <r>
    <n v="10816"/>
    <x v="305"/>
    <x v="5"/>
    <s v="West"/>
    <s v="Amit"/>
    <n v="15"/>
    <n v="16489"/>
    <n v="247335"/>
    <n v="247335"/>
  </r>
  <r>
    <n v="10817"/>
    <x v="321"/>
    <x v="2"/>
    <s v="South"/>
    <s v="Anita"/>
    <n v="4"/>
    <n v="37826"/>
    <n v="151304"/>
    <n v="151304"/>
  </r>
  <r>
    <n v="10818"/>
    <x v="12"/>
    <x v="1"/>
    <s v="West"/>
    <s v="Rani"/>
    <n v="11"/>
    <n v="40924"/>
    <n v="450164"/>
    <n v="450164"/>
  </r>
  <r>
    <n v="10819"/>
    <x v="123"/>
    <x v="0"/>
    <s v="East"/>
    <s v="Anita"/>
    <n v="18"/>
    <n v="53394"/>
    <n v="961092"/>
    <n v="961092"/>
  </r>
  <r>
    <n v="10820"/>
    <x v="72"/>
    <x v="2"/>
    <s v="North"/>
    <s v="Priya"/>
    <n v="14"/>
    <n v="46318"/>
    <n v="648452"/>
    <n v="648452"/>
  </r>
  <r>
    <n v="10821"/>
    <x v="303"/>
    <x v="3"/>
    <s v="South"/>
    <s v="Amit"/>
    <n v="1"/>
    <n v="23619"/>
    <n v="23619"/>
    <n v="23619"/>
  </r>
  <r>
    <n v="10822"/>
    <x v="76"/>
    <x v="5"/>
    <s v="North"/>
    <s v="Rani"/>
    <n v="1"/>
    <n v="17229"/>
    <n v="17229"/>
    <n v="17229"/>
  </r>
  <r>
    <n v="10823"/>
    <x v="238"/>
    <x v="5"/>
    <s v="West"/>
    <s v="Rahul"/>
    <n v="15"/>
    <n v="19920"/>
    <n v="298800"/>
    <n v="298800"/>
  </r>
  <r>
    <n v="10824"/>
    <x v="154"/>
    <x v="5"/>
    <s v="East"/>
    <s v="Anita"/>
    <n v="2"/>
    <n v="33356"/>
    <n v="66712"/>
    <n v="66712"/>
  </r>
  <r>
    <n v="10825"/>
    <x v="308"/>
    <x v="3"/>
    <s v="North"/>
    <s v="Rani"/>
    <n v="9"/>
    <n v="1187"/>
    <n v="10683"/>
    <n v="10683"/>
  </r>
  <r>
    <n v="10826"/>
    <x v="316"/>
    <x v="2"/>
    <s v="South"/>
    <s v="Anita"/>
    <n v="10"/>
    <n v="7341"/>
    <n v="73410"/>
    <n v="73410"/>
  </r>
  <r>
    <n v="10827"/>
    <x v="78"/>
    <x v="6"/>
    <s v="West"/>
    <s v="Priya"/>
    <n v="12"/>
    <n v="1703"/>
    <n v="20436"/>
    <n v="20436"/>
  </r>
  <r>
    <n v="10828"/>
    <x v="230"/>
    <x v="0"/>
    <s v="West"/>
    <s v="Priya"/>
    <n v="9"/>
    <n v="47368"/>
    <n v="426312"/>
    <n v="426312"/>
  </r>
  <r>
    <n v="10829"/>
    <x v="187"/>
    <x v="3"/>
    <s v="West"/>
    <s v="Amit"/>
    <n v="19"/>
    <n v="18899"/>
    <n v="359081"/>
    <n v="359081"/>
  </r>
  <r>
    <n v="10830"/>
    <x v="287"/>
    <x v="4"/>
    <s v="South"/>
    <s v="Priya"/>
    <n v="9"/>
    <n v="5383"/>
    <n v="48447"/>
    <n v="48447"/>
  </r>
  <r>
    <n v="10831"/>
    <x v="326"/>
    <x v="0"/>
    <s v="North"/>
    <s v="Amit"/>
    <n v="16"/>
    <n v="34939"/>
    <n v="559024"/>
    <n v="559024"/>
  </r>
  <r>
    <n v="10832"/>
    <x v="307"/>
    <x v="6"/>
    <s v="West"/>
    <s v="Rani"/>
    <n v="18"/>
    <n v="45695"/>
    <n v="822510"/>
    <n v="822510"/>
  </r>
  <r>
    <n v="10833"/>
    <x v="267"/>
    <x v="0"/>
    <s v="North"/>
    <s v="Amit"/>
    <n v="18"/>
    <n v="13869"/>
    <n v="249642"/>
    <n v="249642"/>
  </r>
  <r>
    <n v="10834"/>
    <x v="86"/>
    <x v="1"/>
    <s v="South"/>
    <s v="Rani"/>
    <n v="13"/>
    <n v="8588"/>
    <n v="111644"/>
    <n v="111644"/>
  </r>
  <r>
    <n v="10835"/>
    <x v="65"/>
    <x v="2"/>
    <s v="South"/>
    <s v="Rani"/>
    <n v="15"/>
    <n v="28049"/>
    <n v="420735"/>
    <n v="420735"/>
  </r>
  <r>
    <n v="10836"/>
    <x v="154"/>
    <x v="5"/>
    <s v="South"/>
    <s v="Suman"/>
    <n v="18"/>
    <n v="39447"/>
    <n v="710046"/>
    <n v="710046"/>
  </r>
  <r>
    <n v="10837"/>
    <x v="17"/>
    <x v="4"/>
    <s v="West"/>
    <s v="Priya"/>
    <n v="13"/>
    <n v="52869"/>
    <n v="687297"/>
    <n v="687297"/>
  </r>
  <r>
    <n v="10838"/>
    <x v="158"/>
    <x v="4"/>
    <s v="West"/>
    <s v="Anita"/>
    <n v="3"/>
    <n v="58206"/>
    <n v="174618"/>
    <n v="174618"/>
  </r>
  <r>
    <n v="10839"/>
    <x v="327"/>
    <x v="3"/>
    <s v="East"/>
    <s v="Amit"/>
    <n v="8"/>
    <n v="43606"/>
    <n v="348848"/>
    <n v="348848"/>
  </r>
  <r>
    <n v="10840"/>
    <x v="97"/>
    <x v="6"/>
    <s v="West"/>
    <s v="Suman"/>
    <n v="19"/>
    <n v="58556"/>
    <n v="1112564"/>
    <n v="1112564"/>
  </r>
  <r>
    <n v="10841"/>
    <x v="252"/>
    <x v="2"/>
    <s v="East"/>
    <s v="Rahul"/>
    <n v="4"/>
    <n v="3704"/>
    <n v="14816"/>
    <n v="14816"/>
  </r>
  <r>
    <n v="10842"/>
    <x v="96"/>
    <x v="5"/>
    <s v="East"/>
    <s v="Rahul"/>
    <n v="7"/>
    <n v="46854"/>
    <n v="327978"/>
    <n v="327978"/>
  </r>
  <r>
    <n v="10843"/>
    <x v="325"/>
    <x v="0"/>
    <s v="South"/>
    <s v="Amit"/>
    <n v="15"/>
    <n v="38889"/>
    <n v="583335"/>
    <n v="583335"/>
  </r>
  <r>
    <n v="10844"/>
    <x v="129"/>
    <x v="6"/>
    <s v="North"/>
    <s v="Suman"/>
    <n v="9"/>
    <n v="29658"/>
    <n v="266922"/>
    <n v="266922"/>
  </r>
  <r>
    <n v="10845"/>
    <x v="150"/>
    <x v="0"/>
    <s v="East"/>
    <s v="Amit"/>
    <n v="8"/>
    <n v="47393"/>
    <n v="379144"/>
    <n v="379144"/>
  </r>
  <r>
    <n v="10846"/>
    <x v="39"/>
    <x v="1"/>
    <s v="North"/>
    <s v="Amit"/>
    <n v="4"/>
    <n v="58462"/>
    <n v="233848"/>
    <n v="233848"/>
  </r>
  <r>
    <n v="10847"/>
    <x v="257"/>
    <x v="1"/>
    <s v="North"/>
    <s v="Amit"/>
    <n v="1"/>
    <n v="21770"/>
    <n v="21770"/>
    <n v="21770"/>
  </r>
  <r>
    <n v="10848"/>
    <x v="235"/>
    <x v="6"/>
    <s v="North"/>
    <s v="Rani"/>
    <n v="2"/>
    <n v="32667"/>
    <n v="65334"/>
    <n v="65334"/>
  </r>
  <r>
    <n v="10849"/>
    <x v="99"/>
    <x v="5"/>
    <s v="West"/>
    <s v="Priya"/>
    <n v="16"/>
    <n v="40761"/>
    <n v="652176"/>
    <n v="652176"/>
  </r>
  <r>
    <n v="10850"/>
    <x v="328"/>
    <x v="6"/>
    <s v="East"/>
    <s v="Anita"/>
    <n v="13"/>
    <n v="16149"/>
    <n v="209937"/>
    <n v="209937"/>
  </r>
  <r>
    <n v="10851"/>
    <x v="189"/>
    <x v="6"/>
    <s v="West"/>
    <s v="Priya"/>
    <n v="5"/>
    <n v="5024"/>
    <n v="25120"/>
    <n v="25120"/>
  </r>
  <r>
    <n v="10852"/>
    <x v="69"/>
    <x v="3"/>
    <s v="East"/>
    <s v="Rahul"/>
    <n v="1"/>
    <n v="40778"/>
    <n v="40778"/>
    <n v="40778"/>
  </r>
  <r>
    <n v="10853"/>
    <x v="65"/>
    <x v="4"/>
    <s v="North"/>
    <s v="Amit"/>
    <n v="3"/>
    <n v="58810"/>
    <n v="176430"/>
    <n v="176430"/>
  </r>
  <r>
    <n v="10854"/>
    <x v="266"/>
    <x v="2"/>
    <s v="South"/>
    <s v="Suman"/>
    <n v="16"/>
    <n v="7278"/>
    <n v="116448"/>
    <n v="116448"/>
  </r>
  <r>
    <n v="10855"/>
    <x v="239"/>
    <x v="4"/>
    <s v="North"/>
    <s v="Suman"/>
    <n v="11"/>
    <n v="52103"/>
    <n v="573133"/>
    <n v="573133"/>
  </r>
  <r>
    <n v="10856"/>
    <x v="329"/>
    <x v="6"/>
    <s v="West"/>
    <s v="Priya"/>
    <n v="1"/>
    <n v="57988"/>
    <n v="57988"/>
    <n v="57988"/>
  </r>
  <r>
    <n v="10857"/>
    <x v="19"/>
    <x v="0"/>
    <s v="East"/>
    <s v="Rani"/>
    <n v="2"/>
    <n v="59838"/>
    <n v="119676"/>
    <n v="119676"/>
  </r>
  <r>
    <n v="10858"/>
    <x v="234"/>
    <x v="4"/>
    <s v="South"/>
    <s v="Amit"/>
    <n v="3"/>
    <n v="6782"/>
    <n v="20346"/>
    <n v="20346"/>
  </r>
  <r>
    <n v="10859"/>
    <x v="330"/>
    <x v="1"/>
    <s v="West"/>
    <s v="Rani"/>
    <n v="4"/>
    <n v="24236"/>
    <n v="96944"/>
    <n v="96944"/>
  </r>
  <r>
    <n v="10860"/>
    <x v="209"/>
    <x v="2"/>
    <s v="South"/>
    <s v="Priya"/>
    <n v="10"/>
    <n v="11152"/>
    <n v="111520"/>
    <n v="111520"/>
  </r>
  <r>
    <n v="10861"/>
    <x v="301"/>
    <x v="1"/>
    <s v="South"/>
    <s v="Rani"/>
    <n v="12"/>
    <n v="44897"/>
    <n v="538764"/>
    <n v="538764"/>
  </r>
  <r>
    <n v="10862"/>
    <x v="14"/>
    <x v="2"/>
    <s v="West"/>
    <s v="Priya"/>
    <n v="8"/>
    <n v="12855"/>
    <n v="102840"/>
    <n v="102840"/>
  </r>
  <r>
    <n v="10863"/>
    <x v="262"/>
    <x v="0"/>
    <s v="North"/>
    <s v="Rani"/>
    <n v="18"/>
    <n v="1685"/>
    <n v="30330"/>
    <n v="30330"/>
  </r>
  <r>
    <n v="10864"/>
    <x v="79"/>
    <x v="4"/>
    <s v="South"/>
    <s v="Priya"/>
    <n v="11"/>
    <n v="18064"/>
    <n v="198704"/>
    <n v="198704"/>
  </r>
  <r>
    <n v="10865"/>
    <x v="25"/>
    <x v="0"/>
    <s v="East"/>
    <s v="Rani"/>
    <n v="19"/>
    <n v="29130"/>
    <n v="553470"/>
    <n v="553470"/>
  </r>
  <r>
    <n v="10866"/>
    <x v="123"/>
    <x v="4"/>
    <s v="North"/>
    <s v="Suman"/>
    <n v="8"/>
    <n v="21539"/>
    <n v="172312"/>
    <n v="172312"/>
  </r>
  <r>
    <n v="10867"/>
    <x v="22"/>
    <x v="3"/>
    <s v="West"/>
    <s v="Rahul"/>
    <n v="6"/>
    <n v="40326"/>
    <n v="241956"/>
    <n v="241956"/>
  </r>
  <r>
    <n v="10868"/>
    <x v="167"/>
    <x v="4"/>
    <s v="North"/>
    <s v="Priya"/>
    <n v="4"/>
    <n v="51700"/>
    <n v="206800"/>
    <n v="206800"/>
  </r>
  <r>
    <n v="10869"/>
    <x v="135"/>
    <x v="5"/>
    <s v="North"/>
    <s v="Rani"/>
    <n v="11"/>
    <n v="34501"/>
    <n v="379511"/>
    <n v="379511"/>
  </r>
  <r>
    <n v="10870"/>
    <x v="331"/>
    <x v="1"/>
    <s v="South"/>
    <s v="Priya"/>
    <n v="4"/>
    <n v="47341"/>
    <n v="189364"/>
    <n v="189364"/>
  </r>
  <r>
    <n v="10871"/>
    <x v="332"/>
    <x v="6"/>
    <s v="South"/>
    <s v="Amit"/>
    <n v="9"/>
    <n v="16299"/>
    <n v="146691"/>
    <n v="146691"/>
  </r>
  <r>
    <n v="10872"/>
    <x v="165"/>
    <x v="5"/>
    <s v="North"/>
    <s v="Amit"/>
    <n v="17"/>
    <n v="3095"/>
    <n v="52615"/>
    <n v="52615"/>
  </r>
  <r>
    <n v="10873"/>
    <x v="70"/>
    <x v="4"/>
    <s v="North"/>
    <s v="Suman"/>
    <n v="10"/>
    <n v="7918"/>
    <n v="79180"/>
    <n v="79180"/>
  </r>
  <r>
    <n v="10874"/>
    <x v="164"/>
    <x v="0"/>
    <s v="East"/>
    <s v="Suman"/>
    <n v="3"/>
    <n v="7116"/>
    <n v="21348"/>
    <n v="21348"/>
  </r>
  <r>
    <n v="10875"/>
    <x v="333"/>
    <x v="5"/>
    <s v="North"/>
    <s v="Priya"/>
    <n v="20"/>
    <n v="10688"/>
    <n v="213760"/>
    <n v="213760"/>
  </r>
  <r>
    <n v="10876"/>
    <x v="61"/>
    <x v="6"/>
    <s v="North"/>
    <s v="Rani"/>
    <n v="3"/>
    <n v="20552"/>
    <n v="61656"/>
    <n v="61656"/>
  </r>
  <r>
    <n v="10877"/>
    <x v="316"/>
    <x v="4"/>
    <s v="East"/>
    <s v="Rani"/>
    <n v="3"/>
    <n v="54610"/>
    <n v="163830"/>
    <n v="163830"/>
  </r>
  <r>
    <n v="10878"/>
    <x v="125"/>
    <x v="4"/>
    <s v="North"/>
    <s v="Suman"/>
    <n v="9"/>
    <n v="53656"/>
    <n v="482904"/>
    <n v="482904"/>
  </r>
  <r>
    <n v="10879"/>
    <x v="176"/>
    <x v="1"/>
    <s v="South"/>
    <s v="Priya"/>
    <n v="10"/>
    <n v="39086"/>
    <n v="390860"/>
    <n v="390860"/>
  </r>
  <r>
    <n v="10880"/>
    <x v="245"/>
    <x v="6"/>
    <s v="East"/>
    <s v="Rahul"/>
    <n v="7"/>
    <n v="31231"/>
    <n v="218617"/>
    <n v="218617"/>
  </r>
  <r>
    <n v="10881"/>
    <x v="117"/>
    <x v="3"/>
    <s v="West"/>
    <s v="Rahul"/>
    <n v="18"/>
    <n v="29706"/>
    <n v="534708"/>
    <n v="534708"/>
  </r>
  <r>
    <n v="10882"/>
    <x v="196"/>
    <x v="5"/>
    <s v="South"/>
    <s v="Suman"/>
    <n v="7"/>
    <n v="16719"/>
    <n v="117033"/>
    <n v="117033"/>
  </r>
  <r>
    <n v="10883"/>
    <x v="109"/>
    <x v="4"/>
    <s v="North"/>
    <s v="Amit"/>
    <n v="19"/>
    <n v="54097"/>
    <n v="1027843"/>
    <n v="1027843"/>
  </r>
  <r>
    <n v="10884"/>
    <x v="34"/>
    <x v="0"/>
    <s v="West"/>
    <s v="Priya"/>
    <n v="10"/>
    <n v="29131"/>
    <n v="291310"/>
    <n v="291310"/>
  </r>
  <r>
    <n v="10885"/>
    <x v="334"/>
    <x v="3"/>
    <s v="West"/>
    <s v="Suman"/>
    <n v="13"/>
    <n v="17480"/>
    <n v="227240"/>
    <n v="227240"/>
  </r>
  <r>
    <n v="10886"/>
    <x v="234"/>
    <x v="1"/>
    <s v="West"/>
    <s v="Suman"/>
    <n v="17"/>
    <n v="23659"/>
    <n v="402203"/>
    <n v="402203"/>
  </r>
  <r>
    <n v="10887"/>
    <x v="195"/>
    <x v="2"/>
    <s v="North"/>
    <s v="Suman"/>
    <n v="16"/>
    <n v="53694"/>
    <n v="859104"/>
    <n v="859104"/>
  </r>
  <r>
    <n v="10888"/>
    <x v="269"/>
    <x v="0"/>
    <s v="North"/>
    <s v="Suman"/>
    <n v="10"/>
    <n v="50902"/>
    <n v="509020"/>
    <n v="509020"/>
  </r>
  <r>
    <n v="10889"/>
    <x v="169"/>
    <x v="5"/>
    <s v="South"/>
    <s v="Suman"/>
    <n v="20"/>
    <n v="31893"/>
    <n v="637860"/>
    <n v="637860"/>
  </r>
  <r>
    <n v="10890"/>
    <x v="305"/>
    <x v="0"/>
    <s v="South"/>
    <s v="Rahul"/>
    <n v="20"/>
    <n v="29228"/>
    <n v="584560"/>
    <n v="584560"/>
  </r>
  <r>
    <n v="10891"/>
    <x v="213"/>
    <x v="1"/>
    <s v="South"/>
    <s v="Rahul"/>
    <n v="3"/>
    <n v="25690"/>
    <n v="77070"/>
    <n v="77070"/>
  </r>
  <r>
    <n v="10892"/>
    <x v="30"/>
    <x v="5"/>
    <s v="East"/>
    <s v="Priya"/>
    <n v="17"/>
    <n v="12944"/>
    <n v="220048"/>
    <n v="220048"/>
  </r>
  <r>
    <n v="10893"/>
    <x v="218"/>
    <x v="5"/>
    <s v="South"/>
    <s v="Rani"/>
    <n v="5"/>
    <n v="26971"/>
    <n v="134855"/>
    <n v="134855"/>
  </r>
  <r>
    <n v="10894"/>
    <x v="312"/>
    <x v="6"/>
    <s v="West"/>
    <s v="Rahul"/>
    <n v="9"/>
    <n v="45199"/>
    <n v="406791"/>
    <n v="406791"/>
  </r>
  <r>
    <n v="10895"/>
    <x v="117"/>
    <x v="6"/>
    <s v="South"/>
    <s v="Priya"/>
    <n v="9"/>
    <n v="12787"/>
    <n v="115083"/>
    <n v="115083"/>
  </r>
  <r>
    <n v="10896"/>
    <x v="263"/>
    <x v="1"/>
    <s v="North"/>
    <s v="Priya"/>
    <n v="4"/>
    <n v="5655"/>
    <n v="22620"/>
    <n v="22620"/>
  </r>
  <r>
    <n v="10897"/>
    <x v="294"/>
    <x v="6"/>
    <s v="South"/>
    <s v="Priya"/>
    <n v="3"/>
    <n v="39244"/>
    <n v="117732"/>
    <n v="117732"/>
  </r>
  <r>
    <n v="10898"/>
    <x v="119"/>
    <x v="4"/>
    <s v="North"/>
    <s v="Priya"/>
    <n v="11"/>
    <n v="7017"/>
    <n v="77187"/>
    <n v="77187"/>
  </r>
  <r>
    <n v="10899"/>
    <x v="171"/>
    <x v="5"/>
    <s v="South"/>
    <s v="Rani"/>
    <n v="2"/>
    <n v="11607"/>
    <n v="23214"/>
    <n v="23214"/>
  </r>
  <r>
    <n v="10900"/>
    <x v="251"/>
    <x v="5"/>
    <s v="East"/>
    <s v="Rani"/>
    <n v="3"/>
    <n v="48515"/>
    <n v="145545"/>
    <n v="145545"/>
  </r>
  <r>
    <n v="10901"/>
    <x v="169"/>
    <x v="0"/>
    <s v="South"/>
    <s v="Amit"/>
    <n v="15"/>
    <n v="33784"/>
    <n v="506760"/>
    <n v="506760"/>
  </r>
  <r>
    <n v="10902"/>
    <x v="237"/>
    <x v="5"/>
    <s v="North"/>
    <s v="Amit"/>
    <n v="6"/>
    <n v="55773"/>
    <n v="334638"/>
    <n v="334638"/>
  </r>
  <r>
    <n v="10903"/>
    <x v="131"/>
    <x v="1"/>
    <s v="South"/>
    <s v="Priya"/>
    <n v="8"/>
    <n v="20427"/>
    <n v="163416"/>
    <n v="163416"/>
  </r>
  <r>
    <n v="10904"/>
    <x v="204"/>
    <x v="2"/>
    <s v="North"/>
    <s v="Rahul"/>
    <n v="1"/>
    <n v="53510"/>
    <n v="53510"/>
    <n v="53510"/>
  </r>
  <r>
    <n v="10905"/>
    <x v="20"/>
    <x v="4"/>
    <s v="South"/>
    <s v="Anita"/>
    <n v="10"/>
    <n v="26525"/>
    <n v="265250"/>
    <n v="265250"/>
  </r>
  <r>
    <n v="10906"/>
    <x v="244"/>
    <x v="5"/>
    <s v="East"/>
    <s v="Rahul"/>
    <n v="15"/>
    <n v="52667"/>
    <n v="790005"/>
    <n v="790005"/>
  </r>
  <r>
    <n v="10907"/>
    <x v="64"/>
    <x v="1"/>
    <s v="North"/>
    <s v="Suman"/>
    <n v="13"/>
    <n v="57051"/>
    <n v="741663"/>
    <n v="741663"/>
  </r>
  <r>
    <n v="10908"/>
    <x v="61"/>
    <x v="3"/>
    <s v="East"/>
    <s v="Amit"/>
    <n v="17"/>
    <n v="58580"/>
    <n v="995860"/>
    <n v="995860"/>
  </r>
  <r>
    <n v="10909"/>
    <x v="220"/>
    <x v="2"/>
    <s v="East"/>
    <s v="Amit"/>
    <n v="6"/>
    <n v="1810"/>
    <n v="10860"/>
    <n v="10860"/>
  </r>
  <r>
    <n v="10910"/>
    <x v="215"/>
    <x v="6"/>
    <s v="East"/>
    <s v="Rani"/>
    <n v="8"/>
    <n v="2591"/>
    <n v="20728"/>
    <n v="20728"/>
  </r>
  <r>
    <n v="10911"/>
    <x v="195"/>
    <x v="2"/>
    <s v="North"/>
    <s v="Rani"/>
    <n v="15"/>
    <n v="627"/>
    <n v="9405"/>
    <n v="9405"/>
  </r>
  <r>
    <n v="10912"/>
    <x v="245"/>
    <x v="4"/>
    <s v="East"/>
    <s v="Rani"/>
    <n v="4"/>
    <n v="14143"/>
    <n v="56572"/>
    <n v="56572"/>
  </r>
  <r>
    <n v="10913"/>
    <x v="334"/>
    <x v="0"/>
    <s v="West"/>
    <s v="Amit"/>
    <n v="11"/>
    <n v="56397"/>
    <n v="620367"/>
    <n v="620367"/>
  </r>
  <r>
    <n v="10914"/>
    <x v="260"/>
    <x v="2"/>
    <s v="West"/>
    <s v="Amit"/>
    <n v="1"/>
    <n v="59716"/>
    <n v="59716"/>
    <n v="59716"/>
  </r>
  <r>
    <n v="10915"/>
    <x v="68"/>
    <x v="3"/>
    <s v="East"/>
    <s v="Rahul"/>
    <n v="10"/>
    <n v="48538"/>
    <n v="485380"/>
    <n v="485380"/>
  </r>
  <r>
    <n v="10916"/>
    <x v="198"/>
    <x v="2"/>
    <s v="East"/>
    <s v="Rani"/>
    <n v="11"/>
    <n v="45873"/>
    <n v="504603"/>
    <n v="504603"/>
  </r>
  <r>
    <n v="10917"/>
    <x v="144"/>
    <x v="4"/>
    <s v="North"/>
    <s v="Priya"/>
    <n v="16"/>
    <n v="38948"/>
    <n v="623168"/>
    <n v="623168"/>
  </r>
  <r>
    <n v="10918"/>
    <x v="69"/>
    <x v="2"/>
    <s v="South"/>
    <s v="Rahul"/>
    <n v="20"/>
    <n v="6181"/>
    <n v="123620"/>
    <n v="123620"/>
  </r>
  <r>
    <n v="10919"/>
    <x v="153"/>
    <x v="2"/>
    <s v="East"/>
    <s v="Amit"/>
    <n v="11"/>
    <n v="39223"/>
    <n v="431453"/>
    <n v="431453"/>
  </r>
  <r>
    <n v="10920"/>
    <x v="195"/>
    <x v="1"/>
    <s v="South"/>
    <s v="Anita"/>
    <n v="1"/>
    <n v="22381"/>
    <n v="22381"/>
    <n v="22381"/>
  </r>
  <r>
    <n v="10921"/>
    <x v="112"/>
    <x v="3"/>
    <s v="East"/>
    <s v="Priya"/>
    <n v="16"/>
    <n v="16615"/>
    <n v="265840"/>
    <n v="265840"/>
  </r>
  <r>
    <n v="10922"/>
    <x v="335"/>
    <x v="0"/>
    <s v="West"/>
    <s v="Rahul"/>
    <n v="3"/>
    <n v="42107"/>
    <n v="126321"/>
    <n v="126321"/>
  </r>
  <r>
    <n v="10923"/>
    <x v="196"/>
    <x v="4"/>
    <s v="East"/>
    <s v="Suman"/>
    <n v="17"/>
    <n v="15538"/>
    <n v="264146"/>
    <n v="264146"/>
  </r>
  <r>
    <n v="10924"/>
    <x v="29"/>
    <x v="6"/>
    <s v="West"/>
    <s v="Amit"/>
    <n v="15"/>
    <n v="27336"/>
    <n v="410040"/>
    <n v="410040"/>
  </r>
  <r>
    <n v="10925"/>
    <x v="261"/>
    <x v="4"/>
    <s v="South"/>
    <s v="Anita"/>
    <n v="5"/>
    <n v="37520"/>
    <n v="187600"/>
    <n v="187600"/>
  </r>
  <r>
    <n v="10926"/>
    <x v="11"/>
    <x v="1"/>
    <s v="West"/>
    <s v="Rani"/>
    <n v="4"/>
    <n v="56587"/>
    <n v="226348"/>
    <n v="226348"/>
  </r>
  <r>
    <n v="10927"/>
    <x v="53"/>
    <x v="5"/>
    <s v="North"/>
    <s v="Amit"/>
    <n v="9"/>
    <n v="39781"/>
    <n v="358029"/>
    <n v="358029"/>
  </r>
  <r>
    <n v="10928"/>
    <x v="110"/>
    <x v="4"/>
    <s v="West"/>
    <s v="Suman"/>
    <n v="16"/>
    <n v="35048"/>
    <n v="560768"/>
    <n v="560768"/>
  </r>
  <r>
    <n v="10929"/>
    <x v="235"/>
    <x v="1"/>
    <s v="South"/>
    <s v="Anita"/>
    <n v="1"/>
    <n v="9437"/>
    <n v="9437"/>
    <n v="9437"/>
  </r>
  <r>
    <n v="10930"/>
    <x v="23"/>
    <x v="3"/>
    <s v="East"/>
    <s v="Amit"/>
    <n v="17"/>
    <n v="34403"/>
    <n v="584851"/>
    <n v="584851"/>
  </r>
  <r>
    <n v="10931"/>
    <x v="314"/>
    <x v="4"/>
    <s v="South"/>
    <s v="Priya"/>
    <n v="9"/>
    <n v="18580"/>
    <n v="167220"/>
    <n v="167220"/>
  </r>
  <r>
    <n v="10932"/>
    <x v="264"/>
    <x v="3"/>
    <s v="West"/>
    <s v="Rani"/>
    <n v="11"/>
    <n v="12226"/>
    <n v="134486"/>
    <n v="134486"/>
  </r>
  <r>
    <n v="10933"/>
    <x v="188"/>
    <x v="1"/>
    <s v="West"/>
    <s v="Priya"/>
    <n v="10"/>
    <n v="24101"/>
    <n v="241010"/>
    <n v="241010"/>
  </r>
  <r>
    <n v="10934"/>
    <x v="135"/>
    <x v="0"/>
    <s v="North"/>
    <s v="Anita"/>
    <n v="7"/>
    <n v="47081"/>
    <n v="329567"/>
    <n v="329567"/>
  </r>
  <r>
    <n v="10935"/>
    <x v="173"/>
    <x v="3"/>
    <s v="South"/>
    <s v="Anita"/>
    <n v="10"/>
    <n v="59083"/>
    <n v="590830"/>
    <n v="590830"/>
  </r>
  <r>
    <n v="10936"/>
    <x v="252"/>
    <x v="5"/>
    <s v="South"/>
    <s v="Priya"/>
    <n v="3"/>
    <n v="44434"/>
    <n v="133302"/>
    <n v="133302"/>
  </r>
  <r>
    <n v="10937"/>
    <x v="184"/>
    <x v="6"/>
    <s v="South"/>
    <s v="Rani"/>
    <n v="15"/>
    <n v="2242"/>
    <n v="33630"/>
    <n v="33630"/>
  </r>
  <r>
    <n v="10938"/>
    <x v="127"/>
    <x v="1"/>
    <s v="North"/>
    <s v="Anita"/>
    <n v="11"/>
    <n v="20979"/>
    <n v="230769"/>
    <n v="230769"/>
  </r>
  <r>
    <n v="10939"/>
    <x v="40"/>
    <x v="5"/>
    <s v="West"/>
    <s v="Rahul"/>
    <n v="6"/>
    <n v="28431"/>
    <n v="170586"/>
    <n v="170586"/>
  </r>
  <r>
    <n v="10940"/>
    <x v="198"/>
    <x v="5"/>
    <s v="South"/>
    <s v="Rahul"/>
    <n v="4"/>
    <n v="53132"/>
    <n v="212528"/>
    <n v="212528"/>
  </r>
  <r>
    <n v="10941"/>
    <x v="129"/>
    <x v="3"/>
    <s v="East"/>
    <s v="Rahul"/>
    <n v="2"/>
    <n v="22558"/>
    <n v="45116"/>
    <n v="45116"/>
  </r>
  <r>
    <n v="10942"/>
    <x v="149"/>
    <x v="4"/>
    <s v="East"/>
    <s v="Rani"/>
    <n v="6"/>
    <n v="50550"/>
    <n v="303300"/>
    <n v="303300"/>
  </r>
  <r>
    <n v="10943"/>
    <x v="77"/>
    <x v="4"/>
    <s v="East"/>
    <s v="Amit"/>
    <n v="4"/>
    <n v="12521"/>
    <n v="50084"/>
    <n v="50084"/>
  </r>
  <r>
    <n v="10944"/>
    <x v="55"/>
    <x v="1"/>
    <s v="South"/>
    <s v="Rani"/>
    <n v="9"/>
    <n v="59103"/>
    <n v="531927"/>
    <n v="531927"/>
  </r>
  <r>
    <n v="10945"/>
    <x v="94"/>
    <x v="4"/>
    <s v="North"/>
    <s v="Rahul"/>
    <n v="11"/>
    <n v="513"/>
    <n v="5643"/>
    <n v="5643"/>
  </r>
  <r>
    <n v="10946"/>
    <x v="138"/>
    <x v="1"/>
    <s v="North"/>
    <s v="Priya"/>
    <n v="10"/>
    <n v="29658"/>
    <n v="296580"/>
    <n v="296580"/>
  </r>
  <r>
    <n v="10947"/>
    <x v="203"/>
    <x v="1"/>
    <s v="West"/>
    <s v="Rani"/>
    <n v="13"/>
    <n v="27190"/>
    <n v="353470"/>
    <n v="353470"/>
  </r>
  <r>
    <n v="10948"/>
    <x v="95"/>
    <x v="6"/>
    <s v="West"/>
    <s v="Amit"/>
    <n v="20"/>
    <n v="27255"/>
    <n v="545100"/>
    <n v="545100"/>
  </r>
  <r>
    <n v="10949"/>
    <x v="334"/>
    <x v="2"/>
    <s v="South"/>
    <s v="Anita"/>
    <n v="11"/>
    <n v="54761"/>
    <n v="602371"/>
    <n v="602371"/>
  </r>
  <r>
    <n v="10950"/>
    <x v="76"/>
    <x v="4"/>
    <s v="South"/>
    <s v="Rani"/>
    <n v="17"/>
    <n v="40898"/>
    <n v="695266"/>
    <n v="695266"/>
  </r>
  <r>
    <n v="10951"/>
    <x v="256"/>
    <x v="1"/>
    <s v="West"/>
    <s v="Suman"/>
    <n v="6"/>
    <n v="14299"/>
    <n v="85794"/>
    <n v="85794"/>
  </r>
  <r>
    <n v="10952"/>
    <x v="286"/>
    <x v="2"/>
    <s v="West"/>
    <s v="Suman"/>
    <n v="9"/>
    <n v="46221"/>
    <n v="415989"/>
    <n v="415989"/>
  </r>
  <r>
    <n v="10953"/>
    <x v="336"/>
    <x v="0"/>
    <s v="North"/>
    <s v="Rahul"/>
    <n v="8"/>
    <n v="47974"/>
    <n v="383792"/>
    <n v="383792"/>
  </r>
  <r>
    <n v="10954"/>
    <x v="239"/>
    <x v="5"/>
    <s v="South"/>
    <s v="Rahul"/>
    <n v="11"/>
    <n v="39856"/>
    <n v="438416"/>
    <n v="438416"/>
  </r>
  <r>
    <n v="10955"/>
    <x v="214"/>
    <x v="1"/>
    <s v="East"/>
    <s v="Amit"/>
    <n v="4"/>
    <n v="24501"/>
    <n v="98004"/>
    <n v="98004"/>
  </r>
  <r>
    <n v="10956"/>
    <x v="254"/>
    <x v="6"/>
    <s v="West"/>
    <s v="Priya"/>
    <n v="4"/>
    <n v="47025"/>
    <n v="188100"/>
    <n v="188100"/>
  </r>
  <r>
    <n v="10957"/>
    <x v="297"/>
    <x v="0"/>
    <s v="East"/>
    <s v="Amit"/>
    <n v="9"/>
    <n v="10985"/>
    <n v="98865"/>
    <n v="98865"/>
  </r>
  <r>
    <n v="10958"/>
    <x v="83"/>
    <x v="1"/>
    <s v="South"/>
    <s v="Rahul"/>
    <n v="6"/>
    <n v="50645"/>
    <n v="303870"/>
    <n v="303870"/>
  </r>
  <r>
    <n v="10959"/>
    <x v="289"/>
    <x v="4"/>
    <s v="East"/>
    <s v="Amit"/>
    <n v="5"/>
    <n v="8995"/>
    <n v="44975"/>
    <n v="44975"/>
  </r>
  <r>
    <n v="10960"/>
    <x v="86"/>
    <x v="3"/>
    <s v="South"/>
    <s v="Rani"/>
    <n v="3"/>
    <n v="44728"/>
    <n v="134184"/>
    <n v="134184"/>
  </r>
  <r>
    <n v="10961"/>
    <x v="192"/>
    <x v="3"/>
    <s v="East"/>
    <s v="Amit"/>
    <n v="5"/>
    <n v="52005"/>
    <n v="260025"/>
    <n v="260025"/>
  </r>
  <r>
    <n v="10962"/>
    <x v="67"/>
    <x v="6"/>
    <s v="West"/>
    <s v="Anita"/>
    <n v="15"/>
    <n v="13619"/>
    <n v="204285"/>
    <n v="204285"/>
  </r>
  <r>
    <n v="10963"/>
    <x v="207"/>
    <x v="2"/>
    <s v="North"/>
    <s v="Rani"/>
    <n v="6"/>
    <n v="5068"/>
    <n v="30408"/>
    <n v="30408"/>
  </r>
  <r>
    <n v="10964"/>
    <x v="136"/>
    <x v="0"/>
    <s v="South"/>
    <s v="Rani"/>
    <n v="10"/>
    <n v="17523"/>
    <n v="175230"/>
    <n v="175230"/>
  </r>
  <r>
    <n v="10965"/>
    <x v="82"/>
    <x v="0"/>
    <s v="South"/>
    <s v="Rahul"/>
    <n v="17"/>
    <n v="29985"/>
    <n v="509745"/>
    <n v="509745"/>
  </r>
  <r>
    <n v="10966"/>
    <x v="7"/>
    <x v="0"/>
    <s v="West"/>
    <s v="Suman"/>
    <n v="10"/>
    <n v="30257"/>
    <n v="302570"/>
    <n v="302570"/>
  </r>
  <r>
    <n v="10967"/>
    <x v="111"/>
    <x v="3"/>
    <s v="South"/>
    <s v="Rahul"/>
    <n v="10"/>
    <n v="52450"/>
    <n v="524500"/>
    <n v="524500"/>
  </r>
  <r>
    <n v="10968"/>
    <x v="305"/>
    <x v="2"/>
    <s v="East"/>
    <s v="Suman"/>
    <n v="8"/>
    <n v="46665"/>
    <n v="373320"/>
    <n v="373320"/>
  </r>
  <r>
    <n v="10969"/>
    <x v="267"/>
    <x v="0"/>
    <s v="North"/>
    <s v="Priya"/>
    <n v="7"/>
    <n v="56320"/>
    <n v="394240"/>
    <n v="394240"/>
  </r>
  <r>
    <n v="10970"/>
    <x v="144"/>
    <x v="4"/>
    <s v="West"/>
    <s v="Rahul"/>
    <n v="12"/>
    <n v="19345"/>
    <n v="232140"/>
    <n v="232140"/>
  </r>
  <r>
    <n v="10971"/>
    <x v="37"/>
    <x v="2"/>
    <s v="East"/>
    <s v="Rahul"/>
    <n v="5"/>
    <n v="58810"/>
    <n v="294050"/>
    <n v="294050"/>
  </r>
  <r>
    <n v="10972"/>
    <x v="258"/>
    <x v="5"/>
    <s v="North"/>
    <s v="Suman"/>
    <n v="1"/>
    <n v="47172"/>
    <n v="47172"/>
    <n v="47172"/>
  </r>
  <r>
    <n v="10973"/>
    <x v="86"/>
    <x v="1"/>
    <s v="West"/>
    <s v="Suman"/>
    <n v="7"/>
    <n v="2885"/>
    <n v="20195"/>
    <n v="20195"/>
  </r>
  <r>
    <n v="10974"/>
    <x v="68"/>
    <x v="3"/>
    <s v="East"/>
    <s v="Anita"/>
    <n v="9"/>
    <n v="10030"/>
    <n v="90270"/>
    <n v="90270"/>
  </r>
  <r>
    <n v="10975"/>
    <x v="288"/>
    <x v="6"/>
    <s v="North"/>
    <s v="Priya"/>
    <n v="7"/>
    <n v="23522"/>
    <n v="164654"/>
    <n v="164654"/>
  </r>
  <r>
    <n v="10976"/>
    <x v="261"/>
    <x v="3"/>
    <s v="North"/>
    <s v="Amit"/>
    <n v="1"/>
    <n v="8659"/>
    <n v="8659"/>
    <n v="8659"/>
  </r>
  <r>
    <n v="10977"/>
    <x v="4"/>
    <x v="2"/>
    <s v="East"/>
    <s v="Anita"/>
    <n v="12"/>
    <n v="23358"/>
    <n v="280296"/>
    <n v="280296"/>
  </r>
  <r>
    <n v="10978"/>
    <x v="169"/>
    <x v="1"/>
    <s v="South"/>
    <s v="Priya"/>
    <n v="12"/>
    <n v="3383"/>
    <n v="40596"/>
    <n v="40596"/>
  </r>
  <r>
    <n v="10979"/>
    <x v="212"/>
    <x v="2"/>
    <s v="South"/>
    <s v="Suman"/>
    <n v="10"/>
    <n v="42981"/>
    <n v="429810"/>
    <n v="429810"/>
  </r>
  <r>
    <n v="10980"/>
    <x v="169"/>
    <x v="3"/>
    <s v="East"/>
    <s v="Rahul"/>
    <n v="16"/>
    <n v="36117"/>
    <n v="577872"/>
    <n v="577872"/>
  </r>
  <r>
    <n v="10981"/>
    <x v="121"/>
    <x v="1"/>
    <s v="South"/>
    <s v="Rahul"/>
    <n v="5"/>
    <n v="10223"/>
    <n v="51115"/>
    <n v="51115"/>
  </r>
  <r>
    <n v="10982"/>
    <x v="219"/>
    <x v="4"/>
    <s v="West"/>
    <s v="Anita"/>
    <n v="1"/>
    <n v="52780"/>
    <n v="52780"/>
    <n v="52780"/>
  </r>
  <r>
    <n v="10983"/>
    <x v="85"/>
    <x v="4"/>
    <s v="North"/>
    <s v="Suman"/>
    <n v="4"/>
    <n v="39578"/>
    <n v="158312"/>
    <n v="158312"/>
  </r>
  <r>
    <n v="10984"/>
    <x v="314"/>
    <x v="4"/>
    <s v="North"/>
    <s v="Rahul"/>
    <n v="1"/>
    <n v="44342"/>
    <n v="44342"/>
    <n v="44342"/>
  </r>
  <r>
    <n v="10985"/>
    <x v="142"/>
    <x v="0"/>
    <s v="South"/>
    <s v="Priya"/>
    <n v="11"/>
    <n v="3575"/>
    <n v="39325"/>
    <n v="39325"/>
  </r>
  <r>
    <n v="10986"/>
    <x v="256"/>
    <x v="1"/>
    <s v="North"/>
    <s v="Suman"/>
    <n v="16"/>
    <n v="5648"/>
    <n v="90368"/>
    <n v="90368"/>
  </r>
  <r>
    <n v="10987"/>
    <x v="292"/>
    <x v="1"/>
    <s v="East"/>
    <s v="Anita"/>
    <n v="20"/>
    <n v="11553"/>
    <n v="231060"/>
    <n v="231060"/>
  </r>
  <r>
    <n v="10988"/>
    <x v="7"/>
    <x v="2"/>
    <s v="East"/>
    <s v="Amit"/>
    <n v="8"/>
    <n v="41709"/>
    <n v="333672"/>
    <n v="333672"/>
  </r>
  <r>
    <n v="10989"/>
    <x v="209"/>
    <x v="5"/>
    <s v="East"/>
    <s v="Suman"/>
    <n v="15"/>
    <n v="4258"/>
    <n v="63870"/>
    <n v="63870"/>
  </r>
  <r>
    <n v="10990"/>
    <x v="337"/>
    <x v="4"/>
    <s v="East"/>
    <s v="Priya"/>
    <n v="19"/>
    <n v="56618"/>
    <n v="1075742"/>
    <n v="1075742"/>
  </r>
  <r>
    <n v="10991"/>
    <x v="110"/>
    <x v="2"/>
    <s v="North"/>
    <s v="Priya"/>
    <n v="11"/>
    <n v="59725"/>
    <n v="656975"/>
    <n v="656975"/>
  </r>
  <r>
    <n v="10992"/>
    <x v="246"/>
    <x v="1"/>
    <s v="West"/>
    <s v="Anita"/>
    <n v="9"/>
    <n v="10105"/>
    <n v="90945"/>
    <n v="90945"/>
  </r>
  <r>
    <n v="10993"/>
    <x v="117"/>
    <x v="5"/>
    <s v="West"/>
    <s v="Rani"/>
    <n v="7"/>
    <n v="45111"/>
    <n v="315777"/>
    <n v="315777"/>
  </r>
  <r>
    <n v="10994"/>
    <x v="95"/>
    <x v="1"/>
    <s v="East"/>
    <s v="Amit"/>
    <n v="5"/>
    <n v="4683"/>
    <n v="23415"/>
    <n v="23415"/>
  </r>
  <r>
    <n v="10995"/>
    <x v="73"/>
    <x v="0"/>
    <s v="East"/>
    <s v="Rahul"/>
    <n v="15"/>
    <n v="57273"/>
    <n v="859095"/>
    <n v="859095"/>
  </r>
  <r>
    <n v="10996"/>
    <x v="61"/>
    <x v="0"/>
    <s v="West"/>
    <s v="Amit"/>
    <n v="5"/>
    <n v="6306"/>
    <n v="31530"/>
    <n v="31530"/>
  </r>
  <r>
    <n v="10997"/>
    <x v="100"/>
    <x v="0"/>
    <s v="North"/>
    <s v="Rahul"/>
    <n v="7"/>
    <n v="32783"/>
    <n v="229481"/>
    <n v="229481"/>
  </r>
  <r>
    <n v="10998"/>
    <x v="297"/>
    <x v="5"/>
    <s v="East"/>
    <s v="Suman"/>
    <n v="19"/>
    <n v="23628"/>
    <n v="448932"/>
    <n v="448932"/>
  </r>
  <r>
    <n v="10999"/>
    <x v="159"/>
    <x v="1"/>
    <s v="South"/>
    <s v="Rani"/>
    <n v="8"/>
    <n v="48297"/>
    <n v="386376"/>
    <n v="386376"/>
  </r>
  <r>
    <n v="11000"/>
    <x v="280"/>
    <x v="1"/>
    <s v="East"/>
    <s v="Rani"/>
    <n v="4"/>
    <n v="54767"/>
    <n v="219068"/>
    <n v="219068"/>
  </r>
  <r>
    <n v="11001"/>
    <x v="159"/>
    <x v="4"/>
    <s v="South"/>
    <s v="Rahul"/>
    <n v="4"/>
    <n v="44048"/>
    <n v="176192"/>
    <n v="176192"/>
  </r>
  <r>
    <n v="11002"/>
    <x v="268"/>
    <x v="3"/>
    <s v="South"/>
    <s v="Anita"/>
    <n v="12"/>
    <n v="53873"/>
    <n v="646476"/>
    <n v="646476"/>
  </r>
  <r>
    <n v="11003"/>
    <x v="338"/>
    <x v="0"/>
    <s v="South"/>
    <s v="Rani"/>
    <n v="11"/>
    <n v="14299"/>
    <n v="157289"/>
    <n v="157289"/>
  </r>
  <r>
    <n v="11004"/>
    <x v="165"/>
    <x v="2"/>
    <s v="South"/>
    <s v="Suman"/>
    <n v="15"/>
    <n v="11565"/>
    <n v="173475"/>
    <n v="173475"/>
  </r>
  <r>
    <n v="11005"/>
    <x v="339"/>
    <x v="0"/>
    <s v="East"/>
    <s v="Priya"/>
    <n v="20"/>
    <n v="45463"/>
    <n v="909260"/>
    <n v="909260"/>
  </r>
  <r>
    <n v="11006"/>
    <x v="24"/>
    <x v="1"/>
    <s v="South"/>
    <s v="Anita"/>
    <n v="14"/>
    <n v="40437"/>
    <n v="566118"/>
    <n v="566118"/>
  </r>
  <r>
    <n v="11007"/>
    <x v="138"/>
    <x v="2"/>
    <s v="North"/>
    <s v="Rahul"/>
    <n v="16"/>
    <n v="27624"/>
    <n v="441984"/>
    <n v="441984"/>
  </r>
  <r>
    <n v="11008"/>
    <x v="261"/>
    <x v="0"/>
    <s v="North"/>
    <s v="Priya"/>
    <n v="13"/>
    <n v="50797"/>
    <n v="660361"/>
    <n v="660361"/>
  </r>
  <r>
    <n v="11009"/>
    <x v="43"/>
    <x v="5"/>
    <s v="East"/>
    <s v="Rani"/>
    <n v="10"/>
    <n v="42628"/>
    <n v="426280"/>
    <n v="426280"/>
  </r>
  <r>
    <n v="11010"/>
    <x v="131"/>
    <x v="6"/>
    <s v="West"/>
    <s v="Rahul"/>
    <n v="9"/>
    <n v="55704"/>
    <n v="501336"/>
    <n v="501336"/>
  </r>
  <r>
    <n v="11011"/>
    <x v="54"/>
    <x v="5"/>
    <s v="North"/>
    <s v="Priya"/>
    <n v="14"/>
    <n v="54514"/>
    <n v="763196"/>
    <n v="763196"/>
  </r>
  <r>
    <n v="11012"/>
    <x v="76"/>
    <x v="2"/>
    <s v="South"/>
    <s v="Priya"/>
    <n v="20"/>
    <n v="23572"/>
    <n v="471440"/>
    <n v="471440"/>
  </r>
  <r>
    <n v="11013"/>
    <x v="137"/>
    <x v="4"/>
    <s v="North"/>
    <s v="Suman"/>
    <n v="10"/>
    <n v="14193"/>
    <n v="141930"/>
    <n v="141930"/>
  </r>
  <r>
    <n v="11014"/>
    <x v="246"/>
    <x v="0"/>
    <s v="West"/>
    <s v="Priya"/>
    <n v="2"/>
    <n v="11578"/>
    <n v="23156"/>
    <n v="23156"/>
  </r>
  <r>
    <n v="11015"/>
    <x v="149"/>
    <x v="5"/>
    <s v="North"/>
    <s v="Rani"/>
    <n v="14"/>
    <n v="56218"/>
    <n v="787052"/>
    <n v="787052"/>
  </r>
  <r>
    <n v="11016"/>
    <x v="11"/>
    <x v="0"/>
    <s v="East"/>
    <s v="Rani"/>
    <n v="17"/>
    <n v="46182"/>
    <n v="785094"/>
    <n v="785094"/>
  </r>
  <r>
    <n v="11017"/>
    <x v="28"/>
    <x v="3"/>
    <s v="East"/>
    <s v="Rani"/>
    <n v="1"/>
    <n v="9678"/>
    <n v="9678"/>
    <n v="9678"/>
  </r>
  <r>
    <n v="11018"/>
    <x v="44"/>
    <x v="0"/>
    <s v="North"/>
    <s v="Rahul"/>
    <n v="16"/>
    <n v="11443"/>
    <n v="183088"/>
    <n v="183088"/>
  </r>
  <r>
    <n v="11019"/>
    <x v="263"/>
    <x v="1"/>
    <s v="East"/>
    <s v="Anita"/>
    <n v="6"/>
    <n v="36229"/>
    <n v="217374"/>
    <n v="217374"/>
  </r>
  <r>
    <n v="11020"/>
    <x v="216"/>
    <x v="0"/>
    <s v="West"/>
    <s v="Anita"/>
    <n v="10"/>
    <n v="23341"/>
    <n v="233410"/>
    <n v="233410"/>
  </r>
  <r>
    <n v="11021"/>
    <x v="104"/>
    <x v="1"/>
    <s v="South"/>
    <s v="Rani"/>
    <n v="1"/>
    <n v="52054"/>
    <n v="52054"/>
    <n v="52054"/>
  </r>
  <r>
    <n v="11022"/>
    <x v="89"/>
    <x v="1"/>
    <s v="South"/>
    <s v="Rahul"/>
    <n v="3"/>
    <n v="28098"/>
    <n v="84294"/>
    <n v="84294"/>
  </r>
  <r>
    <n v="11023"/>
    <x v="92"/>
    <x v="1"/>
    <s v="North"/>
    <s v="Priya"/>
    <n v="13"/>
    <n v="47914"/>
    <n v="622882"/>
    <n v="622882"/>
  </r>
  <r>
    <n v="11024"/>
    <x v="130"/>
    <x v="2"/>
    <s v="East"/>
    <s v="Suman"/>
    <n v="3"/>
    <n v="46775"/>
    <n v="140325"/>
    <n v="140325"/>
  </r>
  <r>
    <n v="11025"/>
    <x v="206"/>
    <x v="1"/>
    <s v="North"/>
    <s v="Rani"/>
    <n v="5"/>
    <n v="29550"/>
    <n v="147750"/>
    <n v="147750"/>
  </r>
  <r>
    <n v="11026"/>
    <x v="133"/>
    <x v="3"/>
    <s v="East"/>
    <s v="Rahul"/>
    <n v="7"/>
    <n v="12923"/>
    <n v="90461"/>
    <n v="90461"/>
  </r>
  <r>
    <n v="11027"/>
    <x v="268"/>
    <x v="1"/>
    <s v="North"/>
    <s v="Anita"/>
    <n v="20"/>
    <n v="47739"/>
    <n v="954780"/>
    <n v="954780"/>
  </r>
  <r>
    <n v="11028"/>
    <x v="155"/>
    <x v="2"/>
    <s v="East"/>
    <s v="Anita"/>
    <n v="6"/>
    <n v="24382"/>
    <n v="146292"/>
    <n v="146292"/>
  </r>
  <r>
    <n v="11029"/>
    <x v="269"/>
    <x v="6"/>
    <s v="East"/>
    <s v="Suman"/>
    <n v="19"/>
    <n v="32863"/>
    <n v="624397"/>
    <n v="624397"/>
  </r>
  <r>
    <n v="11030"/>
    <x v="211"/>
    <x v="2"/>
    <s v="North"/>
    <s v="Suman"/>
    <n v="1"/>
    <n v="48710"/>
    <n v="48710"/>
    <n v="48710"/>
  </r>
  <r>
    <n v="11031"/>
    <x v="336"/>
    <x v="4"/>
    <s v="North"/>
    <s v="Priya"/>
    <n v="5"/>
    <n v="29362"/>
    <n v="146810"/>
    <n v="146810"/>
  </r>
  <r>
    <n v="11032"/>
    <x v="17"/>
    <x v="6"/>
    <s v="West"/>
    <s v="Suman"/>
    <n v="3"/>
    <n v="32146"/>
    <n v="96438"/>
    <n v="96438"/>
  </r>
  <r>
    <n v="11033"/>
    <x v="146"/>
    <x v="0"/>
    <s v="North"/>
    <s v="Rahul"/>
    <n v="5"/>
    <n v="49481"/>
    <n v="247405"/>
    <n v="247405"/>
  </r>
  <r>
    <n v="11034"/>
    <x v="320"/>
    <x v="1"/>
    <s v="South"/>
    <s v="Rani"/>
    <n v="14"/>
    <n v="27461"/>
    <n v="384454"/>
    <n v="384454"/>
  </r>
  <r>
    <n v="11035"/>
    <x v="311"/>
    <x v="0"/>
    <s v="West"/>
    <s v="Rahul"/>
    <n v="6"/>
    <n v="44926"/>
    <n v="269556"/>
    <n v="269556"/>
  </r>
  <r>
    <n v="11036"/>
    <x v="48"/>
    <x v="1"/>
    <s v="East"/>
    <s v="Rani"/>
    <n v="8"/>
    <n v="39639"/>
    <n v="317112"/>
    <n v="317112"/>
  </r>
  <r>
    <n v="11037"/>
    <x v="256"/>
    <x v="6"/>
    <s v="West"/>
    <s v="Rahul"/>
    <n v="13"/>
    <n v="49327"/>
    <n v="641251"/>
    <n v="641251"/>
  </r>
  <r>
    <n v="11038"/>
    <x v="39"/>
    <x v="2"/>
    <s v="North"/>
    <s v="Suman"/>
    <n v="6"/>
    <n v="33436"/>
    <n v="200616"/>
    <n v="200616"/>
  </r>
  <r>
    <n v="11039"/>
    <x v="53"/>
    <x v="2"/>
    <s v="South"/>
    <s v="Priya"/>
    <n v="2"/>
    <n v="55391"/>
    <n v="110782"/>
    <n v="110782"/>
  </r>
  <r>
    <n v="11040"/>
    <x v="336"/>
    <x v="1"/>
    <s v="South"/>
    <s v="Rani"/>
    <n v="15"/>
    <n v="51713"/>
    <n v="775695"/>
    <n v="775695"/>
  </r>
  <r>
    <n v="11041"/>
    <x v="340"/>
    <x v="5"/>
    <s v="South"/>
    <s v="Suman"/>
    <n v="7"/>
    <n v="38997"/>
    <n v="272979"/>
    <n v="272979"/>
  </r>
  <r>
    <n v="11042"/>
    <x v="112"/>
    <x v="5"/>
    <s v="West"/>
    <s v="Anita"/>
    <n v="20"/>
    <n v="48431"/>
    <n v="968620"/>
    <n v="968620"/>
  </r>
  <r>
    <n v="11043"/>
    <x v="341"/>
    <x v="0"/>
    <s v="North"/>
    <s v="Anita"/>
    <n v="18"/>
    <n v="44328"/>
    <n v="797904"/>
    <n v="797904"/>
  </r>
  <r>
    <n v="11044"/>
    <x v="80"/>
    <x v="0"/>
    <s v="North"/>
    <s v="Rahul"/>
    <n v="8"/>
    <n v="20702"/>
    <n v="165616"/>
    <n v="165616"/>
  </r>
  <r>
    <n v="11045"/>
    <x v="321"/>
    <x v="2"/>
    <s v="East"/>
    <s v="Amit"/>
    <n v="2"/>
    <n v="56566"/>
    <n v="113132"/>
    <n v="113132"/>
  </r>
  <r>
    <n v="11046"/>
    <x v="258"/>
    <x v="1"/>
    <s v="North"/>
    <s v="Priya"/>
    <n v="18"/>
    <n v="8113"/>
    <n v="146034"/>
    <n v="146034"/>
  </r>
  <r>
    <n v="11047"/>
    <x v="291"/>
    <x v="4"/>
    <s v="East"/>
    <s v="Suman"/>
    <n v="14"/>
    <n v="58529"/>
    <n v="819406"/>
    <n v="819406"/>
  </r>
  <r>
    <n v="11048"/>
    <x v="50"/>
    <x v="3"/>
    <s v="North"/>
    <s v="Priya"/>
    <n v="20"/>
    <n v="1983"/>
    <n v="39660"/>
    <n v="39660"/>
  </r>
  <r>
    <n v="11049"/>
    <x v="341"/>
    <x v="5"/>
    <s v="West"/>
    <s v="Priya"/>
    <n v="13"/>
    <n v="55579"/>
    <n v="722527"/>
    <n v="722527"/>
  </r>
  <r>
    <n v="11050"/>
    <x v="159"/>
    <x v="0"/>
    <s v="East"/>
    <s v="Rani"/>
    <n v="10"/>
    <n v="32432"/>
    <n v="324320"/>
    <n v="324320"/>
  </r>
  <r>
    <n v="11051"/>
    <x v="205"/>
    <x v="3"/>
    <s v="West"/>
    <s v="Anita"/>
    <n v="4"/>
    <n v="29096"/>
    <n v="116384"/>
    <n v="116384"/>
  </r>
  <r>
    <n v="11052"/>
    <x v="260"/>
    <x v="3"/>
    <s v="North"/>
    <s v="Rani"/>
    <n v="18"/>
    <n v="33897"/>
    <n v="610146"/>
    <n v="610146"/>
  </r>
  <r>
    <n v="11053"/>
    <x v="283"/>
    <x v="2"/>
    <s v="East"/>
    <s v="Rani"/>
    <n v="15"/>
    <n v="12152"/>
    <n v="182280"/>
    <n v="182280"/>
  </r>
  <r>
    <n v="11054"/>
    <x v="151"/>
    <x v="0"/>
    <s v="North"/>
    <s v="Suman"/>
    <n v="17"/>
    <n v="55684"/>
    <n v="946628"/>
    <n v="946628"/>
  </r>
  <r>
    <n v="11055"/>
    <x v="326"/>
    <x v="2"/>
    <s v="South"/>
    <s v="Amit"/>
    <n v="5"/>
    <n v="43905"/>
    <n v="219525"/>
    <n v="219525"/>
  </r>
  <r>
    <n v="11056"/>
    <x v="203"/>
    <x v="3"/>
    <s v="South"/>
    <s v="Amit"/>
    <n v="5"/>
    <n v="34126"/>
    <n v="170630"/>
    <n v="170630"/>
  </r>
  <r>
    <n v="11057"/>
    <x v="95"/>
    <x v="3"/>
    <s v="West"/>
    <s v="Anita"/>
    <n v="14"/>
    <n v="20823"/>
    <n v="291522"/>
    <n v="291522"/>
  </r>
  <r>
    <n v="11058"/>
    <x v="97"/>
    <x v="0"/>
    <s v="North"/>
    <s v="Priya"/>
    <n v="8"/>
    <n v="19890"/>
    <n v="159120"/>
    <n v="159120"/>
  </r>
  <r>
    <n v="11059"/>
    <x v="143"/>
    <x v="5"/>
    <s v="North"/>
    <s v="Rahul"/>
    <n v="16"/>
    <n v="49177"/>
    <n v="786832"/>
    <n v="786832"/>
  </r>
  <r>
    <n v="11060"/>
    <x v="97"/>
    <x v="0"/>
    <s v="East"/>
    <s v="Suman"/>
    <n v="5"/>
    <n v="7167"/>
    <n v="35835"/>
    <n v="35835"/>
  </r>
  <r>
    <n v="11061"/>
    <x v="186"/>
    <x v="4"/>
    <s v="South"/>
    <s v="Anita"/>
    <n v="5"/>
    <n v="51652"/>
    <n v="258260"/>
    <n v="258260"/>
  </r>
  <r>
    <n v="11062"/>
    <x v="295"/>
    <x v="2"/>
    <s v="South"/>
    <s v="Suman"/>
    <n v="7"/>
    <n v="16641"/>
    <n v="116487"/>
    <n v="116487"/>
  </r>
  <r>
    <n v="11063"/>
    <x v="210"/>
    <x v="5"/>
    <s v="North"/>
    <s v="Priya"/>
    <n v="8"/>
    <n v="1883"/>
    <n v="15064"/>
    <n v="15064"/>
  </r>
  <r>
    <n v="11064"/>
    <x v="149"/>
    <x v="4"/>
    <s v="South"/>
    <s v="Anita"/>
    <n v="2"/>
    <n v="16404"/>
    <n v="32808"/>
    <n v="32808"/>
  </r>
  <r>
    <n v="11065"/>
    <x v="253"/>
    <x v="5"/>
    <s v="West"/>
    <s v="Amit"/>
    <n v="2"/>
    <n v="27593"/>
    <n v="55186"/>
    <n v="55186"/>
  </r>
  <r>
    <n v="11066"/>
    <x v="104"/>
    <x v="1"/>
    <s v="East"/>
    <s v="Rahul"/>
    <n v="10"/>
    <n v="34742"/>
    <n v="347420"/>
    <n v="347420"/>
  </r>
  <r>
    <n v="11067"/>
    <x v="152"/>
    <x v="5"/>
    <s v="East"/>
    <s v="Suman"/>
    <n v="7"/>
    <n v="24521"/>
    <n v="171647"/>
    <n v="171647"/>
  </r>
  <r>
    <n v="11068"/>
    <x v="21"/>
    <x v="5"/>
    <s v="South"/>
    <s v="Anita"/>
    <n v="15"/>
    <n v="54764"/>
    <n v="821460"/>
    <n v="821460"/>
  </r>
  <r>
    <n v="11069"/>
    <x v="342"/>
    <x v="3"/>
    <s v="West"/>
    <s v="Rani"/>
    <n v="1"/>
    <n v="15795"/>
    <n v="15795"/>
    <n v="15795"/>
  </r>
  <r>
    <n v="11070"/>
    <x v="262"/>
    <x v="1"/>
    <s v="South"/>
    <s v="Amit"/>
    <n v="9"/>
    <n v="38599"/>
    <n v="347391"/>
    <n v="347391"/>
  </r>
  <r>
    <n v="11071"/>
    <x v="63"/>
    <x v="5"/>
    <s v="North"/>
    <s v="Suman"/>
    <n v="9"/>
    <n v="15246"/>
    <n v="137214"/>
    <n v="137214"/>
  </r>
  <r>
    <n v="11072"/>
    <x v="110"/>
    <x v="3"/>
    <s v="West"/>
    <s v="Anita"/>
    <n v="1"/>
    <n v="10397"/>
    <n v="10397"/>
    <n v="10397"/>
  </r>
  <r>
    <n v="11073"/>
    <x v="208"/>
    <x v="3"/>
    <s v="South"/>
    <s v="Rani"/>
    <n v="9"/>
    <n v="54171"/>
    <n v="487539"/>
    <n v="487539"/>
  </r>
  <r>
    <n v="11074"/>
    <x v="109"/>
    <x v="0"/>
    <s v="West"/>
    <s v="Anita"/>
    <n v="11"/>
    <n v="38068"/>
    <n v="418748"/>
    <n v="418748"/>
  </r>
  <r>
    <n v="11075"/>
    <x v="117"/>
    <x v="0"/>
    <s v="West"/>
    <s v="Anita"/>
    <n v="20"/>
    <n v="5961"/>
    <n v="119220"/>
    <n v="119220"/>
  </r>
  <r>
    <n v="11076"/>
    <x v="275"/>
    <x v="3"/>
    <s v="East"/>
    <s v="Suman"/>
    <n v="17"/>
    <n v="40873"/>
    <n v="694841"/>
    <n v="694841"/>
  </r>
  <r>
    <n v="11077"/>
    <x v="147"/>
    <x v="0"/>
    <s v="North"/>
    <s v="Rani"/>
    <n v="20"/>
    <n v="59142"/>
    <n v="1182840"/>
    <n v="1182840"/>
  </r>
  <r>
    <n v="11078"/>
    <x v="160"/>
    <x v="3"/>
    <s v="East"/>
    <s v="Anita"/>
    <n v="19"/>
    <n v="35433"/>
    <n v="673227"/>
    <n v="673227"/>
  </r>
  <r>
    <n v="11079"/>
    <x v="161"/>
    <x v="0"/>
    <s v="East"/>
    <s v="Rahul"/>
    <n v="17"/>
    <n v="49496"/>
    <n v="841432"/>
    <n v="841432"/>
  </r>
  <r>
    <n v="11080"/>
    <x v="266"/>
    <x v="1"/>
    <s v="North"/>
    <s v="Rahul"/>
    <n v="2"/>
    <n v="46728"/>
    <n v="93456"/>
    <n v="93456"/>
  </r>
  <r>
    <n v="11081"/>
    <x v="343"/>
    <x v="2"/>
    <s v="South"/>
    <s v="Priya"/>
    <n v="4"/>
    <n v="13038"/>
    <n v="52152"/>
    <n v="52152"/>
  </r>
  <r>
    <n v="11082"/>
    <x v="213"/>
    <x v="4"/>
    <s v="South"/>
    <s v="Rahul"/>
    <n v="17"/>
    <n v="59959"/>
    <n v="1019303"/>
    <n v="1019303"/>
  </r>
  <r>
    <n v="11083"/>
    <x v="35"/>
    <x v="2"/>
    <s v="West"/>
    <s v="Rahul"/>
    <n v="7"/>
    <n v="15135"/>
    <n v="105945"/>
    <n v="105945"/>
  </r>
  <r>
    <n v="11084"/>
    <x v="226"/>
    <x v="1"/>
    <s v="East"/>
    <s v="Anita"/>
    <n v="7"/>
    <n v="28641"/>
    <n v="200487"/>
    <n v="200487"/>
  </r>
  <r>
    <n v="11085"/>
    <x v="286"/>
    <x v="3"/>
    <s v="East"/>
    <s v="Amit"/>
    <n v="6"/>
    <n v="36427"/>
    <n v="218562"/>
    <n v="218562"/>
  </r>
  <r>
    <n v="11086"/>
    <x v="15"/>
    <x v="3"/>
    <s v="North"/>
    <s v="Suman"/>
    <n v="8"/>
    <n v="8616"/>
    <n v="68928"/>
    <n v="68928"/>
  </r>
  <r>
    <n v="11087"/>
    <x v="166"/>
    <x v="1"/>
    <s v="South"/>
    <s v="Suman"/>
    <n v="13"/>
    <n v="8258"/>
    <n v="107354"/>
    <n v="107354"/>
  </r>
  <r>
    <n v="11088"/>
    <x v="29"/>
    <x v="3"/>
    <s v="East"/>
    <s v="Amit"/>
    <n v="10"/>
    <n v="26468"/>
    <n v="264680"/>
    <n v="264680"/>
  </r>
  <r>
    <n v="11089"/>
    <x v="244"/>
    <x v="1"/>
    <s v="West"/>
    <s v="Suman"/>
    <n v="2"/>
    <n v="51976"/>
    <n v="103952"/>
    <n v="103952"/>
  </r>
  <r>
    <n v="11090"/>
    <x v="332"/>
    <x v="3"/>
    <s v="South"/>
    <s v="Anita"/>
    <n v="5"/>
    <n v="50833"/>
    <n v="254165"/>
    <n v="254165"/>
  </r>
  <r>
    <n v="11091"/>
    <x v="285"/>
    <x v="3"/>
    <s v="South"/>
    <s v="Rahul"/>
    <n v="20"/>
    <n v="25014"/>
    <n v="500280"/>
    <n v="500280"/>
  </r>
  <r>
    <n v="11092"/>
    <x v="240"/>
    <x v="5"/>
    <s v="North"/>
    <s v="Rani"/>
    <n v="3"/>
    <n v="33969"/>
    <n v="101907"/>
    <n v="101907"/>
  </r>
  <r>
    <n v="11093"/>
    <x v="14"/>
    <x v="5"/>
    <s v="East"/>
    <s v="Rani"/>
    <n v="7"/>
    <n v="17290"/>
    <n v="121030"/>
    <n v="121030"/>
  </r>
  <r>
    <n v="11094"/>
    <x v="147"/>
    <x v="4"/>
    <s v="North"/>
    <s v="Amit"/>
    <n v="11"/>
    <n v="23647"/>
    <n v="260117"/>
    <n v="260117"/>
  </r>
  <r>
    <n v="11095"/>
    <x v="244"/>
    <x v="4"/>
    <s v="West"/>
    <s v="Amit"/>
    <n v="5"/>
    <n v="18013"/>
    <n v="90065"/>
    <n v="90065"/>
  </r>
  <r>
    <n v="11096"/>
    <x v="18"/>
    <x v="6"/>
    <s v="North"/>
    <s v="Priya"/>
    <n v="4"/>
    <n v="31857"/>
    <n v="127428"/>
    <n v="127428"/>
  </r>
  <r>
    <n v="11097"/>
    <x v="18"/>
    <x v="6"/>
    <s v="East"/>
    <s v="Anita"/>
    <n v="3"/>
    <n v="25526"/>
    <n v="76578"/>
    <n v="76578"/>
  </r>
  <r>
    <n v="11098"/>
    <x v="222"/>
    <x v="5"/>
    <s v="South"/>
    <s v="Suman"/>
    <n v="18"/>
    <n v="6079"/>
    <n v="109422"/>
    <n v="109422"/>
  </r>
  <r>
    <n v="11099"/>
    <x v="315"/>
    <x v="4"/>
    <s v="East"/>
    <s v="Rani"/>
    <n v="6"/>
    <n v="56533"/>
    <n v="339198"/>
    <n v="339198"/>
  </r>
  <r>
    <n v="11100"/>
    <x v="205"/>
    <x v="6"/>
    <s v="North"/>
    <s v="Priya"/>
    <n v="16"/>
    <n v="36630"/>
    <n v="586080"/>
    <n v="586080"/>
  </r>
  <r>
    <n v="11101"/>
    <x v="344"/>
    <x v="2"/>
    <s v="East"/>
    <s v="Anita"/>
    <n v="4"/>
    <n v="32435"/>
    <n v="129740"/>
    <n v="129740"/>
  </r>
  <r>
    <n v="11102"/>
    <x v="237"/>
    <x v="3"/>
    <s v="South"/>
    <s v="Amit"/>
    <n v="14"/>
    <n v="20997"/>
    <n v="293958"/>
    <n v="293958"/>
  </r>
  <r>
    <n v="11103"/>
    <x v="153"/>
    <x v="0"/>
    <s v="South"/>
    <s v="Rahul"/>
    <n v="18"/>
    <n v="33444"/>
    <n v="601992"/>
    <n v="601992"/>
  </r>
  <r>
    <n v="11104"/>
    <x v="345"/>
    <x v="3"/>
    <s v="South"/>
    <s v="Rahul"/>
    <n v="4"/>
    <n v="27394"/>
    <n v="109576"/>
    <n v="109576"/>
  </r>
  <r>
    <n v="11105"/>
    <x v="29"/>
    <x v="2"/>
    <s v="North"/>
    <s v="Amit"/>
    <n v="13"/>
    <n v="17346"/>
    <n v="225498"/>
    <n v="225498"/>
  </r>
  <r>
    <n v="11106"/>
    <x v="313"/>
    <x v="4"/>
    <s v="West"/>
    <s v="Amit"/>
    <n v="12"/>
    <n v="22079"/>
    <n v="264948"/>
    <n v="264948"/>
  </r>
  <r>
    <n v="11107"/>
    <x v="170"/>
    <x v="4"/>
    <s v="South"/>
    <s v="Rahul"/>
    <n v="5"/>
    <n v="58081"/>
    <n v="290405"/>
    <n v="290405"/>
  </r>
  <r>
    <n v="11108"/>
    <x v="128"/>
    <x v="2"/>
    <s v="North"/>
    <s v="Rani"/>
    <n v="5"/>
    <n v="40867"/>
    <n v="204335"/>
    <n v="204335"/>
  </r>
  <r>
    <n v="11109"/>
    <x v="186"/>
    <x v="6"/>
    <s v="North"/>
    <s v="Suman"/>
    <n v="2"/>
    <n v="31992"/>
    <n v="63984"/>
    <n v="63984"/>
  </r>
  <r>
    <n v="11110"/>
    <x v="196"/>
    <x v="0"/>
    <s v="South"/>
    <s v="Priya"/>
    <n v="6"/>
    <n v="581"/>
    <n v="3486"/>
    <n v="3486"/>
  </r>
  <r>
    <n v="11111"/>
    <x v="346"/>
    <x v="6"/>
    <s v="East"/>
    <s v="Priya"/>
    <n v="19"/>
    <n v="35129"/>
    <n v="667451"/>
    <n v="667451"/>
  </r>
  <r>
    <n v="11112"/>
    <x v="231"/>
    <x v="2"/>
    <s v="South"/>
    <s v="Amit"/>
    <n v="12"/>
    <n v="22482"/>
    <n v="269784"/>
    <n v="269784"/>
  </r>
  <r>
    <n v="11113"/>
    <x v="227"/>
    <x v="2"/>
    <s v="West"/>
    <s v="Amit"/>
    <n v="10"/>
    <n v="41076"/>
    <n v="410760"/>
    <n v="410760"/>
  </r>
  <r>
    <n v="11114"/>
    <x v="312"/>
    <x v="0"/>
    <s v="North"/>
    <s v="Amit"/>
    <n v="4"/>
    <n v="47462"/>
    <n v="189848"/>
    <n v="189848"/>
  </r>
  <r>
    <n v="11115"/>
    <x v="208"/>
    <x v="0"/>
    <s v="North"/>
    <s v="Rani"/>
    <n v="8"/>
    <n v="9560"/>
    <n v="76480"/>
    <n v="76480"/>
  </r>
  <r>
    <n v="11116"/>
    <x v="182"/>
    <x v="1"/>
    <s v="South"/>
    <s v="Rahul"/>
    <n v="14"/>
    <n v="28517"/>
    <n v="399238"/>
    <n v="399238"/>
  </r>
  <r>
    <n v="11117"/>
    <x v="206"/>
    <x v="6"/>
    <s v="East"/>
    <s v="Rahul"/>
    <n v="2"/>
    <n v="47892"/>
    <n v="95784"/>
    <n v="95784"/>
  </r>
  <r>
    <n v="11118"/>
    <x v="190"/>
    <x v="4"/>
    <s v="North"/>
    <s v="Priya"/>
    <n v="13"/>
    <n v="8514"/>
    <n v="110682"/>
    <n v="110682"/>
  </r>
  <r>
    <n v="11119"/>
    <x v="28"/>
    <x v="2"/>
    <s v="West"/>
    <s v="Priya"/>
    <n v="7"/>
    <n v="32678"/>
    <n v="228746"/>
    <n v="228746"/>
  </r>
  <r>
    <n v="11120"/>
    <x v="47"/>
    <x v="0"/>
    <s v="West"/>
    <s v="Rani"/>
    <n v="12"/>
    <n v="21940"/>
    <n v="263280"/>
    <n v="263280"/>
  </r>
  <r>
    <n v="11121"/>
    <x v="116"/>
    <x v="1"/>
    <s v="North"/>
    <s v="Rahul"/>
    <n v="17"/>
    <n v="34206"/>
    <n v="581502"/>
    <n v="581502"/>
  </r>
  <r>
    <n v="11122"/>
    <x v="65"/>
    <x v="4"/>
    <s v="West"/>
    <s v="Priya"/>
    <n v="18"/>
    <n v="57399"/>
    <n v="1033182"/>
    <n v="1033182"/>
  </r>
  <r>
    <n v="11123"/>
    <x v="3"/>
    <x v="2"/>
    <s v="West"/>
    <s v="Suman"/>
    <n v="16"/>
    <n v="44976"/>
    <n v="719616"/>
    <n v="719616"/>
  </r>
  <r>
    <n v="11124"/>
    <x v="111"/>
    <x v="6"/>
    <s v="West"/>
    <s v="Rani"/>
    <n v="4"/>
    <n v="26516"/>
    <n v="106064"/>
    <n v="106064"/>
  </r>
  <r>
    <n v="11125"/>
    <x v="245"/>
    <x v="2"/>
    <s v="North"/>
    <s v="Suman"/>
    <n v="8"/>
    <n v="21649"/>
    <n v="173192"/>
    <n v="173192"/>
  </r>
  <r>
    <n v="11126"/>
    <x v="347"/>
    <x v="5"/>
    <s v="West"/>
    <s v="Suman"/>
    <n v="15"/>
    <n v="17617"/>
    <n v="264255"/>
    <n v="264255"/>
  </r>
  <r>
    <n v="11127"/>
    <x v="144"/>
    <x v="0"/>
    <s v="East"/>
    <s v="Priya"/>
    <n v="17"/>
    <n v="14282"/>
    <n v="242794"/>
    <n v="242794"/>
  </r>
  <r>
    <n v="11128"/>
    <x v="121"/>
    <x v="4"/>
    <s v="East"/>
    <s v="Suman"/>
    <n v="19"/>
    <n v="19636"/>
    <n v="373084"/>
    <n v="373084"/>
  </r>
  <r>
    <n v="11129"/>
    <x v="99"/>
    <x v="4"/>
    <s v="East"/>
    <s v="Suman"/>
    <n v="15"/>
    <n v="41010"/>
    <n v="615150"/>
    <n v="615150"/>
  </r>
  <r>
    <n v="11130"/>
    <x v="265"/>
    <x v="4"/>
    <s v="North"/>
    <s v="Rahul"/>
    <n v="19"/>
    <n v="17585"/>
    <n v="334115"/>
    <n v="334115"/>
  </r>
  <r>
    <n v="11131"/>
    <x v="173"/>
    <x v="0"/>
    <s v="South"/>
    <s v="Rani"/>
    <n v="3"/>
    <n v="24644"/>
    <n v="73932"/>
    <n v="73932"/>
  </r>
  <r>
    <n v="11132"/>
    <x v="228"/>
    <x v="4"/>
    <s v="West"/>
    <s v="Rani"/>
    <n v="15"/>
    <n v="14782"/>
    <n v="221730"/>
    <n v="221730"/>
  </r>
  <r>
    <n v="11133"/>
    <x v="47"/>
    <x v="5"/>
    <s v="South"/>
    <s v="Anita"/>
    <n v="3"/>
    <n v="58247"/>
    <n v="174741"/>
    <n v="174741"/>
  </r>
  <r>
    <n v="11134"/>
    <x v="222"/>
    <x v="4"/>
    <s v="East"/>
    <s v="Priya"/>
    <n v="2"/>
    <n v="33089"/>
    <n v="66178"/>
    <n v="66178"/>
  </r>
  <r>
    <n v="11135"/>
    <x v="265"/>
    <x v="2"/>
    <s v="South"/>
    <s v="Priya"/>
    <n v="16"/>
    <n v="14293"/>
    <n v="228688"/>
    <n v="228688"/>
  </r>
  <r>
    <n v="11136"/>
    <x v="319"/>
    <x v="4"/>
    <s v="South"/>
    <s v="Suman"/>
    <n v="19"/>
    <n v="2658"/>
    <n v="50502"/>
    <n v="50502"/>
  </r>
  <r>
    <n v="11137"/>
    <x v="288"/>
    <x v="5"/>
    <s v="West"/>
    <s v="Rahul"/>
    <n v="18"/>
    <n v="54844"/>
    <n v="987192"/>
    <n v="987192"/>
  </r>
  <r>
    <n v="11138"/>
    <x v="0"/>
    <x v="0"/>
    <s v="North"/>
    <s v="Rahul"/>
    <n v="4"/>
    <n v="42501"/>
    <n v="170004"/>
    <n v="170004"/>
  </r>
  <r>
    <n v="11139"/>
    <x v="337"/>
    <x v="4"/>
    <s v="North"/>
    <s v="Priya"/>
    <n v="2"/>
    <n v="16665"/>
    <n v="33330"/>
    <n v="33330"/>
  </r>
  <r>
    <n v="11140"/>
    <x v="30"/>
    <x v="3"/>
    <s v="South"/>
    <s v="Suman"/>
    <n v="12"/>
    <n v="52600"/>
    <n v="631200"/>
    <n v="631200"/>
  </r>
  <r>
    <n v="11141"/>
    <x v="245"/>
    <x v="5"/>
    <s v="West"/>
    <s v="Anita"/>
    <n v="13"/>
    <n v="45741"/>
    <n v="594633"/>
    <n v="594633"/>
  </r>
  <r>
    <n v="11142"/>
    <x v="306"/>
    <x v="3"/>
    <s v="West"/>
    <s v="Anita"/>
    <n v="2"/>
    <n v="28613"/>
    <n v="57226"/>
    <n v="57226"/>
  </r>
  <r>
    <n v="11143"/>
    <x v="253"/>
    <x v="0"/>
    <s v="West"/>
    <s v="Priya"/>
    <n v="19"/>
    <n v="48631"/>
    <n v="923989"/>
    <n v="923989"/>
  </r>
  <r>
    <n v="11144"/>
    <x v="12"/>
    <x v="2"/>
    <s v="South"/>
    <s v="Rani"/>
    <n v="17"/>
    <n v="50590"/>
    <n v="860030"/>
    <n v="860030"/>
  </r>
  <r>
    <n v="11145"/>
    <x v="265"/>
    <x v="4"/>
    <s v="East"/>
    <s v="Rani"/>
    <n v="5"/>
    <n v="39800"/>
    <n v="199000"/>
    <n v="199000"/>
  </r>
  <r>
    <n v="11146"/>
    <x v="204"/>
    <x v="1"/>
    <s v="East"/>
    <s v="Suman"/>
    <n v="11"/>
    <n v="10278"/>
    <n v="113058"/>
    <n v="113058"/>
  </r>
  <r>
    <n v="11147"/>
    <x v="86"/>
    <x v="5"/>
    <s v="South"/>
    <s v="Rani"/>
    <n v="3"/>
    <n v="15129"/>
    <n v="45387"/>
    <n v="45387"/>
  </r>
  <r>
    <n v="11148"/>
    <x v="320"/>
    <x v="3"/>
    <s v="North"/>
    <s v="Rani"/>
    <n v="7"/>
    <n v="11579"/>
    <n v="81053"/>
    <n v="81053"/>
  </r>
  <r>
    <n v="11149"/>
    <x v="75"/>
    <x v="1"/>
    <s v="North"/>
    <s v="Amit"/>
    <n v="13"/>
    <n v="51963"/>
    <n v="675519"/>
    <n v="675519"/>
  </r>
  <r>
    <n v="11150"/>
    <x v="314"/>
    <x v="2"/>
    <s v="South"/>
    <s v="Rani"/>
    <n v="7"/>
    <n v="38374"/>
    <n v="268618"/>
    <n v="268618"/>
  </r>
  <r>
    <n v="11151"/>
    <x v="12"/>
    <x v="1"/>
    <s v="North"/>
    <s v="Anita"/>
    <n v="7"/>
    <n v="42468"/>
    <n v="297276"/>
    <n v="297276"/>
  </r>
  <r>
    <n v="11152"/>
    <x v="108"/>
    <x v="0"/>
    <s v="East"/>
    <s v="Rahul"/>
    <n v="10"/>
    <n v="24504"/>
    <n v="245040"/>
    <n v="245040"/>
  </r>
  <r>
    <n v="11153"/>
    <x v="25"/>
    <x v="1"/>
    <s v="West"/>
    <s v="Priya"/>
    <n v="7"/>
    <n v="18449"/>
    <n v="129143"/>
    <n v="129143"/>
  </r>
  <r>
    <n v="11154"/>
    <x v="192"/>
    <x v="4"/>
    <s v="West"/>
    <s v="Suman"/>
    <n v="12"/>
    <n v="9677"/>
    <n v="116124"/>
    <n v="116124"/>
  </r>
  <r>
    <n v="11155"/>
    <x v="348"/>
    <x v="0"/>
    <s v="East"/>
    <s v="Rahul"/>
    <n v="18"/>
    <n v="47136"/>
    <n v="848448"/>
    <n v="848448"/>
  </r>
  <r>
    <n v="11156"/>
    <x v="125"/>
    <x v="3"/>
    <s v="East"/>
    <s v="Rahul"/>
    <n v="6"/>
    <n v="7347"/>
    <n v="44082"/>
    <n v="44082"/>
  </r>
  <r>
    <n v="11157"/>
    <x v="186"/>
    <x v="2"/>
    <s v="East"/>
    <s v="Anita"/>
    <n v="14"/>
    <n v="12930"/>
    <n v="181020"/>
    <n v="181020"/>
  </r>
  <r>
    <n v="11158"/>
    <x v="147"/>
    <x v="1"/>
    <s v="West"/>
    <s v="Priya"/>
    <n v="17"/>
    <n v="19117"/>
    <n v="324989"/>
    <n v="324989"/>
  </r>
  <r>
    <n v="11159"/>
    <x v="114"/>
    <x v="6"/>
    <s v="East"/>
    <s v="Suman"/>
    <n v="12"/>
    <n v="38639"/>
    <n v="463668"/>
    <n v="463668"/>
  </r>
  <r>
    <n v="11160"/>
    <x v="332"/>
    <x v="0"/>
    <s v="South"/>
    <s v="Rahul"/>
    <n v="10"/>
    <n v="9424"/>
    <n v="94240"/>
    <n v="94240"/>
  </r>
  <r>
    <n v="11161"/>
    <x v="349"/>
    <x v="1"/>
    <s v="West"/>
    <s v="Rani"/>
    <n v="5"/>
    <n v="50895"/>
    <n v="254475"/>
    <n v="254475"/>
  </r>
  <r>
    <n v="11162"/>
    <x v="350"/>
    <x v="4"/>
    <s v="West"/>
    <s v="Rani"/>
    <n v="17"/>
    <n v="50010"/>
    <n v="850170"/>
    <n v="850170"/>
  </r>
  <r>
    <n v="11163"/>
    <x v="119"/>
    <x v="0"/>
    <s v="North"/>
    <s v="Anita"/>
    <n v="14"/>
    <n v="17761"/>
    <n v="248654"/>
    <n v="248654"/>
  </r>
  <r>
    <n v="11164"/>
    <x v="318"/>
    <x v="4"/>
    <s v="West"/>
    <s v="Priya"/>
    <n v="1"/>
    <n v="48804"/>
    <n v="48804"/>
    <n v="48804"/>
  </r>
  <r>
    <n v="11165"/>
    <x v="253"/>
    <x v="1"/>
    <s v="East"/>
    <s v="Anita"/>
    <n v="5"/>
    <n v="50607"/>
    <n v="253035"/>
    <n v="253035"/>
  </r>
  <r>
    <n v="11166"/>
    <x v="13"/>
    <x v="5"/>
    <s v="South"/>
    <s v="Rahul"/>
    <n v="20"/>
    <n v="47547"/>
    <n v="950940"/>
    <n v="950940"/>
  </r>
  <r>
    <n v="11167"/>
    <x v="154"/>
    <x v="3"/>
    <s v="East"/>
    <s v="Suman"/>
    <n v="1"/>
    <n v="18815"/>
    <n v="18815"/>
    <n v="18815"/>
  </r>
  <r>
    <n v="11168"/>
    <x v="260"/>
    <x v="3"/>
    <s v="West"/>
    <s v="Suman"/>
    <n v="17"/>
    <n v="40969"/>
    <n v="696473"/>
    <n v="696473"/>
  </r>
  <r>
    <n v="11169"/>
    <x v="3"/>
    <x v="3"/>
    <s v="North"/>
    <s v="Priya"/>
    <n v="8"/>
    <n v="31010"/>
    <n v="248080"/>
    <n v="248080"/>
  </r>
  <r>
    <n v="11170"/>
    <x v="104"/>
    <x v="5"/>
    <s v="South"/>
    <s v="Rani"/>
    <n v="5"/>
    <n v="17356"/>
    <n v="86780"/>
    <n v="86780"/>
  </r>
  <r>
    <n v="11171"/>
    <x v="269"/>
    <x v="2"/>
    <s v="West"/>
    <s v="Anita"/>
    <n v="12"/>
    <n v="31277"/>
    <n v="375324"/>
    <n v="375324"/>
  </r>
  <r>
    <n v="11172"/>
    <x v="210"/>
    <x v="3"/>
    <s v="West"/>
    <s v="Rani"/>
    <n v="20"/>
    <n v="25605"/>
    <n v="512100"/>
    <n v="512100"/>
  </r>
  <r>
    <n v="11173"/>
    <x v="212"/>
    <x v="6"/>
    <s v="South"/>
    <s v="Priya"/>
    <n v="5"/>
    <n v="49165"/>
    <n v="245825"/>
    <n v="245825"/>
  </r>
  <r>
    <n v="11174"/>
    <x v="193"/>
    <x v="6"/>
    <s v="West"/>
    <s v="Rahul"/>
    <n v="1"/>
    <n v="34256"/>
    <n v="34256"/>
    <n v="34256"/>
  </r>
  <r>
    <n v="11175"/>
    <x v="100"/>
    <x v="4"/>
    <s v="West"/>
    <s v="Anita"/>
    <n v="18"/>
    <n v="52778"/>
    <n v="950004"/>
    <n v="950004"/>
  </r>
  <r>
    <n v="11176"/>
    <x v="46"/>
    <x v="3"/>
    <s v="East"/>
    <s v="Rahul"/>
    <n v="4"/>
    <n v="27204"/>
    <n v="108816"/>
    <n v="108816"/>
  </r>
  <r>
    <n v="11177"/>
    <x v="57"/>
    <x v="5"/>
    <s v="West"/>
    <s v="Rahul"/>
    <n v="14"/>
    <n v="28592"/>
    <n v="400288"/>
    <n v="400288"/>
  </r>
  <r>
    <n v="11178"/>
    <x v="187"/>
    <x v="6"/>
    <s v="South"/>
    <s v="Amit"/>
    <n v="2"/>
    <n v="2902"/>
    <n v="5804"/>
    <n v="5804"/>
  </r>
  <r>
    <n v="11179"/>
    <x v="109"/>
    <x v="6"/>
    <s v="West"/>
    <s v="Suman"/>
    <n v="13"/>
    <n v="39871"/>
    <n v="518323"/>
    <n v="518323"/>
  </r>
  <r>
    <n v="11180"/>
    <x v="91"/>
    <x v="3"/>
    <s v="South"/>
    <s v="Suman"/>
    <n v="3"/>
    <n v="44728"/>
    <n v="134184"/>
    <n v="134184"/>
  </r>
  <r>
    <n v="11181"/>
    <x v="177"/>
    <x v="5"/>
    <s v="East"/>
    <s v="Amit"/>
    <n v="12"/>
    <n v="41271"/>
    <n v="495252"/>
    <n v="495252"/>
  </r>
  <r>
    <n v="11182"/>
    <x v="73"/>
    <x v="4"/>
    <s v="West"/>
    <s v="Rani"/>
    <n v="3"/>
    <n v="20609"/>
    <n v="61827"/>
    <n v="61827"/>
  </r>
  <r>
    <n v="11183"/>
    <x v="287"/>
    <x v="0"/>
    <s v="East"/>
    <s v="Rani"/>
    <n v="16"/>
    <n v="23384"/>
    <n v="374144"/>
    <n v="374144"/>
  </r>
  <r>
    <n v="11184"/>
    <x v="130"/>
    <x v="3"/>
    <s v="East"/>
    <s v="Anita"/>
    <n v="13"/>
    <n v="9720"/>
    <n v="126360"/>
    <n v="126360"/>
  </r>
  <r>
    <n v="11185"/>
    <x v="307"/>
    <x v="2"/>
    <s v="North"/>
    <s v="Rani"/>
    <n v="13"/>
    <n v="36747"/>
    <n v="477711"/>
    <n v="477711"/>
  </r>
  <r>
    <n v="11186"/>
    <x v="204"/>
    <x v="3"/>
    <s v="North"/>
    <s v="Amit"/>
    <n v="15"/>
    <n v="23463"/>
    <n v="351945"/>
    <n v="351945"/>
  </r>
  <r>
    <n v="11187"/>
    <x v="216"/>
    <x v="1"/>
    <s v="North"/>
    <s v="Priya"/>
    <n v="3"/>
    <n v="36525"/>
    <n v="109575"/>
    <n v="109575"/>
  </r>
  <r>
    <n v="11188"/>
    <x v="201"/>
    <x v="5"/>
    <s v="East"/>
    <s v="Amit"/>
    <n v="7"/>
    <n v="23941"/>
    <n v="167587"/>
    <n v="167587"/>
  </r>
  <r>
    <n v="11189"/>
    <x v="65"/>
    <x v="2"/>
    <s v="West"/>
    <s v="Priya"/>
    <n v="6"/>
    <n v="33304"/>
    <n v="199824"/>
    <n v="199824"/>
  </r>
  <r>
    <n v="11190"/>
    <x v="342"/>
    <x v="2"/>
    <s v="North"/>
    <s v="Suman"/>
    <n v="2"/>
    <n v="23303"/>
    <n v="46606"/>
    <n v="46606"/>
  </r>
  <r>
    <n v="11191"/>
    <x v="87"/>
    <x v="6"/>
    <s v="West"/>
    <s v="Anita"/>
    <n v="10"/>
    <n v="55784"/>
    <n v="557840"/>
    <n v="557840"/>
  </r>
  <r>
    <n v="11192"/>
    <x v="197"/>
    <x v="2"/>
    <s v="South"/>
    <s v="Rahul"/>
    <n v="6"/>
    <n v="21534"/>
    <n v="129204"/>
    <n v="129204"/>
  </r>
  <r>
    <n v="11193"/>
    <x v="1"/>
    <x v="4"/>
    <s v="South"/>
    <s v="Suman"/>
    <n v="14"/>
    <n v="48521"/>
    <n v="679294"/>
    <n v="679294"/>
  </r>
  <r>
    <n v="11194"/>
    <x v="351"/>
    <x v="2"/>
    <s v="West"/>
    <s v="Suman"/>
    <n v="10"/>
    <n v="53827"/>
    <n v="538270"/>
    <n v="538270"/>
  </r>
  <r>
    <n v="11195"/>
    <x v="180"/>
    <x v="1"/>
    <s v="South"/>
    <s v="Anita"/>
    <n v="18"/>
    <n v="43858"/>
    <n v="789444"/>
    <n v="789444"/>
  </r>
  <r>
    <n v="11196"/>
    <x v="286"/>
    <x v="0"/>
    <s v="West"/>
    <s v="Suman"/>
    <n v="2"/>
    <n v="9805"/>
    <n v="19610"/>
    <n v="19610"/>
  </r>
  <r>
    <n v="11197"/>
    <x v="155"/>
    <x v="2"/>
    <s v="East"/>
    <s v="Amit"/>
    <n v="16"/>
    <n v="47319"/>
    <n v="757104"/>
    <n v="757104"/>
  </r>
  <r>
    <n v="11198"/>
    <x v="87"/>
    <x v="3"/>
    <s v="South"/>
    <s v="Anita"/>
    <n v="16"/>
    <n v="14855"/>
    <n v="237680"/>
    <n v="237680"/>
  </r>
  <r>
    <n v="11199"/>
    <x v="124"/>
    <x v="1"/>
    <s v="West"/>
    <s v="Suman"/>
    <n v="16"/>
    <n v="7793"/>
    <n v="124688"/>
    <n v="124688"/>
  </r>
  <r>
    <n v="11200"/>
    <x v="303"/>
    <x v="6"/>
    <s v="North"/>
    <s v="Rahul"/>
    <n v="18"/>
    <n v="1519"/>
    <n v="27342"/>
    <n v="27342"/>
  </r>
  <r>
    <n v="11201"/>
    <x v="212"/>
    <x v="1"/>
    <s v="West"/>
    <s v="Anita"/>
    <n v="20"/>
    <n v="23099"/>
    <n v="461980"/>
    <n v="461980"/>
  </r>
  <r>
    <n v="11202"/>
    <x v="157"/>
    <x v="4"/>
    <s v="South"/>
    <s v="Rahul"/>
    <n v="15"/>
    <n v="42697"/>
    <n v="640455"/>
    <n v="640455"/>
  </r>
  <r>
    <n v="11203"/>
    <x v="352"/>
    <x v="4"/>
    <s v="South"/>
    <s v="Priya"/>
    <n v="10"/>
    <n v="47567"/>
    <n v="475670"/>
    <n v="475670"/>
  </r>
  <r>
    <n v="11204"/>
    <x v="127"/>
    <x v="1"/>
    <s v="East"/>
    <s v="Amit"/>
    <n v="7"/>
    <n v="28156"/>
    <n v="197092"/>
    <n v="197092"/>
  </r>
  <r>
    <n v="11205"/>
    <x v="204"/>
    <x v="2"/>
    <s v="North"/>
    <s v="Rani"/>
    <n v="5"/>
    <n v="11900"/>
    <n v="59500"/>
    <n v="59500"/>
  </r>
  <r>
    <n v="11206"/>
    <x v="262"/>
    <x v="1"/>
    <s v="North"/>
    <s v="Suman"/>
    <n v="8"/>
    <n v="18669"/>
    <n v="149352"/>
    <n v="149352"/>
  </r>
  <r>
    <n v="11207"/>
    <x v="301"/>
    <x v="1"/>
    <s v="South"/>
    <s v="Priya"/>
    <n v="3"/>
    <n v="56968"/>
    <n v="170904"/>
    <n v="170904"/>
  </r>
  <r>
    <n v="11208"/>
    <x v="43"/>
    <x v="1"/>
    <s v="South"/>
    <s v="Rahul"/>
    <n v="15"/>
    <n v="3205"/>
    <n v="48075"/>
    <n v="48075"/>
  </r>
  <r>
    <n v="11209"/>
    <x v="47"/>
    <x v="5"/>
    <s v="East"/>
    <s v="Amit"/>
    <n v="7"/>
    <n v="51816"/>
    <n v="362712"/>
    <n v="362712"/>
  </r>
  <r>
    <n v="11210"/>
    <x v="133"/>
    <x v="0"/>
    <s v="East"/>
    <s v="Suman"/>
    <n v="15"/>
    <n v="38282"/>
    <n v="574230"/>
    <n v="574230"/>
  </r>
  <r>
    <n v="11211"/>
    <x v="353"/>
    <x v="4"/>
    <s v="West"/>
    <s v="Anita"/>
    <n v="14"/>
    <n v="36308"/>
    <n v="508312"/>
    <n v="508312"/>
  </r>
  <r>
    <n v="11212"/>
    <x v="188"/>
    <x v="0"/>
    <s v="East"/>
    <s v="Priya"/>
    <n v="13"/>
    <n v="41064"/>
    <n v="533832"/>
    <n v="533832"/>
  </r>
  <r>
    <n v="11213"/>
    <x v="236"/>
    <x v="1"/>
    <s v="East"/>
    <s v="Anita"/>
    <n v="7"/>
    <n v="1644"/>
    <n v="11508"/>
    <n v="11508"/>
  </r>
  <r>
    <n v="11214"/>
    <x v="212"/>
    <x v="2"/>
    <s v="East"/>
    <s v="Anita"/>
    <n v="1"/>
    <n v="15527"/>
    <n v="15527"/>
    <n v="15527"/>
  </r>
  <r>
    <n v="11215"/>
    <x v="157"/>
    <x v="1"/>
    <s v="North"/>
    <s v="Amit"/>
    <n v="17"/>
    <n v="15760"/>
    <n v="267920"/>
    <n v="267920"/>
  </r>
  <r>
    <n v="11216"/>
    <x v="107"/>
    <x v="0"/>
    <s v="West"/>
    <s v="Rani"/>
    <n v="11"/>
    <n v="10325"/>
    <n v="113575"/>
    <n v="113575"/>
  </r>
  <r>
    <n v="11217"/>
    <x v="119"/>
    <x v="6"/>
    <s v="West"/>
    <s v="Rahul"/>
    <n v="16"/>
    <n v="6686"/>
    <n v="106976"/>
    <n v="106976"/>
  </r>
  <r>
    <n v="11218"/>
    <x v="320"/>
    <x v="5"/>
    <s v="South"/>
    <s v="Suman"/>
    <n v="2"/>
    <n v="9351"/>
    <n v="18702"/>
    <n v="18702"/>
  </r>
  <r>
    <n v="11219"/>
    <x v="251"/>
    <x v="0"/>
    <s v="South"/>
    <s v="Rahul"/>
    <n v="3"/>
    <n v="45979"/>
    <n v="137937"/>
    <n v="137937"/>
  </r>
  <r>
    <n v="11220"/>
    <x v="34"/>
    <x v="5"/>
    <s v="East"/>
    <s v="Rahul"/>
    <n v="10"/>
    <n v="1146"/>
    <n v="11460"/>
    <n v="11460"/>
  </r>
  <r>
    <n v="11221"/>
    <x v="222"/>
    <x v="1"/>
    <s v="East"/>
    <s v="Amit"/>
    <n v="9"/>
    <n v="22268"/>
    <n v="200412"/>
    <n v="200412"/>
  </r>
  <r>
    <n v="11222"/>
    <x v="34"/>
    <x v="2"/>
    <s v="North"/>
    <s v="Suman"/>
    <n v="1"/>
    <n v="29898"/>
    <n v="29898"/>
    <n v="29898"/>
  </r>
  <r>
    <n v="11223"/>
    <x v="63"/>
    <x v="2"/>
    <s v="East"/>
    <s v="Rani"/>
    <n v="8"/>
    <n v="7848"/>
    <n v="62784"/>
    <n v="62784"/>
  </r>
  <r>
    <n v="11224"/>
    <x v="135"/>
    <x v="4"/>
    <s v="West"/>
    <s v="Rahul"/>
    <n v="19"/>
    <n v="56981"/>
    <n v="1082639"/>
    <n v="1082639"/>
  </r>
  <r>
    <n v="11225"/>
    <x v="275"/>
    <x v="3"/>
    <s v="South"/>
    <s v="Anita"/>
    <n v="3"/>
    <n v="43691"/>
    <n v="131073"/>
    <n v="131073"/>
  </r>
  <r>
    <n v="11226"/>
    <x v="255"/>
    <x v="1"/>
    <s v="West"/>
    <s v="Rani"/>
    <n v="15"/>
    <n v="14332"/>
    <n v="214980"/>
    <n v="214980"/>
  </r>
  <r>
    <n v="11227"/>
    <x v="246"/>
    <x v="3"/>
    <s v="North"/>
    <s v="Suman"/>
    <n v="16"/>
    <n v="55593"/>
    <n v="889488"/>
    <n v="889488"/>
  </r>
  <r>
    <n v="11228"/>
    <x v="230"/>
    <x v="1"/>
    <s v="East"/>
    <s v="Amit"/>
    <n v="16"/>
    <n v="16417"/>
    <n v="262672"/>
    <n v="262672"/>
  </r>
  <r>
    <n v="11229"/>
    <x v="221"/>
    <x v="1"/>
    <s v="North"/>
    <s v="Rani"/>
    <n v="6"/>
    <n v="54846"/>
    <n v="329076"/>
    <n v="329076"/>
  </r>
  <r>
    <n v="11230"/>
    <x v="196"/>
    <x v="6"/>
    <s v="North"/>
    <s v="Anita"/>
    <n v="8"/>
    <n v="18683"/>
    <n v="149464"/>
    <n v="149464"/>
  </r>
  <r>
    <n v="11231"/>
    <x v="255"/>
    <x v="1"/>
    <s v="North"/>
    <s v="Amit"/>
    <n v="14"/>
    <n v="37672"/>
    <n v="527408"/>
    <n v="527408"/>
  </r>
  <r>
    <n v="11232"/>
    <x v="38"/>
    <x v="6"/>
    <s v="West"/>
    <s v="Rani"/>
    <n v="18"/>
    <n v="37946"/>
    <n v="683028"/>
    <n v="683028"/>
  </r>
  <r>
    <n v="11233"/>
    <x v="94"/>
    <x v="3"/>
    <s v="East"/>
    <s v="Suman"/>
    <n v="11"/>
    <n v="41411"/>
    <n v="455521"/>
    <n v="455521"/>
  </r>
  <r>
    <n v="11234"/>
    <x v="309"/>
    <x v="0"/>
    <s v="West"/>
    <s v="Rahul"/>
    <n v="1"/>
    <n v="36003"/>
    <n v="36003"/>
    <n v="36003"/>
  </r>
  <r>
    <n v="11235"/>
    <x v="39"/>
    <x v="6"/>
    <s v="East"/>
    <s v="Amit"/>
    <n v="11"/>
    <n v="38602"/>
    <n v="424622"/>
    <n v="424622"/>
  </r>
  <r>
    <n v="11236"/>
    <x v="232"/>
    <x v="5"/>
    <s v="East"/>
    <s v="Rani"/>
    <n v="14"/>
    <n v="46244"/>
    <n v="647416"/>
    <n v="647416"/>
  </r>
  <r>
    <n v="11237"/>
    <x v="341"/>
    <x v="0"/>
    <s v="North"/>
    <s v="Rani"/>
    <n v="4"/>
    <n v="13326"/>
    <n v="53304"/>
    <n v="53304"/>
  </r>
  <r>
    <n v="11238"/>
    <x v="7"/>
    <x v="3"/>
    <s v="North"/>
    <s v="Rahul"/>
    <n v="12"/>
    <n v="40608"/>
    <n v="487296"/>
    <n v="487296"/>
  </r>
  <r>
    <n v="11239"/>
    <x v="44"/>
    <x v="2"/>
    <s v="North"/>
    <s v="Priya"/>
    <n v="18"/>
    <n v="54094"/>
    <n v="973692"/>
    <n v="973692"/>
  </r>
  <r>
    <n v="11240"/>
    <x v="276"/>
    <x v="0"/>
    <s v="West"/>
    <s v="Suman"/>
    <n v="9"/>
    <n v="52599"/>
    <n v="473391"/>
    <n v="473391"/>
  </r>
  <r>
    <n v="11241"/>
    <x v="200"/>
    <x v="2"/>
    <s v="East"/>
    <s v="Rani"/>
    <n v="13"/>
    <n v="9653"/>
    <n v="125489"/>
    <n v="125489"/>
  </r>
  <r>
    <n v="11242"/>
    <x v="261"/>
    <x v="3"/>
    <s v="East"/>
    <s v="Amit"/>
    <n v="7"/>
    <n v="4822"/>
    <n v="33754"/>
    <n v="33754"/>
  </r>
  <r>
    <n v="11243"/>
    <x v="275"/>
    <x v="5"/>
    <s v="East"/>
    <s v="Priya"/>
    <n v="17"/>
    <n v="54748"/>
    <n v="930716"/>
    <n v="930716"/>
  </r>
  <r>
    <n v="11244"/>
    <x v="182"/>
    <x v="3"/>
    <s v="North"/>
    <s v="Priya"/>
    <n v="9"/>
    <n v="30799"/>
    <n v="277191"/>
    <n v="277191"/>
  </r>
  <r>
    <n v="11245"/>
    <x v="352"/>
    <x v="3"/>
    <s v="West"/>
    <s v="Suman"/>
    <n v="13"/>
    <n v="36214"/>
    <n v="470782"/>
    <n v="470782"/>
  </r>
  <r>
    <n v="11246"/>
    <x v="271"/>
    <x v="3"/>
    <s v="West"/>
    <s v="Rahul"/>
    <n v="16"/>
    <n v="4148"/>
    <n v="66368"/>
    <n v="66368"/>
  </r>
  <r>
    <n v="11247"/>
    <x v="354"/>
    <x v="6"/>
    <s v="West"/>
    <s v="Rani"/>
    <n v="19"/>
    <n v="59089"/>
    <n v="1122691"/>
    <n v="1122691"/>
  </r>
  <r>
    <n v="11248"/>
    <x v="284"/>
    <x v="6"/>
    <s v="South"/>
    <s v="Rani"/>
    <n v="15"/>
    <n v="55329"/>
    <n v="829935"/>
    <n v="829935"/>
  </r>
  <r>
    <n v="11249"/>
    <x v="209"/>
    <x v="1"/>
    <s v="West"/>
    <s v="Suman"/>
    <n v="11"/>
    <n v="5834"/>
    <n v="64174"/>
    <n v="64174"/>
  </r>
  <r>
    <n v="11250"/>
    <x v="114"/>
    <x v="0"/>
    <s v="South"/>
    <s v="Anita"/>
    <n v="4"/>
    <n v="24092"/>
    <n v="96368"/>
    <n v="96368"/>
  </r>
  <r>
    <n v="11251"/>
    <x v="21"/>
    <x v="0"/>
    <s v="West"/>
    <s v="Rahul"/>
    <n v="18"/>
    <n v="40080"/>
    <n v="721440"/>
    <n v="721440"/>
  </r>
  <r>
    <n v="11252"/>
    <x v="3"/>
    <x v="3"/>
    <s v="East"/>
    <s v="Suman"/>
    <n v="9"/>
    <n v="16280"/>
    <n v="146520"/>
    <n v="146520"/>
  </r>
  <r>
    <n v="11253"/>
    <x v="316"/>
    <x v="1"/>
    <s v="East"/>
    <s v="Rahul"/>
    <n v="19"/>
    <n v="21284"/>
    <n v="404396"/>
    <n v="404396"/>
  </r>
  <r>
    <n v="11254"/>
    <x v="4"/>
    <x v="2"/>
    <s v="North"/>
    <s v="Amit"/>
    <n v="10"/>
    <n v="13966"/>
    <n v="139660"/>
    <n v="139660"/>
  </r>
  <r>
    <n v="11255"/>
    <x v="113"/>
    <x v="5"/>
    <s v="West"/>
    <s v="Rani"/>
    <n v="10"/>
    <n v="18300"/>
    <n v="183000"/>
    <n v="183000"/>
  </r>
  <r>
    <n v="11256"/>
    <x v="299"/>
    <x v="2"/>
    <s v="West"/>
    <s v="Priya"/>
    <n v="1"/>
    <n v="9464"/>
    <n v="9464"/>
    <n v="9464"/>
  </r>
  <r>
    <n v="11257"/>
    <x v="179"/>
    <x v="3"/>
    <s v="South"/>
    <s v="Amit"/>
    <n v="19"/>
    <n v="35197"/>
    <n v="668743"/>
    <n v="668743"/>
  </r>
  <r>
    <n v="11258"/>
    <x v="32"/>
    <x v="4"/>
    <s v="South"/>
    <s v="Amit"/>
    <n v="12"/>
    <n v="1966"/>
    <n v="23592"/>
    <n v="23592"/>
  </r>
  <r>
    <n v="11259"/>
    <x v="342"/>
    <x v="5"/>
    <s v="North"/>
    <s v="Rani"/>
    <n v="12"/>
    <n v="28028"/>
    <n v="336336"/>
    <n v="336336"/>
  </r>
  <r>
    <n v="11260"/>
    <x v="84"/>
    <x v="4"/>
    <s v="West"/>
    <s v="Rahul"/>
    <n v="19"/>
    <n v="33577"/>
    <n v="637963"/>
    <n v="637963"/>
  </r>
  <r>
    <n v="11261"/>
    <x v="237"/>
    <x v="6"/>
    <s v="East"/>
    <s v="Rani"/>
    <n v="13"/>
    <n v="34095"/>
    <n v="443235"/>
    <n v="443235"/>
  </r>
  <r>
    <n v="11262"/>
    <x v="108"/>
    <x v="2"/>
    <s v="East"/>
    <s v="Rani"/>
    <n v="9"/>
    <n v="7108"/>
    <n v="63972"/>
    <n v="63972"/>
  </r>
  <r>
    <n v="11263"/>
    <x v="355"/>
    <x v="2"/>
    <s v="North"/>
    <s v="Rani"/>
    <n v="20"/>
    <n v="24548"/>
    <n v="490960"/>
    <n v="490960"/>
  </r>
  <r>
    <n v="11264"/>
    <x v="67"/>
    <x v="0"/>
    <s v="North"/>
    <s v="Amit"/>
    <n v="7"/>
    <n v="39427"/>
    <n v="275989"/>
    <n v="275989"/>
  </r>
  <r>
    <n v="11265"/>
    <x v="162"/>
    <x v="4"/>
    <s v="North"/>
    <s v="Amit"/>
    <n v="10"/>
    <n v="24685"/>
    <n v="246850"/>
    <n v="246850"/>
  </r>
  <r>
    <n v="11266"/>
    <x v="292"/>
    <x v="6"/>
    <s v="South"/>
    <s v="Priya"/>
    <n v="4"/>
    <n v="56741"/>
    <n v="226964"/>
    <n v="226964"/>
  </r>
  <r>
    <n v="11267"/>
    <x v="291"/>
    <x v="2"/>
    <s v="East"/>
    <s v="Amit"/>
    <n v="5"/>
    <n v="26033"/>
    <n v="130165"/>
    <n v="130165"/>
  </r>
  <r>
    <n v="11268"/>
    <x v="320"/>
    <x v="0"/>
    <s v="East"/>
    <s v="Rani"/>
    <n v="19"/>
    <n v="30507"/>
    <n v="579633"/>
    <n v="579633"/>
  </r>
  <r>
    <n v="11269"/>
    <x v="206"/>
    <x v="1"/>
    <s v="West"/>
    <s v="Rahul"/>
    <n v="14"/>
    <n v="6868"/>
    <n v="96152"/>
    <n v="96152"/>
  </r>
  <r>
    <n v="11270"/>
    <x v="105"/>
    <x v="2"/>
    <s v="South"/>
    <s v="Amit"/>
    <n v="10"/>
    <n v="52931"/>
    <n v="529310"/>
    <n v="529310"/>
  </r>
  <r>
    <n v="11271"/>
    <x v="260"/>
    <x v="6"/>
    <s v="South"/>
    <s v="Rahul"/>
    <n v="9"/>
    <n v="10577"/>
    <n v="95193"/>
    <n v="95193"/>
  </r>
  <r>
    <n v="11272"/>
    <x v="228"/>
    <x v="5"/>
    <s v="West"/>
    <s v="Rani"/>
    <n v="19"/>
    <n v="2778"/>
    <n v="52782"/>
    <n v="52782"/>
  </r>
  <r>
    <n v="11273"/>
    <x v="65"/>
    <x v="4"/>
    <s v="North"/>
    <s v="Amit"/>
    <n v="5"/>
    <n v="15973"/>
    <n v="79865"/>
    <n v="79865"/>
  </r>
  <r>
    <n v="11274"/>
    <x v="356"/>
    <x v="4"/>
    <s v="North"/>
    <s v="Anita"/>
    <n v="4"/>
    <n v="11481"/>
    <n v="45924"/>
    <n v="45924"/>
  </r>
  <r>
    <n v="11275"/>
    <x v="299"/>
    <x v="3"/>
    <s v="North"/>
    <s v="Suman"/>
    <n v="8"/>
    <n v="55180"/>
    <n v="441440"/>
    <n v="441440"/>
  </r>
  <r>
    <n v="11276"/>
    <x v="171"/>
    <x v="6"/>
    <s v="East"/>
    <s v="Anita"/>
    <n v="15"/>
    <n v="46319"/>
    <n v="694785"/>
    <n v="694785"/>
  </r>
  <r>
    <n v="11277"/>
    <x v="113"/>
    <x v="3"/>
    <s v="West"/>
    <s v="Rani"/>
    <n v="1"/>
    <n v="16450"/>
    <n v="16450"/>
    <n v="16450"/>
  </r>
  <r>
    <n v="11278"/>
    <x v="133"/>
    <x v="0"/>
    <s v="West"/>
    <s v="Priya"/>
    <n v="9"/>
    <n v="27507"/>
    <n v="247563"/>
    <n v="247563"/>
  </r>
  <r>
    <n v="11279"/>
    <x v="42"/>
    <x v="2"/>
    <s v="West"/>
    <s v="Anita"/>
    <n v="10"/>
    <n v="42763"/>
    <n v="427630"/>
    <n v="427630"/>
  </r>
  <r>
    <n v="11280"/>
    <x v="159"/>
    <x v="6"/>
    <s v="South"/>
    <s v="Amit"/>
    <n v="12"/>
    <n v="34963"/>
    <n v="419556"/>
    <n v="419556"/>
  </r>
  <r>
    <n v="11281"/>
    <x v="348"/>
    <x v="5"/>
    <s v="South"/>
    <s v="Suman"/>
    <n v="7"/>
    <n v="7191"/>
    <n v="50337"/>
    <n v="50337"/>
  </r>
  <r>
    <n v="11282"/>
    <x v="196"/>
    <x v="4"/>
    <s v="South"/>
    <s v="Priya"/>
    <n v="1"/>
    <n v="52154"/>
    <n v="52154"/>
    <n v="52154"/>
  </r>
  <r>
    <n v="11283"/>
    <x v="330"/>
    <x v="5"/>
    <s v="North"/>
    <s v="Suman"/>
    <n v="1"/>
    <n v="56643"/>
    <n v="56643"/>
    <n v="56643"/>
  </r>
  <r>
    <n v="11284"/>
    <x v="42"/>
    <x v="1"/>
    <s v="South"/>
    <s v="Suman"/>
    <n v="14"/>
    <n v="14237"/>
    <n v="199318"/>
    <n v="199318"/>
  </r>
  <r>
    <n v="11285"/>
    <x v="320"/>
    <x v="2"/>
    <s v="South"/>
    <s v="Anita"/>
    <n v="14"/>
    <n v="48585"/>
    <n v="680190"/>
    <n v="680190"/>
  </r>
  <r>
    <n v="11286"/>
    <x v="168"/>
    <x v="0"/>
    <s v="East"/>
    <s v="Priya"/>
    <n v="5"/>
    <n v="41595"/>
    <n v="207975"/>
    <n v="207975"/>
  </r>
  <r>
    <n v="11287"/>
    <x v="59"/>
    <x v="3"/>
    <s v="West"/>
    <s v="Priya"/>
    <n v="13"/>
    <n v="2407"/>
    <n v="31291"/>
    <n v="31291"/>
  </r>
  <r>
    <n v="11288"/>
    <x v="216"/>
    <x v="6"/>
    <s v="West"/>
    <s v="Amit"/>
    <n v="7"/>
    <n v="22432"/>
    <n v="157024"/>
    <n v="157024"/>
  </r>
  <r>
    <n v="11289"/>
    <x v="73"/>
    <x v="0"/>
    <s v="West"/>
    <s v="Rahul"/>
    <n v="5"/>
    <n v="52271"/>
    <n v="261355"/>
    <n v="261355"/>
  </r>
  <r>
    <n v="11290"/>
    <x v="218"/>
    <x v="6"/>
    <s v="South"/>
    <s v="Rani"/>
    <n v="2"/>
    <n v="15238"/>
    <n v="30476"/>
    <n v="30476"/>
  </r>
  <r>
    <n v="11291"/>
    <x v="126"/>
    <x v="3"/>
    <s v="West"/>
    <s v="Rani"/>
    <n v="10"/>
    <n v="55243"/>
    <n v="552430"/>
    <n v="552430"/>
  </r>
  <r>
    <n v="11292"/>
    <x v="173"/>
    <x v="5"/>
    <s v="South"/>
    <s v="Rahul"/>
    <n v="5"/>
    <n v="2235"/>
    <n v="11175"/>
    <n v="11175"/>
  </r>
  <r>
    <n v="11293"/>
    <x v="168"/>
    <x v="1"/>
    <s v="South"/>
    <s v="Suman"/>
    <n v="11"/>
    <n v="1498"/>
    <n v="16478"/>
    <n v="16478"/>
  </r>
  <r>
    <n v="11294"/>
    <x v="201"/>
    <x v="4"/>
    <s v="East"/>
    <s v="Amit"/>
    <n v="8"/>
    <n v="17447"/>
    <n v="139576"/>
    <n v="139576"/>
  </r>
  <r>
    <n v="11295"/>
    <x v="0"/>
    <x v="3"/>
    <s v="North"/>
    <s v="Suman"/>
    <n v="2"/>
    <n v="24879"/>
    <n v="49758"/>
    <n v="49758"/>
  </r>
  <r>
    <n v="11296"/>
    <x v="335"/>
    <x v="2"/>
    <s v="South"/>
    <s v="Suman"/>
    <n v="10"/>
    <n v="6512"/>
    <n v="65120"/>
    <n v="65120"/>
  </r>
  <r>
    <n v="11297"/>
    <x v="331"/>
    <x v="5"/>
    <s v="South"/>
    <s v="Rahul"/>
    <n v="15"/>
    <n v="38641"/>
    <n v="579615"/>
    <n v="579615"/>
  </r>
  <r>
    <n v="11298"/>
    <x v="39"/>
    <x v="2"/>
    <s v="West"/>
    <s v="Amit"/>
    <n v="9"/>
    <n v="8513"/>
    <n v="76617"/>
    <n v="76617"/>
  </r>
  <r>
    <n v="11299"/>
    <x v="95"/>
    <x v="4"/>
    <s v="East"/>
    <s v="Priya"/>
    <n v="4"/>
    <n v="13979"/>
    <n v="55916"/>
    <n v="55916"/>
  </r>
  <r>
    <n v="11300"/>
    <x v="272"/>
    <x v="2"/>
    <s v="East"/>
    <s v="Rahul"/>
    <n v="3"/>
    <n v="6163"/>
    <n v="18489"/>
    <n v="18489"/>
  </r>
  <r>
    <n v="11301"/>
    <x v="185"/>
    <x v="1"/>
    <s v="North"/>
    <s v="Suman"/>
    <n v="13"/>
    <n v="50244"/>
    <n v="653172"/>
    <n v="653172"/>
  </r>
  <r>
    <n v="11302"/>
    <x v="248"/>
    <x v="3"/>
    <s v="South"/>
    <s v="Suman"/>
    <n v="8"/>
    <n v="39697"/>
    <n v="317576"/>
    <n v="317576"/>
  </r>
  <r>
    <n v="11303"/>
    <x v="269"/>
    <x v="2"/>
    <s v="East"/>
    <s v="Suman"/>
    <n v="13"/>
    <n v="34139"/>
    <n v="443807"/>
    <n v="443807"/>
  </r>
  <r>
    <n v="11304"/>
    <x v="153"/>
    <x v="1"/>
    <s v="South"/>
    <s v="Anita"/>
    <n v="3"/>
    <n v="49061"/>
    <n v="147183"/>
    <n v="147183"/>
  </r>
  <r>
    <n v="11305"/>
    <x v="232"/>
    <x v="6"/>
    <s v="West"/>
    <s v="Rani"/>
    <n v="2"/>
    <n v="31385"/>
    <n v="62770"/>
    <n v="62770"/>
  </r>
  <r>
    <n v="11306"/>
    <x v="57"/>
    <x v="0"/>
    <s v="South"/>
    <s v="Anita"/>
    <n v="8"/>
    <n v="14613"/>
    <n v="116904"/>
    <n v="116904"/>
  </r>
  <r>
    <n v="11307"/>
    <x v="258"/>
    <x v="0"/>
    <s v="West"/>
    <s v="Suman"/>
    <n v="16"/>
    <n v="31388"/>
    <n v="502208"/>
    <n v="502208"/>
  </r>
  <r>
    <n v="11308"/>
    <x v="216"/>
    <x v="0"/>
    <s v="North"/>
    <s v="Priya"/>
    <n v="15"/>
    <n v="59111"/>
    <n v="886665"/>
    <n v="886665"/>
  </r>
  <r>
    <n v="11309"/>
    <x v="151"/>
    <x v="1"/>
    <s v="North"/>
    <s v="Rani"/>
    <n v="9"/>
    <n v="34893"/>
    <n v="314037"/>
    <n v="314037"/>
  </r>
  <r>
    <n v="11310"/>
    <x v="25"/>
    <x v="2"/>
    <s v="South"/>
    <s v="Rani"/>
    <n v="12"/>
    <n v="10365"/>
    <n v="124380"/>
    <n v="124380"/>
  </r>
  <r>
    <n v="11311"/>
    <x v="312"/>
    <x v="4"/>
    <s v="East"/>
    <s v="Rani"/>
    <n v="4"/>
    <n v="7498"/>
    <n v="29992"/>
    <n v="29992"/>
  </r>
  <r>
    <n v="11312"/>
    <x v="280"/>
    <x v="5"/>
    <s v="East"/>
    <s v="Rahul"/>
    <n v="13"/>
    <n v="48354"/>
    <n v="628602"/>
    <n v="628602"/>
  </r>
  <r>
    <n v="11313"/>
    <x v="280"/>
    <x v="1"/>
    <s v="North"/>
    <s v="Rani"/>
    <n v="2"/>
    <n v="32585"/>
    <n v="65170"/>
    <n v="65170"/>
  </r>
  <r>
    <n v="11314"/>
    <x v="326"/>
    <x v="2"/>
    <s v="West"/>
    <s v="Rani"/>
    <n v="16"/>
    <n v="50854"/>
    <n v="813664"/>
    <n v="813664"/>
  </r>
  <r>
    <n v="11315"/>
    <x v="326"/>
    <x v="6"/>
    <s v="North"/>
    <s v="Amit"/>
    <n v="8"/>
    <n v="57873"/>
    <n v="462984"/>
    <n v="462984"/>
  </r>
  <r>
    <n v="11316"/>
    <x v="357"/>
    <x v="0"/>
    <s v="South"/>
    <s v="Amit"/>
    <n v="9"/>
    <n v="7533"/>
    <n v="67797"/>
    <n v="67797"/>
  </r>
  <r>
    <n v="11317"/>
    <x v="269"/>
    <x v="6"/>
    <s v="West"/>
    <s v="Amit"/>
    <n v="8"/>
    <n v="19620"/>
    <n v="156960"/>
    <n v="156960"/>
  </r>
  <r>
    <n v="11318"/>
    <x v="92"/>
    <x v="2"/>
    <s v="East"/>
    <s v="Suman"/>
    <n v="6"/>
    <n v="56569"/>
    <n v="339414"/>
    <n v="339414"/>
  </r>
  <r>
    <n v="11319"/>
    <x v="63"/>
    <x v="2"/>
    <s v="East"/>
    <s v="Amit"/>
    <n v="2"/>
    <n v="17964"/>
    <n v="35928"/>
    <n v="35928"/>
  </r>
  <r>
    <n v="11320"/>
    <x v="69"/>
    <x v="4"/>
    <s v="South"/>
    <s v="Rani"/>
    <n v="18"/>
    <n v="34259"/>
    <n v="616662"/>
    <n v="616662"/>
  </r>
  <r>
    <n v="11321"/>
    <x v="13"/>
    <x v="4"/>
    <s v="West"/>
    <s v="Suman"/>
    <n v="10"/>
    <n v="30667"/>
    <n v="306670"/>
    <n v="306670"/>
  </r>
  <r>
    <n v="11322"/>
    <x v="63"/>
    <x v="0"/>
    <s v="East"/>
    <s v="Anita"/>
    <n v="17"/>
    <n v="29887"/>
    <n v="508079"/>
    <n v="508079"/>
  </r>
  <r>
    <n v="11323"/>
    <x v="50"/>
    <x v="5"/>
    <s v="East"/>
    <s v="Suman"/>
    <n v="20"/>
    <n v="21830"/>
    <n v="436600"/>
    <n v="436600"/>
  </r>
  <r>
    <n v="11324"/>
    <x v="33"/>
    <x v="5"/>
    <s v="West"/>
    <s v="Amit"/>
    <n v="8"/>
    <n v="7948"/>
    <n v="63584"/>
    <n v="63584"/>
  </r>
  <r>
    <n v="11325"/>
    <x v="172"/>
    <x v="0"/>
    <s v="East"/>
    <s v="Anita"/>
    <n v="11"/>
    <n v="53230"/>
    <n v="585530"/>
    <n v="585530"/>
  </r>
  <r>
    <n v="11326"/>
    <x v="1"/>
    <x v="3"/>
    <s v="North"/>
    <s v="Suman"/>
    <n v="19"/>
    <n v="18682"/>
    <n v="354958"/>
    <n v="354958"/>
  </r>
  <r>
    <n v="11327"/>
    <x v="194"/>
    <x v="1"/>
    <s v="West"/>
    <s v="Amit"/>
    <n v="7"/>
    <n v="644"/>
    <n v="4508"/>
    <n v="4508"/>
  </r>
  <r>
    <n v="11328"/>
    <x v="269"/>
    <x v="3"/>
    <s v="South"/>
    <s v="Anita"/>
    <n v="1"/>
    <n v="59161"/>
    <n v="59161"/>
    <n v="59161"/>
  </r>
  <r>
    <n v="11329"/>
    <x v="236"/>
    <x v="6"/>
    <s v="West"/>
    <s v="Rahul"/>
    <n v="16"/>
    <n v="52148"/>
    <n v="834368"/>
    <n v="834368"/>
  </r>
  <r>
    <n v="11330"/>
    <x v="40"/>
    <x v="6"/>
    <s v="North"/>
    <s v="Suman"/>
    <n v="20"/>
    <n v="8968"/>
    <n v="179360"/>
    <n v="179360"/>
  </r>
  <r>
    <n v="11331"/>
    <x v="56"/>
    <x v="1"/>
    <s v="North"/>
    <s v="Priya"/>
    <n v="19"/>
    <n v="10656"/>
    <n v="202464"/>
    <n v="202464"/>
  </r>
  <r>
    <n v="11332"/>
    <x v="54"/>
    <x v="1"/>
    <s v="North"/>
    <s v="Priya"/>
    <n v="14"/>
    <n v="15851"/>
    <n v="221914"/>
    <n v="221914"/>
  </r>
  <r>
    <n v="11333"/>
    <x v="207"/>
    <x v="5"/>
    <s v="East"/>
    <s v="Priya"/>
    <n v="18"/>
    <n v="23567"/>
    <n v="424206"/>
    <n v="424206"/>
  </r>
  <r>
    <n v="11334"/>
    <x v="155"/>
    <x v="5"/>
    <s v="South"/>
    <s v="Priya"/>
    <n v="2"/>
    <n v="55752"/>
    <n v="111504"/>
    <n v="111504"/>
  </r>
  <r>
    <n v="11335"/>
    <x v="338"/>
    <x v="3"/>
    <s v="South"/>
    <s v="Anita"/>
    <n v="2"/>
    <n v="22892"/>
    <n v="45784"/>
    <n v="45784"/>
  </r>
  <r>
    <n v="11336"/>
    <x v="342"/>
    <x v="1"/>
    <s v="East"/>
    <s v="Anita"/>
    <n v="10"/>
    <n v="1137"/>
    <n v="11370"/>
    <n v="11370"/>
  </r>
  <r>
    <n v="11337"/>
    <x v="192"/>
    <x v="4"/>
    <s v="South"/>
    <s v="Anita"/>
    <n v="18"/>
    <n v="37012"/>
    <n v="666216"/>
    <n v="666216"/>
  </r>
  <r>
    <n v="11338"/>
    <x v="206"/>
    <x v="2"/>
    <s v="South"/>
    <s v="Rani"/>
    <n v="13"/>
    <n v="22745"/>
    <n v="295685"/>
    <n v="295685"/>
  </r>
  <r>
    <n v="11339"/>
    <x v="315"/>
    <x v="3"/>
    <s v="North"/>
    <s v="Rani"/>
    <n v="9"/>
    <n v="28906"/>
    <n v="260154"/>
    <n v="260154"/>
  </r>
  <r>
    <n v="11340"/>
    <x v="140"/>
    <x v="1"/>
    <s v="West"/>
    <s v="Suman"/>
    <n v="6"/>
    <n v="26257"/>
    <n v="157542"/>
    <n v="157542"/>
  </r>
  <r>
    <n v="11341"/>
    <x v="334"/>
    <x v="6"/>
    <s v="East"/>
    <s v="Suman"/>
    <n v="11"/>
    <n v="17432"/>
    <n v="191752"/>
    <n v="191752"/>
  </r>
  <r>
    <n v="11342"/>
    <x v="164"/>
    <x v="1"/>
    <s v="North"/>
    <s v="Anita"/>
    <n v="2"/>
    <n v="13951"/>
    <n v="27902"/>
    <n v="27902"/>
  </r>
  <r>
    <n v="11343"/>
    <x v="177"/>
    <x v="5"/>
    <s v="East"/>
    <s v="Amit"/>
    <n v="10"/>
    <n v="26612"/>
    <n v="266120"/>
    <n v="266120"/>
  </r>
  <r>
    <n v="11344"/>
    <x v="356"/>
    <x v="1"/>
    <s v="South"/>
    <s v="Suman"/>
    <n v="20"/>
    <n v="25765"/>
    <n v="515300"/>
    <n v="515300"/>
  </r>
  <r>
    <n v="11345"/>
    <x v="137"/>
    <x v="5"/>
    <s v="North"/>
    <s v="Anita"/>
    <n v="5"/>
    <n v="51224"/>
    <n v="256120"/>
    <n v="256120"/>
  </r>
  <r>
    <n v="11346"/>
    <x v="149"/>
    <x v="1"/>
    <s v="North"/>
    <s v="Anita"/>
    <n v="13"/>
    <n v="30472"/>
    <n v="396136"/>
    <n v="396136"/>
  </r>
  <r>
    <n v="11347"/>
    <x v="4"/>
    <x v="6"/>
    <s v="North"/>
    <s v="Suman"/>
    <n v="13"/>
    <n v="43081"/>
    <n v="560053"/>
    <n v="560053"/>
  </r>
  <r>
    <n v="11348"/>
    <x v="265"/>
    <x v="2"/>
    <s v="South"/>
    <s v="Amit"/>
    <n v="7"/>
    <n v="6334"/>
    <n v="44338"/>
    <n v="44338"/>
  </r>
  <r>
    <n v="11349"/>
    <x v="311"/>
    <x v="2"/>
    <s v="South"/>
    <s v="Suman"/>
    <n v="6"/>
    <n v="6912"/>
    <n v="41472"/>
    <n v="41472"/>
  </r>
  <r>
    <n v="11350"/>
    <x v="71"/>
    <x v="4"/>
    <s v="West"/>
    <s v="Amit"/>
    <n v="2"/>
    <n v="10724"/>
    <n v="21448"/>
    <n v="21448"/>
  </r>
  <r>
    <n v="11351"/>
    <x v="68"/>
    <x v="0"/>
    <s v="West"/>
    <s v="Rahul"/>
    <n v="1"/>
    <n v="6471"/>
    <n v="6471"/>
    <n v="6471"/>
  </r>
  <r>
    <n v="11352"/>
    <x v="350"/>
    <x v="4"/>
    <s v="South"/>
    <s v="Rani"/>
    <n v="1"/>
    <n v="55375"/>
    <n v="55375"/>
    <n v="55375"/>
  </r>
  <r>
    <n v="11353"/>
    <x v="358"/>
    <x v="3"/>
    <s v="East"/>
    <s v="Priya"/>
    <n v="6"/>
    <n v="31399"/>
    <n v="188394"/>
    <n v="188394"/>
  </r>
  <r>
    <n v="11354"/>
    <x v="234"/>
    <x v="4"/>
    <s v="South"/>
    <s v="Amit"/>
    <n v="11"/>
    <n v="10295"/>
    <n v="113245"/>
    <n v="113245"/>
  </r>
  <r>
    <n v="11355"/>
    <x v="271"/>
    <x v="5"/>
    <s v="West"/>
    <s v="Anita"/>
    <n v="5"/>
    <n v="19641"/>
    <n v="98205"/>
    <n v="98205"/>
  </r>
  <r>
    <n v="11356"/>
    <x v="320"/>
    <x v="0"/>
    <s v="East"/>
    <s v="Anita"/>
    <n v="19"/>
    <n v="39353"/>
    <n v="747707"/>
    <n v="747707"/>
  </r>
  <r>
    <n v="11357"/>
    <x v="38"/>
    <x v="3"/>
    <s v="North"/>
    <s v="Amit"/>
    <n v="5"/>
    <n v="44014"/>
    <n v="220070"/>
    <n v="220070"/>
  </r>
  <r>
    <n v="11358"/>
    <x v="186"/>
    <x v="2"/>
    <s v="South"/>
    <s v="Priya"/>
    <n v="13"/>
    <n v="36614"/>
    <n v="475982"/>
    <n v="475982"/>
  </r>
  <r>
    <n v="11359"/>
    <x v="9"/>
    <x v="1"/>
    <s v="South"/>
    <s v="Rani"/>
    <n v="18"/>
    <n v="1570"/>
    <n v="28260"/>
    <n v="28260"/>
  </r>
  <r>
    <n v="11360"/>
    <x v="290"/>
    <x v="6"/>
    <s v="West"/>
    <s v="Rahul"/>
    <n v="14"/>
    <n v="51748"/>
    <n v="724472"/>
    <n v="724472"/>
  </r>
  <r>
    <n v="11361"/>
    <x v="37"/>
    <x v="1"/>
    <s v="East"/>
    <s v="Rani"/>
    <n v="20"/>
    <n v="730"/>
    <n v="14600"/>
    <n v="14600"/>
  </r>
  <r>
    <n v="11362"/>
    <x v="134"/>
    <x v="4"/>
    <s v="South"/>
    <s v="Anita"/>
    <n v="11"/>
    <n v="10557"/>
    <n v="116127"/>
    <n v="116127"/>
  </r>
  <r>
    <n v="11363"/>
    <x v="207"/>
    <x v="6"/>
    <s v="East"/>
    <s v="Suman"/>
    <n v="13"/>
    <n v="34954"/>
    <n v="454402"/>
    <n v="454402"/>
  </r>
  <r>
    <n v="11364"/>
    <x v="70"/>
    <x v="5"/>
    <s v="South"/>
    <s v="Amit"/>
    <n v="1"/>
    <n v="9569"/>
    <n v="9569"/>
    <n v="9569"/>
  </r>
  <r>
    <n v="11365"/>
    <x v="59"/>
    <x v="3"/>
    <s v="North"/>
    <s v="Anita"/>
    <n v="13"/>
    <n v="49426"/>
    <n v="642538"/>
    <n v="642538"/>
  </r>
  <r>
    <n v="11366"/>
    <x v="318"/>
    <x v="5"/>
    <s v="East"/>
    <s v="Rani"/>
    <n v="6"/>
    <n v="40605"/>
    <n v="243630"/>
    <n v="243630"/>
  </r>
  <r>
    <n v="11367"/>
    <x v="236"/>
    <x v="1"/>
    <s v="South"/>
    <s v="Anita"/>
    <n v="12"/>
    <n v="27594"/>
    <n v="331128"/>
    <n v="331128"/>
  </r>
  <r>
    <n v="11368"/>
    <x v="212"/>
    <x v="3"/>
    <s v="South"/>
    <s v="Amit"/>
    <n v="15"/>
    <n v="37163"/>
    <n v="557445"/>
    <n v="557445"/>
  </r>
  <r>
    <n v="11369"/>
    <x v="333"/>
    <x v="2"/>
    <s v="West"/>
    <s v="Amit"/>
    <n v="9"/>
    <n v="39020"/>
    <n v="351180"/>
    <n v="351180"/>
  </r>
  <r>
    <n v="11370"/>
    <x v="119"/>
    <x v="4"/>
    <s v="North"/>
    <s v="Priya"/>
    <n v="9"/>
    <n v="19035"/>
    <n v="171315"/>
    <n v="171315"/>
  </r>
  <r>
    <n v="11371"/>
    <x v="138"/>
    <x v="5"/>
    <s v="West"/>
    <s v="Anita"/>
    <n v="5"/>
    <n v="44587"/>
    <n v="222935"/>
    <n v="222935"/>
  </r>
  <r>
    <n v="11372"/>
    <x v="201"/>
    <x v="1"/>
    <s v="West"/>
    <s v="Anita"/>
    <n v="5"/>
    <n v="56406"/>
    <n v="282030"/>
    <n v="282030"/>
  </r>
  <r>
    <n v="11373"/>
    <x v="35"/>
    <x v="2"/>
    <s v="North"/>
    <s v="Rani"/>
    <n v="12"/>
    <n v="58117"/>
    <n v="697404"/>
    <n v="697404"/>
  </r>
  <r>
    <n v="11374"/>
    <x v="124"/>
    <x v="0"/>
    <s v="East"/>
    <s v="Priya"/>
    <n v="10"/>
    <n v="15035"/>
    <n v="150350"/>
    <n v="150350"/>
  </r>
  <r>
    <n v="11375"/>
    <x v="19"/>
    <x v="3"/>
    <s v="North"/>
    <s v="Suman"/>
    <n v="10"/>
    <n v="12490"/>
    <n v="124900"/>
    <n v="124900"/>
  </r>
  <r>
    <n v="11376"/>
    <x v="278"/>
    <x v="3"/>
    <s v="West"/>
    <s v="Rahul"/>
    <n v="16"/>
    <n v="43054"/>
    <n v="688864"/>
    <n v="688864"/>
  </r>
  <r>
    <n v="11377"/>
    <x v="125"/>
    <x v="6"/>
    <s v="West"/>
    <s v="Anita"/>
    <n v="17"/>
    <n v="9521"/>
    <n v="161857"/>
    <n v="161857"/>
  </r>
  <r>
    <n v="11378"/>
    <x v="180"/>
    <x v="1"/>
    <s v="East"/>
    <s v="Amit"/>
    <n v="19"/>
    <n v="24465"/>
    <n v="464835"/>
    <n v="464835"/>
  </r>
  <r>
    <n v="11379"/>
    <x v="336"/>
    <x v="2"/>
    <s v="West"/>
    <s v="Priya"/>
    <n v="11"/>
    <n v="23001"/>
    <n v="253011"/>
    <n v="253011"/>
  </r>
  <r>
    <n v="11380"/>
    <x v="138"/>
    <x v="4"/>
    <s v="North"/>
    <s v="Rani"/>
    <n v="15"/>
    <n v="24524"/>
    <n v="367860"/>
    <n v="367860"/>
  </r>
  <r>
    <n v="11381"/>
    <x v="101"/>
    <x v="6"/>
    <s v="West"/>
    <s v="Rani"/>
    <n v="17"/>
    <n v="10427"/>
    <n v="177259"/>
    <n v="177259"/>
  </r>
  <r>
    <n v="11382"/>
    <x v="166"/>
    <x v="3"/>
    <s v="West"/>
    <s v="Amit"/>
    <n v="3"/>
    <n v="57188"/>
    <n v="171564"/>
    <n v="171564"/>
  </r>
  <r>
    <n v="11383"/>
    <x v="2"/>
    <x v="1"/>
    <s v="West"/>
    <s v="Suman"/>
    <n v="17"/>
    <n v="43300"/>
    <n v="736100"/>
    <n v="736100"/>
  </r>
  <r>
    <n v="11384"/>
    <x v="254"/>
    <x v="3"/>
    <s v="North"/>
    <s v="Suman"/>
    <n v="16"/>
    <n v="26513"/>
    <n v="424208"/>
    <n v="424208"/>
  </r>
  <r>
    <n v="11385"/>
    <x v="217"/>
    <x v="3"/>
    <s v="North"/>
    <s v="Rani"/>
    <n v="1"/>
    <n v="13926"/>
    <n v="13926"/>
    <n v="13926"/>
  </r>
  <r>
    <n v="11386"/>
    <x v="266"/>
    <x v="5"/>
    <s v="South"/>
    <s v="Rahul"/>
    <n v="9"/>
    <n v="20740"/>
    <n v="186660"/>
    <n v="186660"/>
  </r>
  <r>
    <n v="11387"/>
    <x v="200"/>
    <x v="4"/>
    <s v="South"/>
    <s v="Rahul"/>
    <n v="19"/>
    <n v="34166"/>
    <n v="649154"/>
    <n v="649154"/>
  </r>
  <r>
    <n v="11388"/>
    <x v="162"/>
    <x v="2"/>
    <s v="East"/>
    <s v="Anita"/>
    <n v="5"/>
    <n v="24591"/>
    <n v="122955"/>
    <n v="122955"/>
  </r>
  <r>
    <n v="11389"/>
    <x v="359"/>
    <x v="3"/>
    <s v="North"/>
    <s v="Anita"/>
    <n v="11"/>
    <n v="19887"/>
    <n v="218757"/>
    <n v="218757"/>
  </r>
  <r>
    <n v="11390"/>
    <x v="151"/>
    <x v="1"/>
    <s v="South"/>
    <s v="Amit"/>
    <n v="15"/>
    <n v="3406"/>
    <n v="51090"/>
    <n v="51090"/>
  </r>
  <r>
    <n v="11391"/>
    <x v="198"/>
    <x v="1"/>
    <s v="East"/>
    <s v="Rahul"/>
    <n v="9"/>
    <n v="57515"/>
    <n v="517635"/>
    <n v="517635"/>
  </r>
  <r>
    <n v="11392"/>
    <x v="143"/>
    <x v="0"/>
    <s v="North"/>
    <s v="Suman"/>
    <n v="12"/>
    <n v="2424"/>
    <n v="29088"/>
    <n v="29088"/>
  </r>
  <r>
    <n v="11393"/>
    <x v="52"/>
    <x v="3"/>
    <s v="North"/>
    <s v="Rahul"/>
    <n v="5"/>
    <n v="34572"/>
    <n v="172860"/>
    <n v="172860"/>
  </r>
  <r>
    <n v="11394"/>
    <x v="180"/>
    <x v="2"/>
    <s v="South"/>
    <s v="Amit"/>
    <n v="20"/>
    <n v="17573"/>
    <n v="351460"/>
    <n v="351460"/>
  </r>
  <r>
    <n v="11395"/>
    <x v="62"/>
    <x v="6"/>
    <s v="South"/>
    <s v="Suman"/>
    <n v="8"/>
    <n v="3648"/>
    <n v="29184"/>
    <n v="29184"/>
  </r>
  <r>
    <n v="11396"/>
    <x v="12"/>
    <x v="5"/>
    <s v="West"/>
    <s v="Amit"/>
    <n v="19"/>
    <n v="7140"/>
    <n v="135660"/>
    <n v="135660"/>
  </r>
  <r>
    <n v="11397"/>
    <x v="332"/>
    <x v="0"/>
    <s v="South"/>
    <s v="Priya"/>
    <n v="3"/>
    <n v="51009"/>
    <n v="153027"/>
    <n v="153027"/>
  </r>
  <r>
    <n v="11398"/>
    <x v="349"/>
    <x v="6"/>
    <s v="South"/>
    <s v="Priya"/>
    <n v="11"/>
    <n v="33760"/>
    <n v="371360"/>
    <n v="371360"/>
  </r>
  <r>
    <n v="11399"/>
    <x v="223"/>
    <x v="3"/>
    <s v="North"/>
    <s v="Suman"/>
    <n v="7"/>
    <n v="17911"/>
    <n v="125377"/>
    <n v="125377"/>
  </r>
  <r>
    <n v="11400"/>
    <x v="59"/>
    <x v="5"/>
    <s v="East"/>
    <s v="Rani"/>
    <n v="19"/>
    <n v="29545"/>
    <n v="561355"/>
    <n v="561355"/>
  </r>
  <r>
    <n v="11401"/>
    <x v="335"/>
    <x v="4"/>
    <s v="East"/>
    <s v="Suman"/>
    <n v="11"/>
    <n v="31846"/>
    <n v="350306"/>
    <n v="350306"/>
  </r>
  <r>
    <n v="11402"/>
    <x v="182"/>
    <x v="1"/>
    <s v="South"/>
    <s v="Amit"/>
    <n v="13"/>
    <n v="15719"/>
    <n v="204347"/>
    <n v="204347"/>
  </r>
  <r>
    <n v="11403"/>
    <x v="79"/>
    <x v="2"/>
    <s v="East"/>
    <s v="Priya"/>
    <n v="8"/>
    <n v="25076"/>
    <n v="200608"/>
    <n v="200608"/>
  </r>
  <r>
    <n v="11404"/>
    <x v="256"/>
    <x v="0"/>
    <s v="West"/>
    <s v="Anita"/>
    <n v="12"/>
    <n v="11652"/>
    <n v="139824"/>
    <n v="139824"/>
  </r>
  <r>
    <n v="11405"/>
    <x v="354"/>
    <x v="1"/>
    <s v="East"/>
    <s v="Suman"/>
    <n v="15"/>
    <n v="43265"/>
    <n v="648975"/>
    <n v="648975"/>
  </r>
  <r>
    <n v="11406"/>
    <x v="223"/>
    <x v="1"/>
    <s v="North"/>
    <s v="Suman"/>
    <n v="10"/>
    <n v="2325"/>
    <n v="23250"/>
    <n v="23250"/>
  </r>
  <r>
    <n v="11407"/>
    <x v="311"/>
    <x v="2"/>
    <s v="South"/>
    <s v="Rahul"/>
    <n v="9"/>
    <n v="49457"/>
    <n v="445113"/>
    <n v="445113"/>
  </r>
  <r>
    <n v="11408"/>
    <x v="334"/>
    <x v="0"/>
    <s v="North"/>
    <s v="Rahul"/>
    <n v="13"/>
    <n v="29238"/>
    <n v="380094"/>
    <n v="380094"/>
  </r>
  <r>
    <n v="11409"/>
    <x v="191"/>
    <x v="1"/>
    <s v="South"/>
    <s v="Priya"/>
    <n v="15"/>
    <n v="37679"/>
    <n v="565185"/>
    <n v="565185"/>
  </r>
  <r>
    <n v="11410"/>
    <x v="36"/>
    <x v="2"/>
    <s v="East"/>
    <s v="Suman"/>
    <n v="18"/>
    <n v="53921"/>
    <n v="970578"/>
    <n v="970578"/>
  </r>
  <r>
    <n v="11411"/>
    <x v="263"/>
    <x v="2"/>
    <s v="East"/>
    <s v="Amit"/>
    <n v="12"/>
    <n v="38730"/>
    <n v="464760"/>
    <n v="464760"/>
  </r>
  <r>
    <n v="11412"/>
    <x v="352"/>
    <x v="0"/>
    <s v="South"/>
    <s v="Amit"/>
    <n v="13"/>
    <n v="9088"/>
    <n v="118144"/>
    <n v="118144"/>
  </r>
  <r>
    <n v="11413"/>
    <x v="185"/>
    <x v="1"/>
    <s v="South"/>
    <s v="Priya"/>
    <n v="17"/>
    <n v="42835"/>
    <n v="728195"/>
    <n v="728195"/>
  </r>
  <r>
    <n v="11414"/>
    <x v="273"/>
    <x v="5"/>
    <s v="East"/>
    <s v="Priya"/>
    <n v="17"/>
    <n v="53895"/>
    <n v="916215"/>
    <n v="916215"/>
  </r>
  <r>
    <n v="11415"/>
    <x v="274"/>
    <x v="0"/>
    <s v="North"/>
    <s v="Rahul"/>
    <n v="14"/>
    <n v="37812"/>
    <n v="529368"/>
    <n v="529368"/>
  </r>
  <r>
    <n v="11416"/>
    <x v="247"/>
    <x v="1"/>
    <s v="North"/>
    <s v="Anita"/>
    <n v="13"/>
    <n v="4553"/>
    <n v="59189"/>
    <n v="59189"/>
  </r>
  <r>
    <n v="11417"/>
    <x v="156"/>
    <x v="1"/>
    <s v="East"/>
    <s v="Priya"/>
    <n v="19"/>
    <n v="32996"/>
    <n v="626924"/>
    <n v="626924"/>
  </r>
  <r>
    <n v="11418"/>
    <x v="141"/>
    <x v="5"/>
    <s v="North"/>
    <s v="Anita"/>
    <n v="14"/>
    <n v="17816"/>
    <n v="249424"/>
    <n v="249424"/>
  </r>
  <r>
    <n v="11419"/>
    <x v="320"/>
    <x v="0"/>
    <s v="South"/>
    <s v="Rahul"/>
    <n v="14"/>
    <n v="9196"/>
    <n v="128744"/>
    <n v="128744"/>
  </r>
  <r>
    <n v="11420"/>
    <x v="239"/>
    <x v="6"/>
    <s v="West"/>
    <s v="Amit"/>
    <n v="2"/>
    <n v="55702"/>
    <n v="111404"/>
    <n v="111404"/>
  </r>
  <r>
    <n v="11421"/>
    <x v="326"/>
    <x v="5"/>
    <s v="North"/>
    <s v="Rahul"/>
    <n v="8"/>
    <n v="39323"/>
    <n v="314584"/>
    <n v="314584"/>
  </r>
  <r>
    <n v="11422"/>
    <x v="141"/>
    <x v="5"/>
    <s v="North"/>
    <s v="Priya"/>
    <n v="16"/>
    <n v="57883"/>
    <n v="926128"/>
    <n v="926128"/>
  </r>
  <r>
    <n v="11423"/>
    <x v="327"/>
    <x v="6"/>
    <s v="East"/>
    <s v="Suman"/>
    <n v="19"/>
    <n v="35111"/>
    <n v="667109"/>
    <n v="667109"/>
  </r>
  <r>
    <n v="11424"/>
    <x v="97"/>
    <x v="5"/>
    <s v="North"/>
    <s v="Priya"/>
    <n v="8"/>
    <n v="10993"/>
    <n v="87944"/>
    <n v="87944"/>
  </r>
  <r>
    <n v="11425"/>
    <x v="102"/>
    <x v="1"/>
    <s v="West"/>
    <s v="Anita"/>
    <n v="19"/>
    <n v="40114"/>
    <n v="762166"/>
    <n v="762166"/>
  </r>
  <r>
    <n v="11426"/>
    <x v="270"/>
    <x v="6"/>
    <s v="South"/>
    <s v="Suman"/>
    <n v="5"/>
    <n v="17883"/>
    <n v="89415"/>
    <n v="89415"/>
  </r>
  <r>
    <n v="11427"/>
    <x v="226"/>
    <x v="2"/>
    <s v="East"/>
    <s v="Anita"/>
    <n v="19"/>
    <n v="26785"/>
    <n v="508915"/>
    <n v="508915"/>
  </r>
  <r>
    <n v="11428"/>
    <x v="8"/>
    <x v="4"/>
    <s v="East"/>
    <s v="Amit"/>
    <n v="20"/>
    <n v="1900"/>
    <n v="38000"/>
    <n v="38000"/>
  </r>
  <r>
    <n v="11429"/>
    <x v="123"/>
    <x v="0"/>
    <s v="North"/>
    <s v="Priya"/>
    <n v="11"/>
    <n v="22450"/>
    <n v="246950"/>
    <n v="246950"/>
  </r>
  <r>
    <n v="11430"/>
    <x v="46"/>
    <x v="1"/>
    <s v="South"/>
    <s v="Amit"/>
    <n v="5"/>
    <n v="29726"/>
    <n v="148630"/>
    <n v="148630"/>
  </r>
  <r>
    <n v="11431"/>
    <x v="180"/>
    <x v="4"/>
    <s v="East"/>
    <s v="Suman"/>
    <n v="12"/>
    <n v="6994"/>
    <n v="83928"/>
    <n v="83928"/>
  </r>
  <r>
    <n v="11432"/>
    <x v="78"/>
    <x v="4"/>
    <s v="North"/>
    <s v="Priya"/>
    <n v="17"/>
    <n v="41723"/>
    <n v="709291"/>
    <n v="709291"/>
  </r>
  <r>
    <n v="11433"/>
    <x v="226"/>
    <x v="6"/>
    <s v="East"/>
    <s v="Suman"/>
    <n v="5"/>
    <n v="41526"/>
    <n v="207630"/>
    <n v="207630"/>
  </r>
  <r>
    <n v="11434"/>
    <x v="221"/>
    <x v="5"/>
    <s v="North"/>
    <s v="Suman"/>
    <n v="11"/>
    <n v="32729"/>
    <n v="360019"/>
    <n v="360019"/>
  </r>
  <r>
    <n v="11435"/>
    <x v="40"/>
    <x v="0"/>
    <s v="East"/>
    <s v="Suman"/>
    <n v="10"/>
    <n v="9939"/>
    <n v="99390"/>
    <n v="99390"/>
  </r>
  <r>
    <n v="11436"/>
    <x v="89"/>
    <x v="5"/>
    <s v="East"/>
    <s v="Suman"/>
    <n v="6"/>
    <n v="47855"/>
    <n v="287130"/>
    <n v="287130"/>
  </r>
  <r>
    <n v="11437"/>
    <x v="277"/>
    <x v="4"/>
    <s v="North"/>
    <s v="Suman"/>
    <n v="12"/>
    <n v="33244"/>
    <n v="398928"/>
    <n v="398928"/>
  </r>
  <r>
    <n v="11438"/>
    <x v="209"/>
    <x v="3"/>
    <s v="East"/>
    <s v="Anita"/>
    <n v="9"/>
    <n v="53941"/>
    <n v="485469"/>
    <n v="485469"/>
  </r>
  <r>
    <n v="11439"/>
    <x v="33"/>
    <x v="2"/>
    <s v="East"/>
    <s v="Suman"/>
    <n v="12"/>
    <n v="33569"/>
    <n v="402828"/>
    <n v="402828"/>
  </r>
  <r>
    <n v="11440"/>
    <x v="256"/>
    <x v="0"/>
    <s v="West"/>
    <s v="Amit"/>
    <n v="5"/>
    <n v="44431"/>
    <n v="222155"/>
    <n v="222155"/>
  </r>
  <r>
    <n v="11441"/>
    <x v="314"/>
    <x v="3"/>
    <s v="West"/>
    <s v="Rani"/>
    <n v="8"/>
    <n v="18531"/>
    <n v="148248"/>
    <n v="148248"/>
  </r>
  <r>
    <n v="11442"/>
    <x v="64"/>
    <x v="1"/>
    <s v="East"/>
    <s v="Priya"/>
    <n v="4"/>
    <n v="32785"/>
    <n v="131140"/>
    <n v="131140"/>
  </r>
  <r>
    <n v="11443"/>
    <x v="241"/>
    <x v="0"/>
    <s v="West"/>
    <s v="Anita"/>
    <n v="10"/>
    <n v="26505"/>
    <n v="265050"/>
    <n v="265050"/>
  </r>
  <r>
    <n v="11444"/>
    <x v="2"/>
    <x v="1"/>
    <s v="West"/>
    <s v="Amit"/>
    <n v="6"/>
    <n v="30126"/>
    <n v="180756"/>
    <n v="180756"/>
  </r>
  <r>
    <n v="11445"/>
    <x v="268"/>
    <x v="1"/>
    <s v="East"/>
    <s v="Suman"/>
    <n v="9"/>
    <n v="4434"/>
    <n v="39906"/>
    <n v="39906"/>
  </r>
  <r>
    <n v="11446"/>
    <x v="333"/>
    <x v="5"/>
    <s v="West"/>
    <s v="Priya"/>
    <n v="3"/>
    <n v="39880"/>
    <n v="119640"/>
    <n v="119640"/>
  </r>
  <r>
    <n v="11447"/>
    <x v="83"/>
    <x v="4"/>
    <s v="North"/>
    <s v="Anita"/>
    <n v="1"/>
    <n v="50846"/>
    <n v="50846"/>
    <n v="50846"/>
  </r>
  <r>
    <n v="11448"/>
    <x v="203"/>
    <x v="1"/>
    <s v="West"/>
    <s v="Priya"/>
    <n v="8"/>
    <n v="10020"/>
    <n v="80160"/>
    <n v="80160"/>
  </r>
  <r>
    <n v="11449"/>
    <x v="110"/>
    <x v="1"/>
    <s v="East"/>
    <s v="Priya"/>
    <n v="14"/>
    <n v="56606"/>
    <n v="792484"/>
    <n v="792484"/>
  </r>
  <r>
    <n v="11450"/>
    <x v="320"/>
    <x v="1"/>
    <s v="South"/>
    <s v="Anita"/>
    <n v="11"/>
    <n v="29814"/>
    <n v="327954"/>
    <n v="327954"/>
  </r>
  <r>
    <n v="11451"/>
    <x v="192"/>
    <x v="5"/>
    <s v="North"/>
    <s v="Anita"/>
    <n v="13"/>
    <n v="30025"/>
    <n v="390325"/>
    <n v="390325"/>
  </r>
  <r>
    <n v="11452"/>
    <x v="247"/>
    <x v="0"/>
    <s v="East"/>
    <s v="Amit"/>
    <n v="18"/>
    <n v="54591"/>
    <n v="982638"/>
    <n v="982638"/>
  </r>
  <r>
    <n v="11453"/>
    <x v="20"/>
    <x v="0"/>
    <s v="South"/>
    <s v="Priya"/>
    <n v="20"/>
    <n v="2748"/>
    <n v="54960"/>
    <n v="54960"/>
  </r>
  <r>
    <n v="11454"/>
    <x v="79"/>
    <x v="3"/>
    <s v="East"/>
    <s v="Priya"/>
    <n v="4"/>
    <n v="36085"/>
    <n v="144340"/>
    <n v="144340"/>
  </r>
  <r>
    <n v="11455"/>
    <x v="12"/>
    <x v="1"/>
    <s v="East"/>
    <s v="Priya"/>
    <n v="12"/>
    <n v="51222"/>
    <n v="614664"/>
    <n v="614664"/>
  </r>
  <r>
    <n v="11456"/>
    <x v="195"/>
    <x v="6"/>
    <s v="West"/>
    <s v="Priya"/>
    <n v="4"/>
    <n v="41921"/>
    <n v="167684"/>
    <n v="167684"/>
  </r>
  <r>
    <n v="11457"/>
    <x v="119"/>
    <x v="2"/>
    <s v="West"/>
    <s v="Rani"/>
    <n v="6"/>
    <n v="2041"/>
    <n v="12246"/>
    <n v="12246"/>
  </r>
  <r>
    <n v="11458"/>
    <x v="1"/>
    <x v="6"/>
    <s v="West"/>
    <s v="Rani"/>
    <n v="10"/>
    <n v="35406"/>
    <n v="354060"/>
    <n v="354060"/>
  </r>
  <r>
    <n v="11459"/>
    <x v="65"/>
    <x v="0"/>
    <s v="South"/>
    <s v="Suman"/>
    <n v="13"/>
    <n v="44245"/>
    <n v="575185"/>
    <n v="575185"/>
  </r>
  <r>
    <n v="11460"/>
    <x v="247"/>
    <x v="1"/>
    <s v="South"/>
    <s v="Rani"/>
    <n v="19"/>
    <n v="56866"/>
    <n v="1080454"/>
    <n v="1080454"/>
  </r>
  <r>
    <n v="11461"/>
    <x v="241"/>
    <x v="6"/>
    <s v="North"/>
    <s v="Rahul"/>
    <n v="3"/>
    <n v="22063"/>
    <n v="66189"/>
    <n v="66189"/>
  </r>
  <r>
    <n v="11462"/>
    <x v="324"/>
    <x v="0"/>
    <s v="North"/>
    <s v="Suman"/>
    <n v="11"/>
    <n v="54675"/>
    <n v="601425"/>
    <n v="601425"/>
  </r>
  <r>
    <n v="11463"/>
    <x v="201"/>
    <x v="5"/>
    <s v="East"/>
    <s v="Anita"/>
    <n v="9"/>
    <n v="39357"/>
    <n v="354213"/>
    <n v="354213"/>
  </r>
  <r>
    <n v="11464"/>
    <x v="163"/>
    <x v="3"/>
    <s v="North"/>
    <s v="Amit"/>
    <n v="3"/>
    <n v="45081"/>
    <n v="135243"/>
    <n v="135243"/>
  </r>
  <r>
    <n v="11465"/>
    <x v="212"/>
    <x v="3"/>
    <s v="South"/>
    <s v="Rani"/>
    <n v="7"/>
    <n v="5621"/>
    <n v="39347"/>
    <n v="39347"/>
  </r>
  <r>
    <n v="11466"/>
    <x v="28"/>
    <x v="6"/>
    <s v="South"/>
    <s v="Amit"/>
    <n v="4"/>
    <n v="3595"/>
    <n v="14380"/>
    <n v="14380"/>
  </r>
  <r>
    <n v="11467"/>
    <x v="154"/>
    <x v="3"/>
    <s v="North"/>
    <s v="Suman"/>
    <n v="4"/>
    <n v="28465"/>
    <n v="113860"/>
    <n v="113860"/>
  </r>
  <r>
    <n v="11468"/>
    <x v="293"/>
    <x v="3"/>
    <s v="West"/>
    <s v="Priya"/>
    <n v="16"/>
    <n v="41170"/>
    <n v="658720"/>
    <n v="658720"/>
  </r>
  <r>
    <n v="11469"/>
    <x v="92"/>
    <x v="0"/>
    <s v="West"/>
    <s v="Rahul"/>
    <n v="7"/>
    <n v="16869"/>
    <n v="118083"/>
    <n v="118083"/>
  </r>
  <r>
    <n v="11470"/>
    <x v="252"/>
    <x v="0"/>
    <s v="South"/>
    <s v="Amit"/>
    <n v="7"/>
    <n v="22130"/>
    <n v="154910"/>
    <n v="154910"/>
  </r>
  <r>
    <n v="11471"/>
    <x v="45"/>
    <x v="5"/>
    <s v="North"/>
    <s v="Rani"/>
    <n v="12"/>
    <n v="29551"/>
    <n v="354612"/>
    <n v="354612"/>
  </r>
  <r>
    <n v="11472"/>
    <x v="322"/>
    <x v="6"/>
    <s v="North"/>
    <s v="Anita"/>
    <n v="3"/>
    <n v="39477"/>
    <n v="118431"/>
    <n v="118431"/>
  </r>
  <r>
    <n v="11473"/>
    <x v="224"/>
    <x v="4"/>
    <s v="South"/>
    <s v="Amit"/>
    <n v="8"/>
    <n v="35564"/>
    <n v="284512"/>
    <n v="284512"/>
  </r>
  <r>
    <n v="11474"/>
    <x v="324"/>
    <x v="0"/>
    <s v="North"/>
    <s v="Suman"/>
    <n v="3"/>
    <n v="26320"/>
    <n v="78960"/>
    <n v="78960"/>
  </r>
  <r>
    <n v="11475"/>
    <x v="243"/>
    <x v="1"/>
    <s v="East"/>
    <s v="Suman"/>
    <n v="4"/>
    <n v="36849"/>
    <n v="147396"/>
    <n v="147396"/>
  </r>
  <r>
    <n v="11476"/>
    <x v="281"/>
    <x v="4"/>
    <s v="West"/>
    <s v="Rani"/>
    <n v="5"/>
    <n v="23042"/>
    <n v="115210"/>
    <n v="115210"/>
  </r>
  <r>
    <n v="11477"/>
    <x v="328"/>
    <x v="4"/>
    <s v="West"/>
    <s v="Suman"/>
    <n v="14"/>
    <n v="32184"/>
    <n v="450576"/>
    <n v="450576"/>
  </r>
  <r>
    <n v="11478"/>
    <x v="36"/>
    <x v="6"/>
    <s v="West"/>
    <s v="Anita"/>
    <n v="19"/>
    <n v="39431"/>
    <n v="749189"/>
    <n v="749189"/>
  </r>
  <r>
    <n v="11479"/>
    <x v="259"/>
    <x v="4"/>
    <s v="East"/>
    <s v="Rahul"/>
    <n v="3"/>
    <n v="43624"/>
    <n v="130872"/>
    <n v="130872"/>
  </r>
  <r>
    <n v="11480"/>
    <x v="349"/>
    <x v="3"/>
    <s v="West"/>
    <s v="Amit"/>
    <n v="12"/>
    <n v="41358"/>
    <n v="496296"/>
    <n v="496296"/>
  </r>
  <r>
    <n v="11481"/>
    <x v="305"/>
    <x v="4"/>
    <s v="North"/>
    <s v="Suman"/>
    <n v="12"/>
    <n v="14262"/>
    <n v="171144"/>
    <n v="171144"/>
  </r>
  <r>
    <n v="11482"/>
    <x v="254"/>
    <x v="4"/>
    <s v="South"/>
    <s v="Priya"/>
    <n v="13"/>
    <n v="25951"/>
    <n v="337363"/>
    <n v="337363"/>
  </r>
  <r>
    <n v="11483"/>
    <x v="3"/>
    <x v="2"/>
    <s v="East"/>
    <s v="Anita"/>
    <n v="2"/>
    <n v="52103"/>
    <n v="104206"/>
    <n v="104206"/>
  </r>
  <r>
    <n v="11484"/>
    <x v="121"/>
    <x v="5"/>
    <s v="West"/>
    <s v="Anita"/>
    <n v="14"/>
    <n v="44213"/>
    <n v="618982"/>
    <n v="618982"/>
  </r>
  <r>
    <n v="11485"/>
    <x v="43"/>
    <x v="6"/>
    <s v="North"/>
    <s v="Rani"/>
    <n v="15"/>
    <n v="37038"/>
    <n v="555570"/>
    <n v="555570"/>
  </r>
  <r>
    <n v="11486"/>
    <x v="169"/>
    <x v="1"/>
    <s v="North"/>
    <s v="Amit"/>
    <n v="16"/>
    <n v="52824"/>
    <n v="845184"/>
    <n v="845184"/>
  </r>
  <r>
    <n v="11487"/>
    <x v="119"/>
    <x v="2"/>
    <s v="East"/>
    <s v="Anita"/>
    <n v="1"/>
    <n v="40621"/>
    <n v="40621"/>
    <n v="40621"/>
  </r>
  <r>
    <n v="11488"/>
    <x v="258"/>
    <x v="2"/>
    <s v="East"/>
    <s v="Rahul"/>
    <n v="13"/>
    <n v="2171"/>
    <n v="28223"/>
    <n v="28223"/>
  </r>
  <r>
    <n v="11489"/>
    <x v="350"/>
    <x v="0"/>
    <s v="East"/>
    <s v="Amit"/>
    <n v="6"/>
    <n v="6049"/>
    <n v="36294"/>
    <n v="36294"/>
  </r>
  <r>
    <n v="11490"/>
    <x v="353"/>
    <x v="6"/>
    <s v="South"/>
    <s v="Rani"/>
    <n v="9"/>
    <n v="14870"/>
    <n v="133830"/>
    <n v="133830"/>
  </r>
  <r>
    <n v="11491"/>
    <x v="246"/>
    <x v="1"/>
    <s v="North"/>
    <s v="Priya"/>
    <n v="6"/>
    <n v="1778"/>
    <n v="10668"/>
    <n v="10668"/>
  </r>
  <r>
    <n v="11492"/>
    <x v="359"/>
    <x v="6"/>
    <s v="North"/>
    <s v="Anita"/>
    <n v="6"/>
    <n v="23887"/>
    <n v="143322"/>
    <n v="143322"/>
  </r>
  <r>
    <n v="11493"/>
    <x v="126"/>
    <x v="5"/>
    <s v="South"/>
    <s v="Amit"/>
    <n v="12"/>
    <n v="48466"/>
    <n v="581592"/>
    <n v="581592"/>
  </r>
  <r>
    <n v="11494"/>
    <x v="291"/>
    <x v="0"/>
    <s v="East"/>
    <s v="Anita"/>
    <n v="8"/>
    <n v="32689"/>
    <n v="261512"/>
    <n v="261512"/>
  </r>
  <r>
    <n v="11495"/>
    <x v="26"/>
    <x v="0"/>
    <s v="West"/>
    <s v="Rani"/>
    <n v="9"/>
    <n v="1581"/>
    <n v="14229"/>
    <n v="14229"/>
  </r>
  <r>
    <n v="11496"/>
    <x v="334"/>
    <x v="1"/>
    <s v="North"/>
    <s v="Rani"/>
    <n v="4"/>
    <n v="43904"/>
    <n v="175616"/>
    <n v="175616"/>
  </r>
  <r>
    <n v="11497"/>
    <x v="45"/>
    <x v="2"/>
    <s v="North"/>
    <s v="Priya"/>
    <n v="17"/>
    <n v="20249"/>
    <n v="344233"/>
    <n v="344233"/>
  </r>
  <r>
    <n v="11498"/>
    <x v="232"/>
    <x v="2"/>
    <s v="South"/>
    <s v="Suman"/>
    <n v="1"/>
    <n v="13402"/>
    <n v="13402"/>
    <n v="13402"/>
  </r>
  <r>
    <n v="11499"/>
    <x v="137"/>
    <x v="5"/>
    <s v="North"/>
    <s v="Anita"/>
    <n v="4"/>
    <n v="21183"/>
    <n v="84732"/>
    <n v="84732"/>
  </r>
  <r>
    <n v="11500"/>
    <x v="41"/>
    <x v="1"/>
    <s v="South"/>
    <s v="Rahul"/>
    <n v="4"/>
    <n v="11826"/>
    <n v="47304"/>
    <n v="47304"/>
  </r>
  <r>
    <n v="11501"/>
    <x v="345"/>
    <x v="4"/>
    <s v="South"/>
    <s v="Anita"/>
    <n v="16"/>
    <n v="51369"/>
    <n v="821904"/>
    <n v="821904"/>
  </r>
  <r>
    <n v="11502"/>
    <x v="175"/>
    <x v="2"/>
    <s v="West"/>
    <s v="Rani"/>
    <n v="14"/>
    <n v="26993"/>
    <n v="377902"/>
    <n v="377902"/>
  </r>
  <r>
    <n v="11503"/>
    <x v="285"/>
    <x v="3"/>
    <s v="East"/>
    <s v="Amit"/>
    <n v="15"/>
    <n v="31554"/>
    <n v="473310"/>
    <n v="473310"/>
  </r>
  <r>
    <n v="11504"/>
    <x v="104"/>
    <x v="1"/>
    <s v="South"/>
    <s v="Amit"/>
    <n v="13"/>
    <n v="37393"/>
    <n v="486109"/>
    <n v="486109"/>
  </r>
  <r>
    <n v="11505"/>
    <x v="267"/>
    <x v="4"/>
    <s v="South"/>
    <s v="Rani"/>
    <n v="9"/>
    <n v="28877"/>
    <n v="259893"/>
    <n v="259893"/>
  </r>
  <r>
    <n v="11506"/>
    <x v="297"/>
    <x v="2"/>
    <s v="East"/>
    <s v="Rahul"/>
    <n v="19"/>
    <n v="25772"/>
    <n v="489668"/>
    <n v="489668"/>
  </r>
  <r>
    <n v="11507"/>
    <x v="300"/>
    <x v="4"/>
    <s v="East"/>
    <s v="Suman"/>
    <n v="20"/>
    <n v="19434"/>
    <n v="388680"/>
    <n v="388680"/>
  </r>
  <r>
    <n v="11508"/>
    <x v="209"/>
    <x v="2"/>
    <s v="East"/>
    <s v="Rahul"/>
    <n v="20"/>
    <n v="55964"/>
    <n v="1119280"/>
    <n v="1119280"/>
  </r>
  <r>
    <n v="11509"/>
    <x v="164"/>
    <x v="5"/>
    <s v="South"/>
    <s v="Rani"/>
    <n v="14"/>
    <n v="13654"/>
    <n v="191156"/>
    <n v="191156"/>
  </r>
  <r>
    <n v="11510"/>
    <x v="285"/>
    <x v="6"/>
    <s v="North"/>
    <s v="Amit"/>
    <n v="1"/>
    <n v="11348"/>
    <n v="11348"/>
    <n v="11348"/>
  </r>
  <r>
    <n v="11511"/>
    <x v="278"/>
    <x v="1"/>
    <s v="West"/>
    <s v="Anita"/>
    <n v="7"/>
    <n v="17331"/>
    <n v="121317"/>
    <n v="121317"/>
  </r>
  <r>
    <n v="11512"/>
    <x v="116"/>
    <x v="5"/>
    <s v="West"/>
    <s v="Priya"/>
    <n v="6"/>
    <n v="48449"/>
    <n v="290694"/>
    <n v="290694"/>
  </r>
  <r>
    <n v="11513"/>
    <x v="142"/>
    <x v="3"/>
    <s v="West"/>
    <s v="Priya"/>
    <n v="16"/>
    <n v="56260"/>
    <n v="900160"/>
    <n v="900160"/>
  </r>
  <r>
    <n v="11514"/>
    <x v="72"/>
    <x v="4"/>
    <s v="West"/>
    <s v="Suman"/>
    <n v="15"/>
    <n v="19810"/>
    <n v="297150"/>
    <n v="297150"/>
  </r>
  <r>
    <n v="11515"/>
    <x v="85"/>
    <x v="4"/>
    <s v="East"/>
    <s v="Anita"/>
    <n v="9"/>
    <n v="30642"/>
    <n v="275778"/>
    <n v="275778"/>
  </r>
  <r>
    <n v="11516"/>
    <x v="302"/>
    <x v="5"/>
    <s v="South"/>
    <s v="Anita"/>
    <n v="20"/>
    <n v="33128"/>
    <n v="662560"/>
    <n v="662560"/>
  </r>
  <r>
    <n v="11517"/>
    <x v="38"/>
    <x v="4"/>
    <s v="East"/>
    <s v="Rani"/>
    <n v="11"/>
    <n v="18651"/>
    <n v="205161"/>
    <n v="205161"/>
  </r>
  <r>
    <n v="11518"/>
    <x v="342"/>
    <x v="3"/>
    <s v="North"/>
    <s v="Anita"/>
    <n v="3"/>
    <n v="8386"/>
    <n v="25158"/>
    <n v="25158"/>
  </r>
  <r>
    <n v="11519"/>
    <x v="58"/>
    <x v="3"/>
    <s v="South"/>
    <s v="Rahul"/>
    <n v="12"/>
    <n v="52590"/>
    <n v="631080"/>
    <n v="631080"/>
  </r>
  <r>
    <n v="11520"/>
    <x v="343"/>
    <x v="6"/>
    <s v="East"/>
    <s v="Priya"/>
    <n v="3"/>
    <n v="15158"/>
    <n v="45474"/>
    <n v="45474"/>
  </r>
  <r>
    <n v="11521"/>
    <x v="69"/>
    <x v="1"/>
    <s v="West"/>
    <s v="Rani"/>
    <n v="11"/>
    <n v="7672"/>
    <n v="84392"/>
    <n v="84392"/>
  </r>
  <r>
    <n v="11522"/>
    <x v="98"/>
    <x v="1"/>
    <s v="South"/>
    <s v="Rahul"/>
    <n v="16"/>
    <n v="41394"/>
    <n v="662304"/>
    <n v="662304"/>
  </r>
  <r>
    <n v="11523"/>
    <x v="285"/>
    <x v="6"/>
    <s v="South"/>
    <s v="Suman"/>
    <n v="11"/>
    <n v="38868"/>
    <n v="427548"/>
    <n v="427548"/>
  </r>
  <r>
    <n v="11524"/>
    <x v="85"/>
    <x v="5"/>
    <s v="East"/>
    <s v="Amit"/>
    <n v="10"/>
    <n v="5198"/>
    <n v="51980"/>
    <n v="51980"/>
  </r>
  <r>
    <n v="11525"/>
    <x v="209"/>
    <x v="1"/>
    <s v="West"/>
    <s v="Rahul"/>
    <n v="4"/>
    <n v="3530"/>
    <n v="14120"/>
    <n v="14120"/>
  </r>
  <r>
    <n v="11526"/>
    <x v="175"/>
    <x v="0"/>
    <s v="South"/>
    <s v="Anita"/>
    <n v="17"/>
    <n v="38343"/>
    <n v="651831"/>
    <n v="651831"/>
  </r>
  <r>
    <n v="11527"/>
    <x v="179"/>
    <x v="1"/>
    <s v="North"/>
    <s v="Rahul"/>
    <n v="18"/>
    <n v="11601"/>
    <n v="208818"/>
    <n v="208818"/>
  </r>
  <r>
    <n v="11528"/>
    <x v="56"/>
    <x v="1"/>
    <s v="West"/>
    <s v="Amit"/>
    <n v="5"/>
    <n v="29614"/>
    <n v="148070"/>
    <n v="148070"/>
  </r>
  <r>
    <n v="11529"/>
    <x v="64"/>
    <x v="3"/>
    <s v="East"/>
    <s v="Rahul"/>
    <n v="13"/>
    <n v="14215"/>
    <n v="184795"/>
    <n v="184795"/>
  </r>
  <r>
    <n v="11530"/>
    <x v="200"/>
    <x v="2"/>
    <s v="East"/>
    <s v="Anita"/>
    <n v="14"/>
    <n v="14830"/>
    <n v="207620"/>
    <n v="207620"/>
  </r>
  <r>
    <n v="11531"/>
    <x v="343"/>
    <x v="6"/>
    <s v="North"/>
    <s v="Anita"/>
    <n v="18"/>
    <n v="34162"/>
    <n v="614916"/>
    <n v="614916"/>
  </r>
  <r>
    <n v="11532"/>
    <x v="213"/>
    <x v="4"/>
    <s v="North"/>
    <s v="Suman"/>
    <n v="20"/>
    <n v="52065"/>
    <n v="1041300"/>
    <n v="1041300"/>
  </r>
  <r>
    <n v="11533"/>
    <x v="74"/>
    <x v="2"/>
    <s v="North"/>
    <s v="Rahul"/>
    <n v="3"/>
    <n v="23023"/>
    <n v="69069"/>
    <n v="69069"/>
  </r>
  <r>
    <n v="11534"/>
    <x v="175"/>
    <x v="3"/>
    <s v="West"/>
    <s v="Priya"/>
    <n v="4"/>
    <n v="12776"/>
    <n v="51104"/>
    <n v="51104"/>
  </r>
  <r>
    <n v="11535"/>
    <x v="82"/>
    <x v="2"/>
    <s v="South"/>
    <s v="Amit"/>
    <n v="14"/>
    <n v="10717"/>
    <n v="150038"/>
    <n v="150038"/>
  </r>
  <r>
    <n v="11536"/>
    <x v="272"/>
    <x v="2"/>
    <s v="North"/>
    <s v="Anita"/>
    <n v="20"/>
    <n v="38414"/>
    <n v="768280"/>
    <n v="768280"/>
  </r>
  <r>
    <n v="11537"/>
    <x v="261"/>
    <x v="4"/>
    <s v="South"/>
    <s v="Priya"/>
    <n v="7"/>
    <n v="36017"/>
    <n v="252119"/>
    <n v="252119"/>
  </r>
  <r>
    <n v="11538"/>
    <x v="162"/>
    <x v="3"/>
    <s v="North"/>
    <s v="Rahul"/>
    <n v="12"/>
    <n v="34659"/>
    <n v="415908"/>
    <n v="415908"/>
  </r>
  <r>
    <n v="11539"/>
    <x v="201"/>
    <x v="5"/>
    <s v="North"/>
    <s v="Rani"/>
    <n v="4"/>
    <n v="19638"/>
    <n v="78552"/>
    <n v="78552"/>
  </r>
  <r>
    <n v="11540"/>
    <x v="203"/>
    <x v="6"/>
    <s v="East"/>
    <s v="Suman"/>
    <n v="13"/>
    <n v="15029"/>
    <n v="195377"/>
    <n v="195377"/>
  </r>
  <r>
    <n v="11541"/>
    <x v="274"/>
    <x v="1"/>
    <s v="East"/>
    <s v="Amit"/>
    <n v="6"/>
    <n v="59013"/>
    <n v="354078"/>
    <n v="354078"/>
  </r>
  <r>
    <n v="11542"/>
    <x v="298"/>
    <x v="0"/>
    <s v="North"/>
    <s v="Rani"/>
    <n v="17"/>
    <n v="36474"/>
    <n v="620058"/>
    <n v="620058"/>
  </r>
  <r>
    <n v="11543"/>
    <x v="194"/>
    <x v="0"/>
    <s v="North"/>
    <s v="Priya"/>
    <n v="10"/>
    <n v="57000"/>
    <n v="570000"/>
    <n v="570000"/>
  </r>
  <r>
    <n v="11544"/>
    <x v="269"/>
    <x v="0"/>
    <s v="West"/>
    <s v="Anita"/>
    <n v="9"/>
    <n v="50556"/>
    <n v="455004"/>
    <n v="455004"/>
  </r>
  <r>
    <n v="11545"/>
    <x v="162"/>
    <x v="1"/>
    <s v="North"/>
    <s v="Amit"/>
    <n v="11"/>
    <n v="26624"/>
    <n v="292864"/>
    <n v="292864"/>
  </r>
  <r>
    <n v="11546"/>
    <x v="121"/>
    <x v="4"/>
    <s v="West"/>
    <s v="Anita"/>
    <n v="14"/>
    <n v="7200"/>
    <n v="100800"/>
    <n v="100800"/>
  </r>
  <r>
    <n v="11547"/>
    <x v="123"/>
    <x v="4"/>
    <s v="East"/>
    <s v="Suman"/>
    <n v="14"/>
    <n v="26018"/>
    <n v="364252"/>
    <n v="364252"/>
  </r>
  <r>
    <n v="11548"/>
    <x v="340"/>
    <x v="3"/>
    <s v="West"/>
    <s v="Priya"/>
    <n v="11"/>
    <n v="32540"/>
    <n v="357940"/>
    <n v="357940"/>
  </r>
  <r>
    <n v="11549"/>
    <x v="30"/>
    <x v="0"/>
    <s v="West"/>
    <s v="Suman"/>
    <n v="4"/>
    <n v="37623"/>
    <n v="150492"/>
    <n v="150492"/>
  </r>
  <r>
    <n v="11550"/>
    <x v="316"/>
    <x v="6"/>
    <s v="East"/>
    <s v="Priya"/>
    <n v="14"/>
    <n v="48862"/>
    <n v="684068"/>
    <n v="684068"/>
  </r>
  <r>
    <n v="11551"/>
    <x v="9"/>
    <x v="3"/>
    <s v="North"/>
    <s v="Rahul"/>
    <n v="19"/>
    <n v="52969"/>
    <n v="1006411"/>
    <n v="1006411"/>
  </r>
  <r>
    <n v="11552"/>
    <x v="158"/>
    <x v="6"/>
    <s v="East"/>
    <s v="Priya"/>
    <n v="7"/>
    <n v="23666"/>
    <n v="165662"/>
    <n v="165662"/>
  </r>
  <r>
    <n v="11553"/>
    <x v="357"/>
    <x v="4"/>
    <s v="North"/>
    <s v="Priya"/>
    <n v="6"/>
    <n v="39631"/>
    <n v="237786"/>
    <n v="237786"/>
  </r>
  <r>
    <n v="11554"/>
    <x v="335"/>
    <x v="4"/>
    <s v="West"/>
    <s v="Suman"/>
    <n v="11"/>
    <n v="34318"/>
    <n v="377498"/>
    <n v="377498"/>
  </r>
  <r>
    <n v="11555"/>
    <x v="136"/>
    <x v="6"/>
    <s v="East"/>
    <s v="Rahul"/>
    <n v="11"/>
    <n v="41658"/>
    <n v="458238"/>
    <n v="458238"/>
  </r>
  <r>
    <n v="11556"/>
    <x v="270"/>
    <x v="3"/>
    <s v="South"/>
    <s v="Anita"/>
    <n v="12"/>
    <n v="27181"/>
    <n v="326172"/>
    <n v="326172"/>
  </r>
  <r>
    <n v="11557"/>
    <x v="318"/>
    <x v="3"/>
    <s v="South"/>
    <s v="Rani"/>
    <n v="16"/>
    <n v="1485"/>
    <n v="23760"/>
    <n v="23760"/>
  </r>
  <r>
    <n v="11558"/>
    <x v="323"/>
    <x v="5"/>
    <s v="North"/>
    <s v="Anita"/>
    <n v="1"/>
    <n v="57200"/>
    <n v="57200"/>
    <n v="57200"/>
  </r>
  <r>
    <n v="11559"/>
    <x v="165"/>
    <x v="1"/>
    <s v="West"/>
    <s v="Amit"/>
    <n v="6"/>
    <n v="12091"/>
    <n v="72546"/>
    <n v="72546"/>
  </r>
  <r>
    <n v="11560"/>
    <x v="148"/>
    <x v="3"/>
    <s v="West"/>
    <s v="Suman"/>
    <n v="9"/>
    <n v="8423"/>
    <n v="75807"/>
    <n v="75807"/>
  </r>
  <r>
    <n v="11561"/>
    <x v="54"/>
    <x v="1"/>
    <s v="East"/>
    <s v="Rani"/>
    <n v="14"/>
    <n v="15474"/>
    <n v="216636"/>
    <n v="216636"/>
  </r>
  <r>
    <n v="11562"/>
    <x v="131"/>
    <x v="2"/>
    <s v="East"/>
    <s v="Priya"/>
    <n v="15"/>
    <n v="1367"/>
    <n v="20505"/>
    <n v="20505"/>
  </r>
  <r>
    <n v="11563"/>
    <x v="130"/>
    <x v="3"/>
    <s v="South"/>
    <s v="Suman"/>
    <n v="18"/>
    <n v="53008"/>
    <n v="954144"/>
    <n v="954144"/>
  </r>
  <r>
    <n v="11564"/>
    <x v="58"/>
    <x v="2"/>
    <s v="South"/>
    <s v="Anita"/>
    <n v="2"/>
    <n v="36075"/>
    <n v="72150"/>
    <n v="72150"/>
  </r>
  <r>
    <n v="11565"/>
    <x v="62"/>
    <x v="5"/>
    <s v="West"/>
    <s v="Suman"/>
    <n v="2"/>
    <n v="52884"/>
    <n v="105768"/>
    <n v="105768"/>
  </r>
  <r>
    <n v="11566"/>
    <x v="185"/>
    <x v="0"/>
    <s v="West"/>
    <s v="Anita"/>
    <n v="16"/>
    <n v="13361"/>
    <n v="213776"/>
    <n v="213776"/>
  </r>
  <r>
    <n v="11567"/>
    <x v="146"/>
    <x v="3"/>
    <s v="West"/>
    <s v="Rani"/>
    <n v="1"/>
    <n v="48516"/>
    <n v="48516"/>
    <n v="48516"/>
  </r>
  <r>
    <n v="11568"/>
    <x v="75"/>
    <x v="2"/>
    <s v="North"/>
    <s v="Suman"/>
    <n v="3"/>
    <n v="32524"/>
    <n v="97572"/>
    <n v="97572"/>
  </r>
  <r>
    <n v="11569"/>
    <x v="1"/>
    <x v="2"/>
    <s v="East"/>
    <s v="Rani"/>
    <n v="8"/>
    <n v="9348"/>
    <n v="74784"/>
    <n v="74784"/>
  </r>
  <r>
    <n v="11570"/>
    <x v="66"/>
    <x v="6"/>
    <s v="West"/>
    <s v="Rahul"/>
    <n v="17"/>
    <n v="47956"/>
    <n v="815252"/>
    <n v="815252"/>
  </r>
  <r>
    <n v="11571"/>
    <x v="79"/>
    <x v="1"/>
    <s v="South"/>
    <s v="Amit"/>
    <n v="18"/>
    <n v="55736"/>
    <n v="1003248"/>
    <n v="1003248"/>
  </r>
  <r>
    <n v="11572"/>
    <x v="52"/>
    <x v="0"/>
    <s v="East"/>
    <s v="Suman"/>
    <n v="20"/>
    <n v="54207"/>
    <n v="1084140"/>
    <n v="1084140"/>
  </r>
  <r>
    <n v="11573"/>
    <x v="304"/>
    <x v="3"/>
    <s v="South"/>
    <s v="Amit"/>
    <n v="18"/>
    <n v="10628"/>
    <n v="191304"/>
    <n v="191304"/>
  </r>
  <r>
    <n v="11574"/>
    <x v="313"/>
    <x v="1"/>
    <s v="West"/>
    <s v="Anita"/>
    <n v="8"/>
    <n v="58912"/>
    <n v="471296"/>
    <n v="471296"/>
  </r>
  <r>
    <n v="11575"/>
    <x v="360"/>
    <x v="2"/>
    <s v="South"/>
    <s v="Rani"/>
    <n v="17"/>
    <n v="59405"/>
    <n v="1009885"/>
    <n v="1009885"/>
  </r>
  <r>
    <n v="11576"/>
    <x v="39"/>
    <x v="3"/>
    <s v="West"/>
    <s v="Rahul"/>
    <n v="20"/>
    <n v="37118"/>
    <n v="742360"/>
    <n v="742360"/>
  </r>
  <r>
    <n v="11577"/>
    <x v="66"/>
    <x v="6"/>
    <s v="West"/>
    <s v="Suman"/>
    <n v="19"/>
    <n v="22580"/>
    <n v="429020"/>
    <n v="429020"/>
  </r>
  <r>
    <n v="11578"/>
    <x v="51"/>
    <x v="1"/>
    <s v="West"/>
    <s v="Rani"/>
    <n v="20"/>
    <n v="35658"/>
    <n v="713160"/>
    <n v="713160"/>
  </r>
  <r>
    <n v="11579"/>
    <x v="341"/>
    <x v="0"/>
    <s v="East"/>
    <s v="Priya"/>
    <n v="15"/>
    <n v="17064"/>
    <n v="255960"/>
    <n v="255960"/>
  </r>
  <r>
    <n v="11580"/>
    <x v="87"/>
    <x v="2"/>
    <s v="West"/>
    <s v="Amit"/>
    <n v="6"/>
    <n v="51973"/>
    <n v="311838"/>
    <n v="311838"/>
  </r>
  <r>
    <n v="11581"/>
    <x v="109"/>
    <x v="3"/>
    <s v="East"/>
    <s v="Priya"/>
    <n v="3"/>
    <n v="24991"/>
    <n v="74973"/>
    <n v="74973"/>
  </r>
  <r>
    <n v="11582"/>
    <x v="283"/>
    <x v="4"/>
    <s v="East"/>
    <s v="Anita"/>
    <n v="17"/>
    <n v="27332"/>
    <n v="464644"/>
    <n v="464644"/>
  </r>
  <r>
    <n v="11583"/>
    <x v="236"/>
    <x v="5"/>
    <s v="East"/>
    <s v="Rani"/>
    <n v="18"/>
    <n v="2858"/>
    <n v="51444"/>
    <n v="51444"/>
  </r>
  <r>
    <n v="11584"/>
    <x v="298"/>
    <x v="2"/>
    <s v="West"/>
    <s v="Rani"/>
    <n v="4"/>
    <n v="51953"/>
    <n v="207812"/>
    <n v="207812"/>
  </r>
  <r>
    <n v="11585"/>
    <x v="15"/>
    <x v="5"/>
    <s v="North"/>
    <s v="Rahul"/>
    <n v="4"/>
    <n v="20239"/>
    <n v="80956"/>
    <n v="80956"/>
  </r>
  <r>
    <n v="11586"/>
    <x v="349"/>
    <x v="2"/>
    <s v="West"/>
    <s v="Anita"/>
    <n v="11"/>
    <n v="45907"/>
    <n v="504977"/>
    <n v="504977"/>
  </r>
  <r>
    <n v="11587"/>
    <x v="22"/>
    <x v="1"/>
    <s v="South"/>
    <s v="Rahul"/>
    <n v="20"/>
    <n v="48330"/>
    <n v="966600"/>
    <n v="966600"/>
  </r>
  <r>
    <n v="11588"/>
    <x v="201"/>
    <x v="2"/>
    <s v="West"/>
    <s v="Amit"/>
    <n v="8"/>
    <n v="14113"/>
    <n v="112904"/>
    <n v="112904"/>
  </r>
  <r>
    <n v="11589"/>
    <x v="79"/>
    <x v="2"/>
    <s v="North"/>
    <s v="Rani"/>
    <n v="17"/>
    <n v="15731"/>
    <n v="267427"/>
    <n v="267427"/>
  </r>
  <r>
    <n v="11590"/>
    <x v="298"/>
    <x v="0"/>
    <s v="West"/>
    <s v="Anita"/>
    <n v="2"/>
    <n v="50458"/>
    <n v="100916"/>
    <n v="100916"/>
  </r>
  <r>
    <n v="11591"/>
    <x v="211"/>
    <x v="4"/>
    <s v="East"/>
    <s v="Priya"/>
    <n v="4"/>
    <n v="5213"/>
    <n v="20852"/>
    <n v="20852"/>
  </r>
  <r>
    <n v="11592"/>
    <x v="151"/>
    <x v="1"/>
    <s v="East"/>
    <s v="Rahul"/>
    <n v="13"/>
    <n v="5968"/>
    <n v="77584"/>
    <n v="77584"/>
  </r>
  <r>
    <n v="11593"/>
    <x v="46"/>
    <x v="0"/>
    <s v="South"/>
    <s v="Suman"/>
    <n v="4"/>
    <n v="54407"/>
    <n v="217628"/>
    <n v="217628"/>
  </r>
  <r>
    <n v="11594"/>
    <x v="207"/>
    <x v="5"/>
    <s v="South"/>
    <s v="Amit"/>
    <n v="17"/>
    <n v="27932"/>
    <n v="474844"/>
    <n v="474844"/>
  </r>
  <r>
    <n v="11595"/>
    <x v="309"/>
    <x v="5"/>
    <s v="East"/>
    <s v="Priya"/>
    <n v="11"/>
    <n v="26839"/>
    <n v="295229"/>
    <n v="295229"/>
  </r>
  <r>
    <n v="11596"/>
    <x v="205"/>
    <x v="6"/>
    <s v="East"/>
    <s v="Anita"/>
    <n v="16"/>
    <n v="31888"/>
    <n v="510208"/>
    <n v="510208"/>
  </r>
  <r>
    <n v="11597"/>
    <x v="22"/>
    <x v="5"/>
    <s v="North"/>
    <s v="Amit"/>
    <n v="11"/>
    <n v="16721"/>
    <n v="183931"/>
    <n v="183931"/>
  </r>
  <r>
    <n v="11598"/>
    <x v="168"/>
    <x v="2"/>
    <s v="North"/>
    <s v="Anita"/>
    <n v="8"/>
    <n v="45753"/>
    <n v="366024"/>
    <n v="366024"/>
  </r>
  <r>
    <n v="11599"/>
    <x v="141"/>
    <x v="3"/>
    <s v="East"/>
    <s v="Rani"/>
    <n v="18"/>
    <n v="56896"/>
    <n v="1024128"/>
    <n v="1024128"/>
  </r>
  <r>
    <n v="11600"/>
    <x v="281"/>
    <x v="5"/>
    <s v="South"/>
    <s v="Rahul"/>
    <n v="12"/>
    <n v="17380"/>
    <n v="208560"/>
    <n v="208560"/>
  </r>
  <r>
    <n v="11601"/>
    <x v="75"/>
    <x v="3"/>
    <s v="West"/>
    <s v="Suman"/>
    <n v="4"/>
    <n v="19731"/>
    <n v="78924"/>
    <n v="78924"/>
  </r>
  <r>
    <n v="11602"/>
    <x v="246"/>
    <x v="6"/>
    <s v="South"/>
    <s v="Priya"/>
    <n v="18"/>
    <n v="40358"/>
    <n v="726444"/>
    <n v="726444"/>
  </r>
  <r>
    <n v="11603"/>
    <x v="276"/>
    <x v="3"/>
    <s v="North"/>
    <s v="Anita"/>
    <n v="2"/>
    <n v="58448"/>
    <n v="116896"/>
    <n v="116896"/>
  </r>
  <r>
    <n v="11604"/>
    <x v="96"/>
    <x v="0"/>
    <s v="North"/>
    <s v="Priya"/>
    <n v="6"/>
    <n v="29409"/>
    <n v="176454"/>
    <n v="176454"/>
  </r>
  <r>
    <n v="11605"/>
    <x v="258"/>
    <x v="6"/>
    <s v="East"/>
    <s v="Anita"/>
    <n v="10"/>
    <n v="33275"/>
    <n v="332750"/>
    <n v="332750"/>
  </r>
  <r>
    <n v="11606"/>
    <x v="77"/>
    <x v="3"/>
    <s v="North"/>
    <s v="Rahul"/>
    <n v="3"/>
    <n v="32739"/>
    <n v="98217"/>
    <n v="98217"/>
  </r>
  <r>
    <n v="11607"/>
    <x v="273"/>
    <x v="3"/>
    <s v="East"/>
    <s v="Rani"/>
    <n v="12"/>
    <n v="16954"/>
    <n v="203448"/>
    <n v="203448"/>
  </r>
  <r>
    <n v="11608"/>
    <x v="45"/>
    <x v="4"/>
    <s v="West"/>
    <s v="Amit"/>
    <n v="3"/>
    <n v="21520"/>
    <n v="64560"/>
    <n v="64560"/>
  </r>
  <r>
    <n v="11609"/>
    <x v="53"/>
    <x v="5"/>
    <s v="South"/>
    <s v="Anita"/>
    <n v="19"/>
    <n v="21174"/>
    <n v="402306"/>
    <n v="402306"/>
  </r>
  <r>
    <n v="11610"/>
    <x v="2"/>
    <x v="5"/>
    <s v="North"/>
    <s v="Amit"/>
    <n v="15"/>
    <n v="11689"/>
    <n v="175335"/>
    <n v="175335"/>
  </r>
  <r>
    <n v="11611"/>
    <x v="245"/>
    <x v="5"/>
    <s v="East"/>
    <s v="Priya"/>
    <n v="7"/>
    <n v="16697"/>
    <n v="116879"/>
    <n v="116879"/>
  </r>
  <r>
    <n v="11612"/>
    <x v="315"/>
    <x v="6"/>
    <s v="South"/>
    <s v="Rani"/>
    <n v="16"/>
    <n v="44134"/>
    <n v="706144"/>
    <n v="706144"/>
  </r>
  <r>
    <n v="11613"/>
    <x v="38"/>
    <x v="1"/>
    <s v="East"/>
    <s v="Priya"/>
    <n v="7"/>
    <n v="45867"/>
    <n v="321069"/>
    <n v="321069"/>
  </r>
  <r>
    <n v="11614"/>
    <x v="43"/>
    <x v="1"/>
    <s v="South"/>
    <s v="Rahul"/>
    <n v="20"/>
    <n v="8871"/>
    <n v="177420"/>
    <n v="177420"/>
  </r>
  <r>
    <n v="11615"/>
    <x v="28"/>
    <x v="3"/>
    <s v="South"/>
    <s v="Rani"/>
    <n v="5"/>
    <n v="36108"/>
    <n v="180540"/>
    <n v="180540"/>
  </r>
  <r>
    <n v="11616"/>
    <x v="361"/>
    <x v="1"/>
    <s v="South"/>
    <s v="Anita"/>
    <n v="14"/>
    <n v="39614"/>
    <n v="554596"/>
    <n v="554596"/>
  </r>
  <r>
    <n v="11617"/>
    <x v="62"/>
    <x v="0"/>
    <s v="North"/>
    <s v="Amit"/>
    <n v="1"/>
    <n v="16262"/>
    <n v="16262"/>
    <n v="16262"/>
  </r>
  <r>
    <n v="11618"/>
    <x v="187"/>
    <x v="2"/>
    <s v="North"/>
    <s v="Rani"/>
    <n v="7"/>
    <n v="2412"/>
    <n v="16884"/>
    <n v="16884"/>
  </r>
  <r>
    <n v="11619"/>
    <x v="69"/>
    <x v="4"/>
    <s v="West"/>
    <s v="Anita"/>
    <n v="13"/>
    <n v="50427"/>
    <n v="655551"/>
    <n v="655551"/>
  </r>
  <r>
    <n v="11620"/>
    <x v="95"/>
    <x v="5"/>
    <s v="East"/>
    <s v="Rani"/>
    <n v="15"/>
    <n v="53634"/>
    <n v="804510"/>
    <n v="804510"/>
  </r>
  <r>
    <n v="11621"/>
    <x v="8"/>
    <x v="0"/>
    <s v="North"/>
    <s v="Rahul"/>
    <n v="6"/>
    <n v="53190"/>
    <n v="319140"/>
    <n v="319140"/>
  </r>
  <r>
    <n v="11622"/>
    <x v="304"/>
    <x v="1"/>
    <s v="South"/>
    <s v="Anita"/>
    <n v="18"/>
    <n v="46723"/>
    <n v="841014"/>
    <n v="841014"/>
  </r>
  <r>
    <n v="11623"/>
    <x v="199"/>
    <x v="6"/>
    <s v="West"/>
    <s v="Suman"/>
    <n v="4"/>
    <n v="18015"/>
    <n v="72060"/>
    <n v="72060"/>
  </r>
  <r>
    <n v="11624"/>
    <x v="287"/>
    <x v="2"/>
    <s v="East"/>
    <s v="Priya"/>
    <n v="8"/>
    <n v="49995"/>
    <n v="399960"/>
    <n v="399960"/>
  </r>
  <r>
    <n v="11625"/>
    <x v="55"/>
    <x v="2"/>
    <s v="East"/>
    <s v="Anita"/>
    <n v="19"/>
    <n v="2181"/>
    <n v="41439"/>
    <n v="41439"/>
  </r>
  <r>
    <n v="11626"/>
    <x v="209"/>
    <x v="0"/>
    <s v="North"/>
    <s v="Suman"/>
    <n v="19"/>
    <n v="6829"/>
    <n v="129751"/>
    <n v="129751"/>
  </r>
  <r>
    <n v="11627"/>
    <x v="145"/>
    <x v="4"/>
    <s v="East"/>
    <s v="Amit"/>
    <n v="9"/>
    <n v="50611"/>
    <n v="455499"/>
    <n v="455499"/>
  </r>
  <r>
    <n v="11628"/>
    <x v="244"/>
    <x v="1"/>
    <s v="West"/>
    <s v="Anita"/>
    <n v="2"/>
    <n v="7881"/>
    <n v="15762"/>
    <n v="15762"/>
  </r>
  <r>
    <n v="11629"/>
    <x v="236"/>
    <x v="3"/>
    <s v="North"/>
    <s v="Anita"/>
    <n v="12"/>
    <n v="38951"/>
    <n v="467412"/>
    <n v="467412"/>
  </r>
  <r>
    <n v="11630"/>
    <x v="225"/>
    <x v="4"/>
    <s v="North"/>
    <s v="Anita"/>
    <n v="11"/>
    <n v="48332"/>
    <n v="531652"/>
    <n v="531652"/>
  </r>
  <r>
    <n v="11631"/>
    <x v="349"/>
    <x v="0"/>
    <s v="East"/>
    <s v="Amit"/>
    <n v="9"/>
    <n v="40237"/>
    <n v="362133"/>
    <n v="362133"/>
  </r>
  <r>
    <n v="11632"/>
    <x v="85"/>
    <x v="5"/>
    <s v="East"/>
    <s v="Amit"/>
    <n v="2"/>
    <n v="15218"/>
    <n v="30436"/>
    <n v="30436"/>
  </r>
  <r>
    <n v="11633"/>
    <x v="103"/>
    <x v="3"/>
    <s v="West"/>
    <s v="Priya"/>
    <n v="9"/>
    <n v="15725"/>
    <n v="141525"/>
    <n v="141525"/>
  </r>
  <r>
    <n v="11634"/>
    <x v="228"/>
    <x v="4"/>
    <s v="East"/>
    <s v="Anita"/>
    <n v="12"/>
    <n v="46609"/>
    <n v="559308"/>
    <n v="559308"/>
  </r>
  <r>
    <n v="11635"/>
    <x v="360"/>
    <x v="4"/>
    <s v="South"/>
    <s v="Suman"/>
    <n v="7"/>
    <n v="2343"/>
    <n v="16401"/>
    <n v="16401"/>
  </r>
  <r>
    <n v="11636"/>
    <x v="215"/>
    <x v="5"/>
    <s v="West"/>
    <s v="Rani"/>
    <n v="7"/>
    <n v="17739"/>
    <n v="124173"/>
    <n v="124173"/>
  </r>
  <r>
    <n v="11637"/>
    <x v="267"/>
    <x v="1"/>
    <s v="North"/>
    <s v="Priya"/>
    <n v="12"/>
    <n v="13602"/>
    <n v="163224"/>
    <n v="163224"/>
  </r>
  <r>
    <n v="11638"/>
    <x v="344"/>
    <x v="5"/>
    <s v="West"/>
    <s v="Rahul"/>
    <n v="15"/>
    <n v="13821"/>
    <n v="207315"/>
    <n v="207315"/>
  </r>
  <r>
    <n v="11639"/>
    <x v="32"/>
    <x v="0"/>
    <s v="East"/>
    <s v="Anita"/>
    <n v="19"/>
    <n v="56485"/>
    <n v="1073215"/>
    <n v="1073215"/>
  </r>
  <r>
    <n v="11640"/>
    <x v="244"/>
    <x v="3"/>
    <s v="North"/>
    <s v="Suman"/>
    <n v="14"/>
    <n v="46117"/>
    <n v="645638"/>
    <n v="645638"/>
  </r>
  <r>
    <n v="11641"/>
    <x v="112"/>
    <x v="1"/>
    <s v="South"/>
    <s v="Anita"/>
    <n v="7"/>
    <n v="45133"/>
    <n v="315931"/>
    <n v="315931"/>
  </r>
  <r>
    <n v="11642"/>
    <x v="241"/>
    <x v="0"/>
    <s v="East"/>
    <s v="Priya"/>
    <n v="10"/>
    <n v="29502"/>
    <n v="295020"/>
    <n v="295020"/>
  </r>
  <r>
    <n v="11643"/>
    <x v="199"/>
    <x v="5"/>
    <s v="West"/>
    <s v="Rani"/>
    <n v="9"/>
    <n v="25336"/>
    <n v="228024"/>
    <n v="228024"/>
  </r>
  <r>
    <n v="11644"/>
    <x v="131"/>
    <x v="5"/>
    <s v="South"/>
    <s v="Suman"/>
    <n v="12"/>
    <n v="50740"/>
    <n v="608880"/>
    <n v="608880"/>
  </r>
  <r>
    <n v="11645"/>
    <x v="316"/>
    <x v="5"/>
    <s v="West"/>
    <s v="Suman"/>
    <n v="12"/>
    <n v="29730"/>
    <n v="356760"/>
    <n v="356760"/>
  </r>
  <r>
    <n v="11646"/>
    <x v="295"/>
    <x v="0"/>
    <s v="South"/>
    <s v="Anita"/>
    <n v="4"/>
    <n v="53660"/>
    <n v="214640"/>
    <n v="214640"/>
  </r>
  <r>
    <n v="11647"/>
    <x v="179"/>
    <x v="3"/>
    <s v="South"/>
    <s v="Anita"/>
    <n v="2"/>
    <n v="16161"/>
    <n v="32322"/>
    <n v="32322"/>
  </r>
  <r>
    <n v="11648"/>
    <x v="339"/>
    <x v="0"/>
    <s v="South"/>
    <s v="Anita"/>
    <n v="14"/>
    <n v="49488"/>
    <n v="692832"/>
    <n v="692832"/>
  </r>
  <r>
    <n v="11649"/>
    <x v="106"/>
    <x v="4"/>
    <s v="North"/>
    <s v="Amit"/>
    <n v="20"/>
    <n v="27864"/>
    <n v="557280"/>
    <n v="557280"/>
  </r>
  <r>
    <n v="11650"/>
    <x v="163"/>
    <x v="2"/>
    <s v="West"/>
    <s v="Suman"/>
    <n v="2"/>
    <n v="28378"/>
    <n v="56756"/>
    <n v="56756"/>
  </r>
  <r>
    <n v="11651"/>
    <x v="146"/>
    <x v="4"/>
    <s v="West"/>
    <s v="Rani"/>
    <n v="11"/>
    <n v="43465"/>
    <n v="478115"/>
    <n v="478115"/>
  </r>
  <r>
    <n v="11652"/>
    <x v="150"/>
    <x v="0"/>
    <s v="North"/>
    <s v="Rani"/>
    <n v="12"/>
    <n v="39470"/>
    <n v="473640"/>
    <n v="473640"/>
  </r>
  <r>
    <n v="11653"/>
    <x v="132"/>
    <x v="6"/>
    <s v="North"/>
    <s v="Priya"/>
    <n v="7"/>
    <n v="11855"/>
    <n v="82985"/>
    <n v="82985"/>
  </r>
  <r>
    <n v="11654"/>
    <x v="203"/>
    <x v="3"/>
    <s v="North"/>
    <s v="Suman"/>
    <n v="6"/>
    <n v="12917"/>
    <n v="77502"/>
    <n v="77502"/>
  </r>
  <r>
    <n v="11655"/>
    <x v="84"/>
    <x v="2"/>
    <s v="North"/>
    <s v="Priya"/>
    <n v="5"/>
    <n v="9128"/>
    <n v="45640"/>
    <n v="45640"/>
  </r>
  <r>
    <n v="11656"/>
    <x v="109"/>
    <x v="0"/>
    <s v="South"/>
    <s v="Suman"/>
    <n v="15"/>
    <n v="30371"/>
    <n v="455565"/>
    <n v="455565"/>
  </r>
  <r>
    <n v="11657"/>
    <x v="362"/>
    <x v="3"/>
    <s v="South"/>
    <s v="Anita"/>
    <n v="11"/>
    <n v="14393"/>
    <n v="158323"/>
    <n v="158323"/>
  </r>
  <r>
    <n v="11658"/>
    <x v="51"/>
    <x v="2"/>
    <s v="East"/>
    <s v="Suman"/>
    <n v="20"/>
    <n v="48573"/>
    <n v="971460"/>
    <n v="971460"/>
  </r>
  <r>
    <n v="11659"/>
    <x v="262"/>
    <x v="6"/>
    <s v="North"/>
    <s v="Suman"/>
    <n v="16"/>
    <n v="14595"/>
    <n v="233520"/>
    <n v="233520"/>
  </r>
  <r>
    <n v="11660"/>
    <x v="23"/>
    <x v="1"/>
    <s v="South"/>
    <s v="Suman"/>
    <n v="19"/>
    <n v="15792"/>
    <n v="300048"/>
    <n v="300048"/>
  </r>
  <r>
    <n v="11661"/>
    <x v="19"/>
    <x v="4"/>
    <s v="South"/>
    <s v="Suman"/>
    <n v="1"/>
    <n v="15018"/>
    <n v="15018"/>
    <n v="15018"/>
  </r>
  <r>
    <n v="11662"/>
    <x v="329"/>
    <x v="4"/>
    <s v="North"/>
    <s v="Suman"/>
    <n v="6"/>
    <n v="55518"/>
    <n v="333108"/>
    <n v="333108"/>
  </r>
  <r>
    <n v="11663"/>
    <x v="188"/>
    <x v="5"/>
    <s v="South"/>
    <s v="Rani"/>
    <n v="10"/>
    <n v="32637"/>
    <n v="326370"/>
    <n v="326370"/>
  </r>
  <r>
    <n v="11664"/>
    <x v="280"/>
    <x v="0"/>
    <s v="East"/>
    <s v="Priya"/>
    <n v="13"/>
    <n v="55216"/>
    <n v="717808"/>
    <n v="717808"/>
  </r>
  <r>
    <n v="11665"/>
    <x v="287"/>
    <x v="1"/>
    <s v="East"/>
    <s v="Rani"/>
    <n v="11"/>
    <n v="25421"/>
    <n v="279631"/>
    <n v="279631"/>
  </r>
  <r>
    <n v="11666"/>
    <x v="32"/>
    <x v="0"/>
    <s v="North"/>
    <s v="Rahul"/>
    <n v="13"/>
    <n v="8539"/>
    <n v="111007"/>
    <n v="111007"/>
  </r>
  <r>
    <n v="11667"/>
    <x v="284"/>
    <x v="1"/>
    <s v="North"/>
    <s v="Rahul"/>
    <n v="10"/>
    <n v="25091"/>
    <n v="250910"/>
    <n v="250910"/>
  </r>
  <r>
    <n v="11668"/>
    <x v="349"/>
    <x v="4"/>
    <s v="North"/>
    <s v="Priya"/>
    <n v="2"/>
    <n v="39222"/>
    <n v="78444"/>
    <n v="78444"/>
  </r>
  <r>
    <n v="11669"/>
    <x v="65"/>
    <x v="1"/>
    <s v="North"/>
    <s v="Suman"/>
    <n v="7"/>
    <n v="43302"/>
    <n v="303114"/>
    <n v="303114"/>
  </r>
  <r>
    <n v="11670"/>
    <x v="34"/>
    <x v="4"/>
    <s v="South"/>
    <s v="Suman"/>
    <n v="5"/>
    <n v="48800"/>
    <n v="244000"/>
    <n v="244000"/>
  </r>
  <r>
    <n v="11671"/>
    <x v="233"/>
    <x v="2"/>
    <s v="West"/>
    <s v="Suman"/>
    <n v="1"/>
    <n v="50462"/>
    <n v="50462"/>
    <n v="50462"/>
  </r>
  <r>
    <n v="11672"/>
    <x v="87"/>
    <x v="6"/>
    <s v="East"/>
    <s v="Rahul"/>
    <n v="12"/>
    <n v="54186"/>
    <n v="650232"/>
    <n v="650232"/>
  </r>
  <r>
    <n v="11673"/>
    <x v="46"/>
    <x v="4"/>
    <s v="South"/>
    <s v="Amit"/>
    <n v="13"/>
    <n v="16984"/>
    <n v="220792"/>
    <n v="220792"/>
  </r>
  <r>
    <n v="11674"/>
    <x v="63"/>
    <x v="4"/>
    <s v="North"/>
    <s v="Amit"/>
    <n v="10"/>
    <n v="27032"/>
    <n v="270320"/>
    <n v="270320"/>
  </r>
  <r>
    <n v="11675"/>
    <x v="118"/>
    <x v="6"/>
    <s v="North"/>
    <s v="Suman"/>
    <n v="8"/>
    <n v="45806"/>
    <n v="366448"/>
    <n v="366448"/>
  </r>
  <r>
    <n v="11676"/>
    <x v="352"/>
    <x v="4"/>
    <s v="North"/>
    <s v="Rani"/>
    <n v="19"/>
    <n v="14358"/>
    <n v="272802"/>
    <n v="272802"/>
  </r>
  <r>
    <n v="11677"/>
    <x v="300"/>
    <x v="3"/>
    <s v="West"/>
    <s v="Anita"/>
    <n v="1"/>
    <n v="20556"/>
    <n v="20556"/>
    <n v="20556"/>
  </r>
  <r>
    <n v="11678"/>
    <x v="256"/>
    <x v="6"/>
    <s v="North"/>
    <s v="Suman"/>
    <n v="6"/>
    <n v="50786"/>
    <n v="304716"/>
    <n v="304716"/>
  </r>
  <r>
    <n v="11679"/>
    <x v="7"/>
    <x v="5"/>
    <s v="East"/>
    <s v="Suman"/>
    <n v="14"/>
    <n v="23676"/>
    <n v="331464"/>
    <n v="331464"/>
  </r>
  <r>
    <n v="11680"/>
    <x v="336"/>
    <x v="1"/>
    <s v="West"/>
    <s v="Amit"/>
    <n v="10"/>
    <n v="10377"/>
    <n v="103770"/>
    <n v="103770"/>
  </r>
  <r>
    <n v="11681"/>
    <x v="284"/>
    <x v="2"/>
    <s v="South"/>
    <s v="Rahul"/>
    <n v="11"/>
    <n v="32812"/>
    <n v="360932"/>
    <n v="360932"/>
  </r>
  <r>
    <n v="11682"/>
    <x v="250"/>
    <x v="5"/>
    <s v="South"/>
    <s v="Priya"/>
    <n v="6"/>
    <n v="46842"/>
    <n v="281052"/>
    <n v="281052"/>
  </r>
  <r>
    <n v="11683"/>
    <x v="106"/>
    <x v="4"/>
    <s v="South"/>
    <s v="Rani"/>
    <n v="6"/>
    <n v="17804"/>
    <n v="106824"/>
    <n v="106824"/>
  </r>
  <r>
    <n v="11684"/>
    <x v="300"/>
    <x v="6"/>
    <s v="North"/>
    <s v="Rahul"/>
    <n v="19"/>
    <n v="7655"/>
    <n v="145445"/>
    <n v="145445"/>
  </r>
  <r>
    <n v="11685"/>
    <x v="346"/>
    <x v="3"/>
    <s v="North"/>
    <s v="Suman"/>
    <n v="5"/>
    <n v="24332"/>
    <n v="121660"/>
    <n v="121660"/>
  </r>
  <r>
    <n v="11686"/>
    <x v="23"/>
    <x v="5"/>
    <s v="West"/>
    <s v="Rani"/>
    <n v="17"/>
    <n v="26498"/>
    <n v="450466"/>
    <n v="450466"/>
  </r>
  <r>
    <n v="11687"/>
    <x v="197"/>
    <x v="0"/>
    <s v="South"/>
    <s v="Anita"/>
    <n v="17"/>
    <n v="6818"/>
    <n v="115906"/>
    <n v="115906"/>
  </r>
  <r>
    <n v="11688"/>
    <x v="61"/>
    <x v="3"/>
    <s v="East"/>
    <s v="Amit"/>
    <n v="20"/>
    <n v="30078"/>
    <n v="601560"/>
    <n v="601560"/>
  </r>
  <r>
    <n v="11689"/>
    <x v="144"/>
    <x v="0"/>
    <s v="East"/>
    <s v="Suman"/>
    <n v="19"/>
    <n v="28361"/>
    <n v="538859"/>
    <n v="538859"/>
  </r>
  <r>
    <n v="11690"/>
    <x v="352"/>
    <x v="3"/>
    <s v="South"/>
    <s v="Rani"/>
    <n v="12"/>
    <n v="17930"/>
    <n v="215160"/>
    <n v="215160"/>
  </r>
  <r>
    <n v="11691"/>
    <x v="27"/>
    <x v="4"/>
    <s v="West"/>
    <s v="Anita"/>
    <n v="17"/>
    <n v="17976"/>
    <n v="305592"/>
    <n v="305592"/>
  </r>
  <r>
    <n v="11692"/>
    <x v="290"/>
    <x v="2"/>
    <s v="North"/>
    <s v="Rahul"/>
    <n v="17"/>
    <n v="7429"/>
    <n v="126293"/>
    <n v="126293"/>
  </r>
  <r>
    <n v="11693"/>
    <x v="302"/>
    <x v="0"/>
    <s v="North"/>
    <s v="Rani"/>
    <n v="20"/>
    <n v="31424"/>
    <n v="628480"/>
    <n v="628480"/>
  </r>
  <r>
    <n v="11694"/>
    <x v="320"/>
    <x v="5"/>
    <s v="North"/>
    <s v="Rani"/>
    <n v="2"/>
    <n v="13029"/>
    <n v="26058"/>
    <n v="26058"/>
  </r>
  <r>
    <n v="11695"/>
    <x v="190"/>
    <x v="1"/>
    <s v="West"/>
    <s v="Rahul"/>
    <n v="6"/>
    <n v="5792"/>
    <n v="34752"/>
    <n v="34752"/>
  </r>
  <r>
    <n v="11696"/>
    <x v="208"/>
    <x v="2"/>
    <s v="East"/>
    <s v="Priya"/>
    <n v="3"/>
    <n v="54018"/>
    <n v="162054"/>
    <n v="162054"/>
  </r>
  <r>
    <n v="11697"/>
    <x v="11"/>
    <x v="4"/>
    <s v="South"/>
    <s v="Rahul"/>
    <n v="18"/>
    <n v="33794"/>
    <n v="608292"/>
    <n v="608292"/>
  </r>
  <r>
    <n v="11698"/>
    <x v="36"/>
    <x v="2"/>
    <s v="North"/>
    <s v="Rani"/>
    <n v="9"/>
    <n v="28433"/>
    <n v="255897"/>
    <n v="255897"/>
  </r>
  <r>
    <n v="11699"/>
    <x v="111"/>
    <x v="3"/>
    <s v="East"/>
    <s v="Amit"/>
    <n v="17"/>
    <n v="24660"/>
    <n v="419220"/>
    <n v="419220"/>
  </r>
  <r>
    <n v="11700"/>
    <x v="171"/>
    <x v="3"/>
    <s v="East"/>
    <s v="Anita"/>
    <n v="2"/>
    <n v="23468"/>
    <n v="46936"/>
    <n v="46936"/>
  </r>
  <r>
    <n v="11701"/>
    <x v="200"/>
    <x v="6"/>
    <s v="North"/>
    <s v="Amit"/>
    <n v="1"/>
    <n v="15175"/>
    <n v="15175"/>
    <n v="15175"/>
  </r>
  <r>
    <n v="11702"/>
    <x v="23"/>
    <x v="1"/>
    <s v="East"/>
    <s v="Rahul"/>
    <n v="15"/>
    <n v="47444"/>
    <n v="711660"/>
    <n v="711660"/>
  </r>
  <r>
    <n v="11703"/>
    <x v="114"/>
    <x v="1"/>
    <s v="South"/>
    <s v="Priya"/>
    <n v="8"/>
    <n v="22517"/>
    <n v="180136"/>
    <n v="180136"/>
  </r>
  <r>
    <n v="11704"/>
    <x v="53"/>
    <x v="0"/>
    <s v="South"/>
    <s v="Anita"/>
    <n v="11"/>
    <n v="54132"/>
    <n v="595452"/>
    <n v="595452"/>
  </r>
  <r>
    <n v="11705"/>
    <x v="194"/>
    <x v="4"/>
    <s v="East"/>
    <s v="Suman"/>
    <n v="7"/>
    <n v="48010"/>
    <n v="336070"/>
    <n v="336070"/>
  </r>
  <r>
    <n v="11706"/>
    <x v="143"/>
    <x v="3"/>
    <s v="East"/>
    <s v="Anita"/>
    <n v="12"/>
    <n v="27974"/>
    <n v="335688"/>
    <n v="335688"/>
  </r>
  <r>
    <n v="11707"/>
    <x v="231"/>
    <x v="5"/>
    <s v="West"/>
    <s v="Anita"/>
    <n v="3"/>
    <n v="35810"/>
    <n v="107430"/>
    <n v="107430"/>
  </r>
  <r>
    <n v="11708"/>
    <x v="236"/>
    <x v="2"/>
    <s v="North"/>
    <s v="Priya"/>
    <n v="16"/>
    <n v="33624"/>
    <n v="537984"/>
    <n v="537984"/>
  </r>
  <r>
    <n v="11709"/>
    <x v="355"/>
    <x v="6"/>
    <s v="South"/>
    <s v="Amit"/>
    <n v="6"/>
    <n v="32438"/>
    <n v="194628"/>
    <n v="194628"/>
  </r>
  <r>
    <n v="11710"/>
    <x v="227"/>
    <x v="4"/>
    <s v="South"/>
    <s v="Rani"/>
    <n v="12"/>
    <n v="56615"/>
    <n v="679380"/>
    <n v="679380"/>
  </r>
  <r>
    <n v="11711"/>
    <x v="78"/>
    <x v="0"/>
    <s v="North"/>
    <s v="Suman"/>
    <n v="10"/>
    <n v="34397"/>
    <n v="343970"/>
    <n v="343970"/>
  </r>
  <r>
    <n v="11712"/>
    <x v="145"/>
    <x v="4"/>
    <s v="South"/>
    <s v="Priya"/>
    <n v="15"/>
    <n v="50019"/>
    <n v="750285"/>
    <n v="750285"/>
  </r>
  <r>
    <n v="11713"/>
    <x v="268"/>
    <x v="4"/>
    <s v="East"/>
    <s v="Priya"/>
    <n v="20"/>
    <n v="21206"/>
    <n v="424120"/>
    <n v="424120"/>
  </r>
  <r>
    <n v="11714"/>
    <x v="256"/>
    <x v="3"/>
    <s v="East"/>
    <s v="Anita"/>
    <n v="19"/>
    <n v="59864"/>
    <n v="1137416"/>
    <n v="1137416"/>
  </r>
  <r>
    <n v="11715"/>
    <x v="51"/>
    <x v="3"/>
    <s v="East"/>
    <s v="Anita"/>
    <n v="9"/>
    <n v="50522"/>
    <n v="454698"/>
    <n v="454698"/>
  </r>
  <r>
    <n v="11716"/>
    <x v="174"/>
    <x v="5"/>
    <s v="East"/>
    <s v="Priya"/>
    <n v="14"/>
    <n v="39095"/>
    <n v="547330"/>
    <n v="547330"/>
  </r>
  <r>
    <n v="11717"/>
    <x v="195"/>
    <x v="3"/>
    <s v="South"/>
    <s v="Suman"/>
    <n v="16"/>
    <n v="47499"/>
    <n v="759984"/>
    <n v="759984"/>
  </r>
  <r>
    <n v="11718"/>
    <x v="54"/>
    <x v="4"/>
    <s v="East"/>
    <s v="Priya"/>
    <n v="20"/>
    <n v="53526"/>
    <n v="1070520"/>
    <n v="1070520"/>
  </r>
  <r>
    <n v="11719"/>
    <x v="315"/>
    <x v="3"/>
    <s v="West"/>
    <s v="Anita"/>
    <n v="17"/>
    <n v="24756"/>
    <n v="420852"/>
    <n v="420852"/>
  </r>
  <r>
    <n v="11720"/>
    <x v="314"/>
    <x v="2"/>
    <s v="South"/>
    <s v="Rani"/>
    <n v="17"/>
    <n v="16915"/>
    <n v="287555"/>
    <n v="287555"/>
  </r>
  <r>
    <n v="11721"/>
    <x v="197"/>
    <x v="1"/>
    <s v="South"/>
    <s v="Rahul"/>
    <n v="19"/>
    <n v="3618"/>
    <n v="68742"/>
    <n v="68742"/>
  </r>
  <r>
    <n v="11722"/>
    <x v="176"/>
    <x v="5"/>
    <s v="East"/>
    <s v="Priya"/>
    <n v="7"/>
    <n v="11107"/>
    <n v="77749"/>
    <n v="77749"/>
  </r>
  <r>
    <n v="11723"/>
    <x v="248"/>
    <x v="1"/>
    <s v="West"/>
    <s v="Rani"/>
    <n v="16"/>
    <n v="49400"/>
    <n v="790400"/>
    <n v="790400"/>
  </r>
  <r>
    <n v="11724"/>
    <x v="71"/>
    <x v="0"/>
    <s v="East"/>
    <s v="Anita"/>
    <n v="20"/>
    <n v="58322"/>
    <n v="1166440"/>
    <n v="1166440"/>
  </r>
  <r>
    <n v="11725"/>
    <x v="85"/>
    <x v="2"/>
    <s v="West"/>
    <s v="Priya"/>
    <n v="20"/>
    <n v="45358"/>
    <n v="907160"/>
    <n v="907160"/>
  </r>
  <r>
    <n v="11726"/>
    <x v="276"/>
    <x v="6"/>
    <s v="East"/>
    <s v="Amit"/>
    <n v="13"/>
    <n v="51246"/>
    <n v="666198"/>
    <n v="666198"/>
  </r>
  <r>
    <n v="11727"/>
    <x v="271"/>
    <x v="3"/>
    <s v="West"/>
    <s v="Anita"/>
    <n v="19"/>
    <n v="16106"/>
    <n v="306014"/>
    <n v="306014"/>
  </r>
  <r>
    <n v="11728"/>
    <x v="338"/>
    <x v="6"/>
    <s v="West"/>
    <s v="Amit"/>
    <n v="9"/>
    <n v="45990"/>
    <n v="413910"/>
    <n v="413910"/>
  </r>
  <r>
    <n v="11729"/>
    <x v="79"/>
    <x v="6"/>
    <s v="West"/>
    <s v="Rani"/>
    <n v="16"/>
    <n v="57233"/>
    <n v="915728"/>
    <n v="915728"/>
  </r>
  <r>
    <n v="11730"/>
    <x v="296"/>
    <x v="2"/>
    <s v="North"/>
    <s v="Rani"/>
    <n v="14"/>
    <n v="10488"/>
    <n v="146832"/>
    <n v="146832"/>
  </r>
  <r>
    <n v="11731"/>
    <x v="32"/>
    <x v="6"/>
    <s v="West"/>
    <s v="Suman"/>
    <n v="14"/>
    <n v="47079"/>
    <n v="659106"/>
    <n v="659106"/>
  </r>
  <r>
    <n v="11732"/>
    <x v="179"/>
    <x v="6"/>
    <s v="North"/>
    <s v="Amit"/>
    <n v="17"/>
    <n v="11512"/>
    <n v="195704"/>
    <n v="195704"/>
  </r>
  <r>
    <n v="11733"/>
    <x v="292"/>
    <x v="5"/>
    <s v="North"/>
    <s v="Suman"/>
    <n v="2"/>
    <n v="50485"/>
    <n v="100970"/>
    <n v="100970"/>
  </r>
  <r>
    <n v="11734"/>
    <x v="242"/>
    <x v="1"/>
    <s v="North"/>
    <s v="Rani"/>
    <n v="6"/>
    <n v="14040"/>
    <n v="84240"/>
    <n v="84240"/>
  </r>
  <r>
    <n v="11735"/>
    <x v="339"/>
    <x v="1"/>
    <s v="West"/>
    <s v="Rahul"/>
    <n v="8"/>
    <n v="34503"/>
    <n v="276024"/>
    <n v="276024"/>
  </r>
  <r>
    <n v="11736"/>
    <x v="43"/>
    <x v="5"/>
    <s v="West"/>
    <s v="Suman"/>
    <n v="13"/>
    <n v="18918"/>
    <n v="245934"/>
    <n v="245934"/>
  </r>
  <r>
    <n v="11737"/>
    <x v="185"/>
    <x v="0"/>
    <s v="North"/>
    <s v="Anita"/>
    <n v="15"/>
    <n v="49200"/>
    <n v="738000"/>
    <n v="738000"/>
  </r>
  <r>
    <n v="11738"/>
    <x v="65"/>
    <x v="5"/>
    <s v="South"/>
    <s v="Rahul"/>
    <n v="3"/>
    <n v="13415"/>
    <n v="40245"/>
    <n v="40245"/>
  </r>
  <r>
    <n v="11739"/>
    <x v="363"/>
    <x v="4"/>
    <s v="West"/>
    <s v="Anita"/>
    <n v="9"/>
    <n v="23485"/>
    <n v="211365"/>
    <n v="211365"/>
  </r>
  <r>
    <n v="11740"/>
    <x v="235"/>
    <x v="0"/>
    <s v="West"/>
    <s v="Priya"/>
    <n v="18"/>
    <n v="55426"/>
    <n v="997668"/>
    <n v="997668"/>
  </r>
  <r>
    <n v="11741"/>
    <x v="145"/>
    <x v="5"/>
    <s v="South"/>
    <s v="Amit"/>
    <n v="12"/>
    <n v="33379"/>
    <n v="400548"/>
    <n v="400548"/>
  </r>
  <r>
    <n v="11742"/>
    <x v="138"/>
    <x v="2"/>
    <s v="North"/>
    <s v="Amit"/>
    <n v="11"/>
    <n v="14396"/>
    <n v="158356"/>
    <n v="158356"/>
  </r>
  <r>
    <n v="11743"/>
    <x v="68"/>
    <x v="4"/>
    <s v="North"/>
    <s v="Priya"/>
    <n v="8"/>
    <n v="49155"/>
    <n v="393240"/>
    <n v="393240"/>
  </r>
  <r>
    <n v="11744"/>
    <x v="15"/>
    <x v="1"/>
    <s v="East"/>
    <s v="Anita"/>
    <n v="15"/>
    <n v="23839"/>
    <n v="357585"/>
    <n v="357585"/>
  </r>
  <r>
    <n v="11745"/>
    <x v="298"/>
    <x v="5"/>
    <s v="North"/>
    <s v="Suman"/>
    <n v="7"/>
    <n v="19740"/>
    <n v="138180"/>
    <n v="138180"/>
  </r>
  <r>
    <n v="11746"/>
    <x v="77"/>
    <x v="1"/>
    <s v="South"/>
    <s v="Rahul"/>
    <n v="20"/>
    <n v="4867"/>
    <n v="97340"/>
    <n v="97340"/>
  </r>
  <r>
    <n v="11747"/>
    <x v="237"/>
    <x v="6"/>
    <s v="East"/>
    <s v="Suman"/>
    <n v="15"/>
    <n v="16294"/>
    <n v="244410"/>
    <n v="244410"/>
  </r>
  <r>
    <n v="11748"/>
    <x v="299"/>
    <x v="4"/>
    <s v="East"/>
    <s v="Rahul"/>
    <n v="9"/>
    <n v="17545"/>
    <n v="157905"/>
    <n v="157905"/>
  </r>
  <r>
    <n v="11749"/>
    <x v="124"/>
    <x v="4"/>
    <s v="South"/>
    <s v="Rani"/>
    <n v="19"/>
    <n v="29764"/>
    <n v="565516"/>
    <n v="565516"/>
  </r>
  <r>
    <n v="11750"/>
    <x v="172"/>
    <x v="6"/>
    <s v="East"/>
    <s v="Priya"/>
    <n v="18"/>
    <n v="25964"/>
    <n v="467352"/>
    <n v="467352"/>
  </r>
  <r>
    <n v="11751"/>
    <x v="77"/>
    <x v="5"/>
    <s v="West"/>
    <s v="Rani"/>
    <n v="9"/>
    <n v="15499"/>
    <n v="139491"/>
    <n v="139491"/>
  </r>
  <r>
    <n v="11752"/>
    <x v="68"/>
    <x v="1"/>
    <s v="East"/>
    <s v="Amit"/>
    <n v="12"/>
    <n v="41005"/>
    <n v="492060"/>
    <n v="492060"/>
  </r>
  <r>
    <n v="11753"/>
    <x v="23"/>
    <x v="1"/>
    <s v="West"/>
    <s v="Rani"/>
    <n v="16"/>
    <n v="54525"/>
    <n v="872400"/>
    <n v="872400"/>
  </r>
  <r>
    <n v="11754"/>
    <x v="294"/>
    <x v="3"/>
    <s v="West"/>
    <s v="Amit"/>
    <n v="2"/>
    <n v="58487"/>
    <n v="116974"/>
    <n v="116974"/>
  </r>
  <r>
    <n v="11755"/>
    <x v="116"/>
    <x v="4"/>
    <s v="East"/>
    <s v="Anita"/>
    <n v="7"/>
    <n v="25456"/>
    <n v="178192"/>
    <n v="178192"/>
  </r>
  <r>
    <n v="11756"/>
    <x v="364"/>
    <x v="0"/>
    <s v="West"/>
    <s v="Suman"/>
    <n v="7"/>
    <n v="16278"/>
    <n v="113946"/>
    <n v="113946"/>
  </r>
  <r>
    <n v="11757"/>
    <x v="11"/>
    <x v="2"/>
    <s v="East"/>
    <s v="Rahul"/>
    <n v="11"/>
    <n v="31631"/>
    <n v="347941"/>
    <n v="347941"/>
  </r>
  <r>
    <n v="11758"/>
    <x v="345"/>
    <x v="0"/>
    <s v="West"/>
    <s v="Priya"/>
    <n v="5"/>
    <n v="12678"/>
    <n v="63390"/>
    <n v="63390"/>
  </r>
  <r>
    <n v="11759"/>
    <x v="65"/>
    <x v="2"/>
    <s v="North"/>
    <s v="Rahul"/>
    <n v="16"/>
    <n v="27381"/>
    <n v="438096"/>
    <n v="438096"/>
  </r>
  <r>
    <n v="11760"/>
    <x v="242"/>
    <x v="1"/>
    <s v="South"/>
    <s v="Amit"/>
    <n v="8"/>
    <n v="56993"/>
    <n v="455944"/>
    <n v="455944"/>
  </r>
  <r>
    <n v="11761"/>
    <x v="30"/>
    <x v="4"/>
    <s v="East"/>
    <s v="Amit"/>
    <n v="8"/>
    <n v="33570"/>
    <n v="268560"/>
    <n v="268560"/>
  </r>
  <r>
    <n v="11762"/>
    <x v="219"/>
    <x v="3"/>
    <s v="East"/>
    <s v="Suman"/>
    <n v="12"/>
    <n v="18255"/>
    <n v="219060"/>
    <n v="219060"/>
  </r>
  <r>
    <n v="11763"/>
    <x v="44"/>
    <x v="6"/>
    <s v="East"/>
    <s v="Rahul"/>
    <n v="5"/>
    <n v="5163"/>
    <n v="25815"/>
    <n v="25815"/>
  </r>
  <r>
    <n v="11764"/>
    <x v="223"/>
    <x v="4"/>
    <s v="West"/>
    <s v="Anita"/>
    <n v="9"/>
    <n v="59571"/>
    <n v="536139"/>
    <n v="536139"/>
  </r>
  <r>
    <n v="11765"/>
    <x v="247"/>
    <x v="0"/>
    <s v="South"/>
    <s v="Rani"/>
    <n v="2"/>
    <n v="42502"/>
    <n v="85004"/>
    <n v="85004"/>
  </r>
  <r>
    <n v="11766"/>
    <x v="358"/>
    <x v="0"/>
    <s v="East"/>
    <s v="Rani"/>
    <n v="10"/>
    <n v="44534"/>
    <n v="445340"/>
    <n v="445340"/>
  </r>
  <r>
    <n v="11767"/>
    <x v="14"/>
    <x v="4"/>
    <s v="South"/>
    <s v="Priya"/>
    <n v="16"/>
    <n v="29799"/>
    <n v="476784"/>
    <n v="476784"/>
  </r>
  <r>
    <n v="11768"/>
    <x v="197"/>
    <x v="5"/>
    <s v="North"/>
    <s v="Amit"/>
    <n v="5"/>
    <n v="41726"/>
    <n v="208630"/>
    <n v="208630"/>
  </r>
  <r>
    <n v="11769"/>
    <x v="2"/>
    <x v="1"/>
    <s v="West"/>
    <s v="Rahul"/>
    <n v="17"/>
    <n v="59329"/>
    <n v="1008593"/>
    <n v="1008593"/>
  </r>
  <r>
    <n v="11770"/>
    <x v="104"/>
    <x v="2"/>
    <s v="North"/>
    <s v="Suman"/>
    <n v="19"/>
    <n v="58523"/>
    <n v="1111937"/>
    <n v="1111937"/>
  </r>
  <r>
    <n v="11771"/>
    <x v="263"/>
    <x v="2"/>
    <s v="West"/>
    <s v="Suman"/>
    <n v="20"/>
    <n v="15040"/>
    <n v="300800"/>
    <n v="300800"/>
  </r>
  <r>
    <n v="11772"/>
    <x v="131"/>
    <x v="2"/>
    <s v="East"/>
    <s v="Rahul"/>
    <n v="13"/>
    <n v="56847"/>
    <n v="739011"/>
    <n v="739011"/>
  </r>
  <r>
    <n v="11773"/>
    <x v="271"/>
    <x v="2"/>
    <s v="South"/>
    <s v="Rahul"/>
    <n v="14"/>
    <n v="46084"/>
    <n v="645176"/>
    <n v="645176"/>
  </r>
  <r>
    <n v="11774"/>
    <x v="46"/>
    <x v="2"/>
    <s v="North"/>
    <s v="Rahul"/>
    <n v="20"/>
    <n v="41971"/>
    <n v="839420"/>
    <n v="839420"/>
  </r>
  <r>
    <n v="11775"/>
    <x v="342"/>
    <x v="0"/>
    <s v="South"/>
    <s v="Amit"/>
    <n v="8"/>
    <n v="58110"/>
    <n v="464880"/>
    <n v="464880"/>
  </r>
  <r>
    <n v="11776"/>
    <x v="37"/>
    <x v="3"/>
    <s v="West"/>
    <s v="Suman"/>
    <n v="12"/>
    <n v="55670"/>
    <n v="668040"/>
    <n v="668040"/>
  </r>
  <r>
    <n v="11777"/>
    <x v="159"/>
    <x v="2"/>
    <s v="North"/>
    <s v="Amit"/>
    <n v="16"/>
    <n v="11720"/>
    <n v="187520"/>
    <n v="187520"/>
  </r>
  <r>
    <n v="11778"/>
    <x v="355"/>
    <x v="0"/>
    <s v="East"/>
    <s v="Rani"/>
    <n v="2"/>
    <n v="31990"/>
    <n v="63980"/>
    <n v="63980"/>
  </r>
  <r>
    <n v="11779"/>
    <x v="220"/>
    <x v="5"/>
    <s v="South"/>
    <s v="Priya"/>
    <n v="3"/>
    <n v="2402"/>
    <n v="7206"/>
    <n v="7206"/>
  </r>
  <r>
    <n v="11780"/>
    <x v="1"/>
    <x v="6"/>
    <s v="South"/>
    <s v="Anita"/>
    <n v="4"/>
    <n v="37896"/>
    <n v="151584"/>
    <n v="151584"/>
  </r>
  <r>
    <n v="11781"/>
    <x v="343"/>
    <x v="0"/>
    <s v="West"/>
    <s v="Rahul"/>
    <n v="9"/>
    <n v="9124"/>
    <n v="82116"/>
    <n v="82116"/>
  </r>
  <r>
    <n v="11782"/>
    <x v="214"/>
    <x v="3"/>
    <s v="North"/>
    <s v="Amit"/>
    <n v="6"/>
    <n v="23537"/>
    <n v="141222"/>
    <n v="141222"/>
  </r>
  <r>
    <n v="11783"/>
    <x v="263"/>
    <x v="6"/>
    <s v="South"/>
    <s v="Amit"/>
    <n v="10"/>
    <n v="22687"/>
    <n v="226870"/>
    <n v="226870"/>
  </r>
  <r>
    <n v="11784"/>
    <x v="105"/>
    <x v="3"/>
    <s v="North"/>
    <s v="Priya"/>
    <n v="6"/>
    <n v="40990"/>
    <n v="245940"/>
    <n v="245940"/>
  </r>
  <r>
    <n v="11785"/>
    <x v="145"/>
    <x v="4"/>
    <s v="North"/>
    <s v="Priya"/>
    <n v="15"/>
    <n v="6911"/>
    <n v="103665"/>
    <n v="103665"/>
  </r>
  <r>
    <n v="11786"/>
    <x v="27"/>
    <x v="4"/>
    <s v="South"/>
    <s v="Amit"/>
    <n v="12"/>
    <n v="57262"/>
    <n v="687144"/>
    <n v="687144"/>
  </r>
  <r>
    <n v="11787"/>
    <x v="98"/>
    <x v="1"/>
    <s v="North"/>
    <s v="Amit"/>
    <n v="9"/>
    <n v="37372"/>
    <n v="336348"/>
    <n v="336348"/>
  </r>
  <r>
    <n v="11788"/>
    <x v="334"/>
    <x v="0"/>
    <s v="East"/>
    <s v="Priya"/>
    <n v="3"/>
    <n v="33575"/>
    <n v="100725"/>
    <n v="100725"/>
  </r>
  <r>
    <n v="11789"/>
    <x v="181"/>
    <x v="1"/>
    <s v="South"/>
    <s v="Anita"/>
    <n v="10"/>
    <n v="22421"/>
    <n v="224210"/>
    <n v="224210"/>
  </r>
  <r>
    <n v="11790"/>
    <x v="343"/>
    <x v="4"/>
    <s v="South"/>
    <s v="Amit"/>
    <n v="4"/>
    <n v="51040"/>
    <n v="204160"/>
    <n v="204160"/>
  </r>
  <r>
    <n v="11791"/>
    <x v="102"/>
    <x v="4"/>
    <s v="East"/>
    <s v="Rani"/>
    <n v="6"/>
    <n v="52597"/>
    <n v="315582"/>
    <n v="315582"/>
  </r>
  <r>
    <n v="11792"/>
    <x v="216"/>
    <x v="5"/>
    <s v="South"/>
    <s v="Rahul"/>
    <n v="4"/>
    <n v="53024"/>
    <n v="212096"/>
    <n v="212096"/>
  </r>
  <r>
    <n v="11793"/>
    <x v="25"/>
    <x v="1"/>
    <s v="South"/>
    <s v="Amit"/>
    <n v="14"/>
    <n v="48097"/>
    <n v="673358"/>
    <n v="673358"/>
  </r>
  <r>
    <n v="11794"/>
    <x v="204"/>
    <x v="6"/>
    <s v="North"/>
    <s v="Rahul"/>
    <n v="7"/>
    <n v="39204"/>
    <n v="274428"/>
    <n v="274428"/>
  </r>
  <r>
    <n v="11795"/>
    <x v="206"/>
    <x v="4"/>
    <s v="West"/>
    <s v="Priya"/>
    <n v="6"/>
    <n v="36511"/>
    <n v="219066"/>
    <n v="219066"/>
  </r>
  <r>
    <n v="11796"/>
    <x v="297"/>
    <x v="2"/>
    <s v="East"/>
    <s v="Amit"/>
    <n v="2"/>
    <n v="1197"/>
    <n v="2394"/>
    <n v="2394"/>
  </r>
  <r>
    <n v="11797"/>
    <x v="336"/>
    <x v="3"/>
    <s v="East"/>
    <s v="Anita"/>
    <n v="7"/>
    <n v="55701"/>
    <n v="389907"/>
    <n v="389907"/>
  </r>
  <r>
    <n v="11798"/>
    <x v="290"/>
    <x v="3"/>
    <s v="West"/>
    <s v="Suman"/>
    <n v="13"/>
    <n v="26073"/>
    <n v="338949"/>
    <n v="338949"/>
  </r>
  <r>
    <n v="11799"/>
    <x v="239"/>
    <x v="2"/>
    <s v="West"/>
    <s v="Rani"/>
    <n v="19"/>
    <n v="37414"/>
    <n v="710866"/>
    <n v="710866"/>
  </r>
  <r>
    <n v="11800"/>
    <x v="303"/>
    <x v="3"/>
    <s v="North"/>
    <s v="Rani"/>
    <n v="16"/>
    <n v="18082"/>
    <n v="289312"/>
    <n v="289312"/>
  </r>
  <r>
    <n v="11801"/>
    <x v="66"/>
    <x v="5"/>
    <s v="South"/>
    <s v="Rahul"/>
    <n v="4"/>
    <n v="47503"/>
    <n v="190012"/>
    <n v="190012"/>
  </r>
  <r>
    <n v="11802"/>
    <x v="362"/>
    <x v="4"/>
    <s v="North"/>
    <s v="Amit"/>
    <n v="5"/>
    <n v="32010"/>
    <n v="160050"/>
    <n v="160050"/>
  </r>
  <r>
    <n v="11803"/>
    <x v="182"/>
    <x v="4"/>
    <s v="West"/>
    <s v="Amit"/>
    <n v="17"/>
    <n v="49541"/>
    <n v="842197"/>
    <n v="842197"/>
  </r>
  <r>
    <n v="11804"/>
    <x v="287"/>
    <x v="3"/>
    <s v="South"/>
    <s v="Anita"/>
    <n v="18"/>
    <n v="44619"/>
    <n v="803142"/>
    <n v="803142"/>
  </r>
  <r>
    <n v="11805"/>
    <x v="202"/>
    <x v="4"/>
    <s v="West"/>
    <s v="Rani"/>
    <n v="14"/>
    <n v="56228"/>
    <n v="787192"/>
    <n v="787192"/>
  </r>
  <r>
    <n v="11806"/>
    <x v="114"/>
    <x v="6"/>
    <s v="South"/>
    <s v="Amit"/>
    <n v="13"/>
    <n v="52877"/>
    <n v="687401"/>
    <n v="687401"/>
  </r>
  <r>
    <n v="11807"/>
    <x v="75"/>
    <x v="5"/>
    <s v="South"/>
    <s v="Priya"/>
    <n v="12"/>
    <n v="52608"/>
    <n v="631296"/>
    <n v="631296"/>
  </r>
  <r>
    <n v="11808"/>
    <x v="141"/>
    <x v="2"/>
    <s v="West"/>
    <s v="Rani"/>
    <n v="5"/>
    <n v="43635"/>
    <n v="218175"/>
    <n v="218175"/>
  </r>
  <r>
    <n v="11809"/>
    <x v="334"/>
    <x v="1"/>
    <s v="South"/>
    <s v="Priya"/>
    <n v="13"/>
    <n v="5693"/>
    <n v="74009"/>
    <n v="74009"/>
  </r>
  <r>
    <n v="11810"/>
    <x v="331"/>
    <x v="4"/>
    <s v="North"/>
    <s v="Rahul"/>
    <n v="17"/>
    <n v="51225"/>
    <n v="870825"/>
    <n v="870825"/>
  </r>
  <r>
    <n v="11811"/>
    <x v="122"/>
    <x v="6"/>
    <s v="North"/>
    <s v="Anita"/>
    <n v="2"/>
    <n v="5705"/>
    <n v="11410"/>
    <n v="11410"/>
  </r>
  <r>
    <n v="11812"/>
    <x v="357"/>
    <x v="4"/>
    <s v="South"/>
    <s v="Suman"/>
    <n v="5"/>
    <n v="30261"/>
    <n v="151305"/>
    <n v="151305"/>
  </r>
  <r>
    <n v="11813"/>
    <x v="347"/>
    <x v="4"/>
    <s v="East"/>
    <s v="Rahul"/>
    <n v="18"/>
    <n v="39337"/>
    <n v="708066"/>
    <n v="708066"/>
  </r>
  <r>
    <n v="11814"/>
    <x v="270"/>
    <x v="1"/>
    <s v="West"/>
    <s v="Amit"/>
    <n v="19"/>
    <n v="22732"/>
    <n v="431908"/>
    <n v="431908"/>
  </r>
  <r>
    <n v="11815"/>
    <x v="202"/>
    <x v="0"/>
    <s v="South"/>
    <s v="Priya"/>
    <n v="20"/>
    <n v="29841"/>
    <n v="596820"/>
    <n v="596820"/>
  </r>
  <r>
    <n v="11816"/>
    <x v="271"/>
    <x v="0"/>
    <s v="South"/>
    <s v="Rani"/>
    <n v="8"/>
    <n v="24792"/>
    <n v="198336"/>
    <n v="198336"/>
  </r>
  <r>
    <n v="11817"/>
    <x v="219"/>
    <x v="6"/>
    <s v="North"/>
    <s v="Rani"/>
    <n v="4"/>
    <n v="24952"/>
    <n v="99808"/>
    <n v="99808"/>
  </r>
  <r>
    <n v="11818"/>
    <x v="5"/>
    <x v="6"/>
    <s v="East"/>
    <s v="Suman"/>
    <n v="15"/>
    <n v="9803"/>
    <n v="147045"/>
    <n v="147045"/>
  </r>
  <r>
    <n v="11819"/>
    <x v="208"/>
    <x v="2"/>
    <s v="West"/>
    <s v="Suman"/>
    <n v="18"/>
    <n v="3079"/>
    <n v="55422"/>
    <n v="55422"/>
  </r>
  <r>
    <n v="11820"/>
    <x v="253"/>
    <x v="6"/>
    <s v="West"/>
    <s v="Rani"/>
    <n v="12"/>
    <n v="40187"/>
    <n v="482244"/>
    <n v="482244"/>
  </r>
  <r>
    <n v="11821"/>
    <x v="307"/>
    <x v="2"/>
    <s v="West"/>
    <s v="Rani"/>
    <n v="2"/>
    <n v="15379"/>
    <n v="30758"/>
    <n v="30758"/>
  </r>
  <r>
    <n v="11822"/>
    <x v="330"/>
    <x v="1"/>
    <s v="East"/>
    <s v="Suman"/>
    <n v="9"/>
    <n v="54178"/>
    <n v="487602"/>
    <n v="487602"/>
  </r>
  <r>
    <n v="11823"/>
    <x v="58"/>
    <x v="5"/>
    <s v="West"/>
    <s v="Amit"/>
    <n v="10"/>
    <n v="57306"/>
    <n v="573060"/>
    <n v="573060"/>
  </r>
  <r>
    <n v="11824"/>
    <x v="272"/>
    <x v="4"/>
    <s v="East"/>
    <s v="Amit"/>
    <n v="5"/>
    <n v="48448"/>
    <n v="242240"/>
    <n v="242240"/>
  </r>
  <r>
    <n v="11825"/>
    <x v="158"/>
    <x v="5"/>
    <s v="South"/>
    <s v="Anita"/>
    <n v="4"/>
    <n v="52029"/>
    <n v="208116"/>
    <n v="208116"/>
  </r>
  <r>
    <n v="11826"/>
    <x v="172"/>
    <x v="5"/>
    <s v="West"/>
    <s v="Rani"/>
    <n v="6"/>
    <n v="49864"/>
    <n v="299184"/>
    <n v="299184"/>
  </r>
  <r>
    <n v="11827"/>
    <x v="305"/>
    <x v="5"/>
    <s v="West"/>
    <s v="Suman"/>
    <n v="12"/>
    <n v="24542"/>
    <n v="294504"/>
    <n v="294504"/>
  </r>
  <r>
    <n v="11828"/>
    <x v="68"/>
    <x v="5"/>
    <s v="East"/>
    <s v="Anita"/>
    <n v="7"/>
    <n v="45140"/>
    <n v="315980"/>
    <n v="315980"/>
  </r>
  <r>
    <n v="11829"/>
    <x v="315"/>
    <x v="6"/>
    <s v="North"/>
    <s v="Amit"/>
    <n v="2"/>
    <n v="28298"/>
    <n v="56596"/>
    <n v="56596"/>
  </r>
  <r>
    <n v="11830"/>
    <x v="275"/>
    <x v="3"/>
    <s v="East"/>
    <s v="Amit"/>
    <n v="14"/>
    <n v="57269"/>
    <n v="801766"/>
    <n v="801766"/>
  </r>
  <r>
    <n v="11831"/>
    <x v="152"/>
    <x v="6"/>
    <s v="South"/>
    <s v="Priya"/>
    <n v="16"/>
    <n v="44077"/>
    <n v="705232"/>
    <n v="705232"/>
  </r>
  <r>
    <n v="11832"/>
    <x v="149"/>
    <x v="0"/>
    <s v="East"/>
    <s v="Rani"/>
    <n v="15"/>
    <n v="14049"/>
    <n v="210735"/>
    <n v="210735"/>
  </r>
  <r>
    <n v="11833"/>
    <x v="362"/>
    <x v="5"/>
    <s v="West"/>
    <s v="Amit"/>
    <n v="17"/>
    <n v="43296"/>
    <n v="736032"/>
    <n v="736032"/>
  </r>
  <r>
    <n v="11834"/>
    <x v="188"/>
    <x v="0"/>
    <s v="South"/>
    <s v="Amit"/>
    <n v="19"/>
    <n v="18480"/>
    <n v="351120"/>
    <n v="351120"/>
  </r>
  <r>
    <n v="11835"/>
    <x v="215"/>
    <x v="0"/>
    <s v="East"/>
    <s v="Suman"/>
    <n v="6"/>
    <n v="6892"/>
    <n v="41352"/>
    <n v="41352"/>
  </r>
  <r>
    <n v="11836"/>
    <x v="147"/>
    <x v="0"/>
    <s v="South"/>
    <s v="Suman"/>
    <n v="11"/>
    <n v="11504"/>
    <n v="126544"/>
    <n v="126544"/>
  </r>
  <r>
    <n v="11837"/>
    <x v="291"/>
    <x v="0"/>
    <s v="North"/>
    <s v="Anita"/>
    <n v="8"/>
    <n v="59337"/>
    <n v="474696"/>
    <n v="474696"/>
  </r>
  <r>
    <n v="11838"/>
    <x v="90"/>
    <x v="0"/>
    <s v="West"/>
    <s v="Rahul"/>
    <n v="2"/>
    <n v="2636"/>
    <n v="5272"/>
    <n v="5272"/>
  </r>
  <r>
    <n v="11839"/>
    <x v="127"/>
    <x v="4"/>
    <s v="East"/>
    <s v="Rahul"/>
    <n v="15"/>
    <n v="37251"/>
    <n v="558765"/>
    <n v="558765"/>
  </r>
  <r>
    <n v="11840"/>
    <x v="154"/>
    <x v="5"/>
    <s v="North"/>
    <s v="Amit"/>
    <n v="4"/>
    <n v="1045"/>
    <n v="4180"/>
    <n v="4180"/>
  </r>
  <r>
    <n v="11841"/>
    <x v="145"/>
    <x v="5"/>
    <s v="South"/>
    <s v="Rani"/>
    <n v="20"/>
    <n v="32631"/>
    <n v="652620"/>
    <n v="652620"/>
  </r>
  <r>
    <n v="11842"/>
    <x v="298"/>
    <x v="2"/>
    <s v="North"/>
    <s v="Rahul"/>
    <n v="9"/>
    <n v="30383"/>
    <n v="273447"/>
    <n v="273447"/>
  </r>
  <r>
    <n v="11843"/>
    <x v="94"/>
    <x v="1"/>
    <s v="North"/>
    <s v="Amit"/>
    <n v="13"/>
    <n v="4806"/>
    <n v="62478"/>
    <n v="62478"/>
  </r>
  <r>
    <n v="11844"/>
    <x v="133"/>
    <x v="4"/>
    <s v="North"/>
    <s v="Suman"/>
    <n v="3"/>
    <n v="59400"/>
    <n v="178200"/>
    <n v="178200"/>
  </r>
  <r>
    <n v="11845"/>
    <x v="319"/>
    <x v="0"/>
    <s v="South"/>
    <s v="Priya"/>
    <n v="4"/>
    <n v="59483"/>
    <n v="237932"/>
    <n v="237932"/>
  </r>
  <r>
    <n v="11846"/>
    <x v="357"/>
    <x v="4"/>
    <s v="West"/>
    <s v="Priya"/>
    <n v="5"/>
    <n v="11986"/>
    <n v="59930"/>
    <n v="59930"/>
  </r>
  <r>
    <n v="11847"/>
    <x v="124"/>
    <x v="1"/>
    <s v="East"/>
    <s v="Priya"/>
    <n v="10"/>
    <n v="26638"/>
    <n v="266380"/>
    <n v="266380"/>
  </r>
  <r>
    <n v="11848"/>
    <x v="22"/>
    <x v="0"/>
    <s v="West"/>
    <s v="Priya"/>
    <n v="10"/>
    <n v="7461"/>
    <n v="74610"/>
    <n v="74610"/>
  </r>
  <r>
    <n v="11849"/>
    <x v="314"/>
    <x v="0"/>
    <s v="North"/>
    <s v="Amit"/>
    <n v="5"/>
    <n v="42997"/>
    <n v="214985"/>
    <n v="214985"/>
  </r>
  <r>
    <n v="11850"/>
    <x v="222"/>
    <x v="3"/>
    <s v="West"/>
    <s v="Anita"/>
    <n v="15"/>
    <n v="22364"/>
    <n v="335460"/>
    <n v="335460"/>
  </r>
  <r>
    <n v="11851"/>
    <x v="151"/>
    <x v="1"/>
    <s v="West"/>
    <s v="Anita"/>
    <n v="13"/>
    <n v="59141"/>
    <n v="768833"/>
    <n v="768833"/>
  </r>
  <r>
    <n v="11852"/>
    <x v="299"/>
    <x v="1"/>
    <s v="South"/>
    <s v="Amit"/>
    <n v="20"/>
    <n v="51907"/>
    <n v="1038140"/>
    <n v="1038140"/>
  </r>
  <r>
    <n v="11853"/>
    <x v="32"/>
    <x v="3"/>
    <s v="East"/>
    <s v="Anita"/>
    <n v="18"/>
    <n v="11262"/>
    <n v="202716"/>
    <n v="202716"/>
  </r>
  <r>
    <n v="11854"/>
    <x v="88"/>
    <x v="3"/>
    <s v="West"/>
    <s v="Amit"/>
    <n v="3"/>
    <n v="10670"/>
    <n v="32010"/>
    <n v="32010"/>
  </r>
  <r>
    <n v="11855"/>
    <x v="344"/>
    <x v="3"/>
    <s v="West"/>
    <s v="Priya"/>
    <n v="12"/>
    <n v="44045"/>
    <n v="528540"/>
    <n v="528540"/>
  </r>
  <r>
    <n v="11856"/>
    <x v="244"/>
    <x v="4"/>
    <s v="North"/>
    <s v="Priya"/>
    <n v="20"/>
    <n v="36078"/>
    <n v="721560"/>
    <n v="721560"/>
  </r>
  <r>
    <n v="11857"/>
    <x v="295"/>
    <x v="5"/>
    <s v="North"/>
    <s v="Amit"/>
    <n v="15"/>
    <n v="25668"/>
    <n v="385020"/>
    <n v="385020"/>
  </r>
  <r>
    <n v="11858"/>
    <x v="241"/>
    <x v="5"/>
    <s v="North"/>
    <s v="Rahul"/>
    <n v="15"/>
    <n v="24687"/>
    <n v="370305"/>
    <n v="370305"/>
  </r>
  <r>
    <n v="11859"/>
    <x v="66"/>
    <x v="5"/>
    <s v="North"/>
    <s v="Suman"/>
    <n v="11"/>
    <n v="19475"/>
    <n v="214225"/>
    <n v="214225"/>
  </r>
  <r>
    <n v="11860"/>
    <x v="282"/>
    <x v="6"/>
    <s v="West"/>
    <s v="Rani"/>
    <n v="6"/>
    <n v="23303"/>
    <n v="139818"/>
    <n v="139818"/>
  </r>
  <r>
    <n v="11861"/>
    <x v="193"/>
    <x v="3"/>
    <s v="South"/>
    <s v="Priya"/>
    <n v="10"/>
    <n v="36754"/>
    <n v="367540"/>
    <n v="367540"/>
  </r>
  <r>
    <n v="11862"/>
    <x v="130"/>
    <x v="6"/>
    <s v="East"/>
    <s v="Rahul"/>
    <n v="14"/>
    <n v="43822"/>
    <n v="613508"/>
    <n v="613508"/>
  </r>
  <r>
    <n v="11863"/>
    <x v="154"/>
    <x v="3"/>
    <s v="West"/>
    <s v="Priya"/>
    <n v="1"/>
    <n v="1555"/>
    <n v="1555"/>
    <n v="1555"/>
  </r>
  <r>
    <n v="11864"/>
    <x v="285"/>
    <x v="0"/>
    <s v="South"/>
    <s v="Rani"/>
    <n v="9"/>
    <n v="48224"/>
    <n v="434016"/>
    <n v="434016"/>
  </r>
  <r>
    <n v="11865"/>
    <x v="350"/>
    <x v="5"/>
    <s v="South"/>
    <s v="Anita"/>
    <n v="16"/>
    <n v="39240"/>
    <n v="627840"/>
    <n v="627840"/>
  </r>
  <r>
    <n v="11866"/>
    <x v="83"/>
    <x v="2"/>
    <s v="East"/>
    <s v="Priya"/>
    <n v="3"/>
    <n v="5511"/>
    <n v="16533"/>
    <n v="16533"/>
  </r>
  <r>
    <n v="11867"/>
    <x v="170"/>
    <x v="1"/>
    <s v="North"/>
    <s v="Priya"/>
    <n v="2"/>
    <n v="55686"/>
    <n v="111372"/>
    <n v="111372"/>
  </r>
  <r>
    <n v="11868"/>
    <x v="285"/>
    <x v="4"/>
    <s v="South"/>
    <s v="Rahul"/>
    <n v="9"/>
    <n v="52357"/>
    <n v="471213"/>
    <n v="471213"/>
  </r>
  <r>
    <n v="11869"/>
    <x v="38"/>
    <x v="3"/>
    <s v="North"/>
    <s v="Rani"/>
    <n v="15"/>
    <n v="43167"/>
    <n v="647505"/>
    <n v="647505"/>
  </r>
  <r>
    <n v="11870"/>
    <x v="364"/>
    <x v="4"/>
    <s v="West"/>
    <s v="Suman"/>
    <n v="13"/>
    <n v="38662"/>
    <n v="502606"/>
    <n v="502606"/>
  </r>
  <r>
    <n v="11871"/>
    <x v="343"/>
    <x v="0"/>
    <s v="East"/>
    <s v="Priya"/>
    <n v="20"/>
    <n v="59850"/>
    <n v="1197000"/>
    <n v="1197000"/>
  </r>
  <r>
    <n v="11872"/>
    <x v="144"/>
    <x v="0"/>
    <s v="North"/>
    <s v="Amit"/>
    <n v="19"/>
    <n v="50007"/>
    <n v="950133"/>
    <n v="950133"/>
  </r>
  <r>
    <n v="11873"/>
    <x v="127"/>
    <x v="1"/>
    <s v="South"/>
    <s v="Priya"/>
    <n v="13"/>
    <n v="29566"/>
    <n v="384358"/>
    <n v="384358"/>
  </r>
  <r>
    <n v="11874"/>
    <x v="148"/>
    <x v="4"/>
    <s v="West"/>
    <s v="Amit"/>
    <n v="11"/>
    <n v="27327"/>
    <n v="300597"/>
    <n v="300597"/>
  </r>
  <r>
    <n v="11875"/>
    <x v="205"/>
    <x v="1"/>
    <s v="South"/>
    <s v="Suman"/>
    <n v="1"/>
    <n v="46324"/>
    <n v="46324"/>
    <n v="46324"/>
  </r>
  <r>
    <n v="11876"/>
    <x v="360"/>
    <x v="5"/>
    <s v="East"/>
    <s v="Amit"/>
    <n v="15"/>
    <n v="24627"/>
    <n v="369405"/>
    <n v="369405"/>
  </r>
  <r>
    <n v="11877"/>
    <x v="141"/>
    <x v="6"/>
    <s v="West"/>
    <s v="Suman"/>
    <n v="10"/>
    <n v="10731"/>
    <n v="107310"/>
    <n v="107310"/>
  </r>
  <r>
    <n v="11878"/>
    <x v="267"/>
    <x v="4"/>
    <s v="South"/>
    <s v="Rani"/>
    <n v="6"/>
    <n v="28775"/>
    <n v="172650"/>
    <n v="172650"/>
  </r>
  <r>
    <n v="11879"/>
    <x v="305"/>
    <x v="2"/>
    <s v="South"/>
    <s v="Amit"/>
    <n v="20"/>
    <n v="32343"/>
    <n v="646860"/>
    <n v="646860"/>
  </r>
  <r>
    <n v="11880"/>
    <x v="52"/>
    <x v="5"/>
    <s v="East"/>
    <s v="Anita"/>
    <n v="15"/>
    <n v="5751"/>
    <n v="86265"/>
    <n v="86265"/>
  </r>
  <r>
    <n v="11881"/>
    <x v="235"/>
    <x v="2"/>
    <s v="North"/>
    <s v="Rani"/>
    <n v="2"/>
    <n v="51826"/>
    <n v="103652"/>
    <n v="103652"/>
  </r>
  <r>
    <n v="11882"/>
    <x v="133"/>
    <x v="4"/>
    <s v="North"/>
    <s v="Anita"/>
    <n v="19"/>
    <n v="43186"/>
    <n v="820534"/>
    <n v="820534"/>
  </r>
  <r>
    <n v="11883"/>
    <x v="245"/>
    <x v="3"/>
    <s v="West"/>
    <s v="Rani"/>
    <n v="5"/>
    <n v="29118"/>
    <n v="145590"/>
    <n v="145590"/>
  </r>
  <r>
    <n v="11884"/>
    <x v="203"/>
    <x v="0"/>
    <s v="West"/>
    <s v="Anita"/>
    <n v="18"/>
    <n v="56832"/>
    <n v="1022976"/>
    <n v="1022976"/>
  </r>
  <r>
    <n v="11885"/>
    <x v="277"/>
    <x v="4"/>
    <s v="East"/>
    <s v="Amit"/>
    <n v="11"/>
    <n v="52764"/>
    <n v="580404"/>
    <n v="580404"/>
  </r>
  <r>
    <n v="11886"/>
    <x v="279"/>
    <x v="3"/>
    <s v="South"/>
    <s v="Amit"/>
    <n v="19"/>
    <n v="5200"/>
    <n v="98800"/>
    <n v="98800"/>
  </r>
  <r>
    <n v="11887"/>
    <x v="323"/>
    <x v="0"/>
    <s v="West"/>
    <s v="Priya"/>
    <n v="9"/>
    <n v="16583"/>
    <n v="149247"/>
    <n v="149247"/>
  </r>
  <r>
    <n v="11888"/>
    <x v="108"/>
    <x v="4"/>
    <s v="West"/>
    <s v="Anita"/>
    <n v="10"/>
    <n v="27519"/>
    <n v="275190"/>
    <n v="275190"/>
  </r>
  <r>
    <n v="11889"/>
    <x v="347"/>
    <x v="6"/>
    <s v="East"/>
    <s v="Rahul"/>
    <n v="10"/>
    <n v="3888"/>
    <n v="38880"/>
    <n v="38880"/>
  </r>
  <r>
    <n v="11890"/>
    <x v="102"/>
    <x v="1"/>
    <s v="West"/>
    <s v="Rahul"/>
    <n v="9"/>
    <n v="16223"/>
    <n v="146007"/>
    <n v="146007"/>
  </r>
  <r>
    <n v="11891"/>
    <x v="11"/>
    <x v="2"/>
    <s v="East"/>
    <s v="Amit"/>
    <n v="9"/>
    <n v="4276"/>
    <n v="38484"/>
    <n v="38484"/>
  </r>
  <r>
    <n v="11892"/>
    <x v="87"/>
    <x v="2"/>
    <s v="North"/>
    <s v="Amit"/>
    <n v="7"/>
    <n v="45773"/>
    <n v="320411"/>
    <n v="320411"/>
  </r>
  <r>
    <n v="11893"/>
    <x v="134"/>
    <x v="5"/>
    <s v="North"/>
    <s v="Rani"/>
    <n v="9"/>
    <n v="25946"/>
    <n v="233514"/>
    <n v="233514"/>
  </r>
  <r>
    <n v="11894"/>
    <x v="51"/>
    <x v="1"/>
    <s v="South"/>
    <s v="Amit"/>
    <n v="19"/>
    <n v="17256"/>
    <n v="327864"/>
    <n v="327864"/>
  </r>
  <r>
    <n v="11895"/>
    <x v="5"/>
    <x v="6"/>
    <s v="North"/>
    <s v="Priya"/>
    <n v="7"/>
    <n v="29840"/>
    <n v="208880"/>
    <n v="208880"/>
  </r>
  <r>
    <n v="11896"/>
    <x v="359"/>
    <x v="2"/>
    <s v="North"/>
    <s v="Anita"/>
    <n v="4"/>
    <n v="22818"/>
    <n v="91272"/>
    <n v="91272"/>
  </r>
  <r>
    <n v="11897"/>
    <x v="26"/>
    <x v="1"/>
    <s v="West"/>
    <s v="Anita"/>
    <n v="20"/>
    <n v="30993"/>
    <n v="619860"/>
    <n v="619860"/>
  </r>
  <r>
    <n v="11898"/>
    <x v="115"/>
    <x v="5"/>
    <s v="East"/>
    <s v="Rani"/>
    <n v="14"/>
    <n v="40153"/>
    <n v="562142"/>
    <n v="562142"/>
  </r>
  <r>
    <n v="11899"/>
    <x v="319"/>
    <x v="3"/>
    <s v="East"/>
    <s v="Rahul"/>
    <n v="3"/>
    <n v="14074"/>
    <n v="42222"/>
    <n v="42222"/>
  </r>
  <r>
    <n v="11900"/>
    <x v="342"/>
    <x v="4"/>
    <s v="North"/>
    <s v="Rahul"/>
    <n v="12"/>
    <n v="24833"/>
    <n v="297996"/>
    <n v="297996"/>
  </r>
  <r>
    <n v="11901"/>
    <x v="339"/>
    <x v="6"/>
    <s v="North"/>
    <s v="Priya"/>
    <n v="3"/>
    <n v="22253"/>
    <n v="66759"/>
    <n v="66759"/>
  </r>
  <r>
    <n v="11902"/>
    <x v="173"/>
    <x v="1"/>
    <s v="West"/>
    <s v="Rahul"/>
    <n v="16"/>
    <n v="45082"/>
    <n v="721312"/>
    <n v="721312"/>
  </r>
  <r>
    <n v="11903"/>
    <x v="93"/>
    <x v="6"/>
    <s v="West"/>
    <s v="Suman"/>
    <n v="13"/>
    <n v="54269"/>
    <n v="705497"/>
    <n v="705497"/>
  </r>
  <r>
    <n v="11904"/>
    <x v="107"/>
    <x v="5"/>
    <s v="West"/>
    <s v="Anita"/>
    <n v="3"/>
    <n v="57727"/>
    <n v="173181"/>
    <n v="173181"/>
  </r>
  <r>
    <n v="11905"/>
    <x v="220"/>
    <x v="6"/>
    <s v="East"/>
    <s v="Amit"/>
    <n v="14"/>
    <n v="48373"/>
    <n v="677222"/>
    <n v="677222"/>
  </r>
  <r>
    <n v="11906"/>
    <x v="222"/>
    <x v="3"/>
    <s v="East"/>
    <s v="Anita"/>
    <n v="6"/>
    <n v="40595"/>
    <n v="243570"/>
    <n v="243570"/>
  </r>
  <r>
    <n v="11907"/>
    <x v="89"/>
    <x v="2"/>
    <s v="East"/>
    <s v="Suman"/>
    <n v="1"/>
    <n v="1397"/>
    <n v="1397"/>
    <n v="1397"/>
  </r>
  <r>
    <n v="11908"/>
    <x v="224"/>
    <x v="4"/>
    <s v="East"/>
    <s v="Rahul"/>
    <n v="8"/>
    <n v="34664"/>
    <n v="277312"/>
    <n v="277312"/>
  </r>
  <r>
    <n v="11909"/>
    <x v="194"/>
    <x v="3"/>
    <s v="North"/>
    <s v="Amit"/>
    <n v="5"/>
    <n v="57040"/>
    <n v="285200"/>
    <n v="285200"/>
  </r>
  <r>
    <n v="11910"/>
    <x v="63"/>
    <x v="0"/>
    <s v="West"/>
    <s v="Priya"/>
    <n v="3"/>
    <n v="57811"/>
    <n v="173433"/>
    <n v="173433"/>
  </r>
  <r>
    <n v="11911"/>
    <x v="227"/>
    <x v="5"/>
    <s v="East"/>
    <s v="Rahul"/>
    <n v="18"/>
    <n v="12063"/>
    <n v="217134"/>
    <n v="217134"/>
  </r>
  <r>
    <n v="11912"/>
    <x v="37"/>
    <x v="5"/>
    <s v="West"/>
    <s v="Suman"/>
    <n v="5"/>
    <n v="19082"/>
    <n v="95410"/>
    <n v="95410"/>
  </r>
  <r>
    <n v="11913"/>
    <x v="249"/>
    <x v="0"/>
    <s v="West"/>
    <s v="Amit"/>
    <n v="16"/>
    <n v="50559"/>
    <n v="808944"/>
    <n v="808944"/>
  </r>
  <r>
    <n v="11914"/>
    <x v="69"/>
    <x v="2"/>
    <s v="East"/>
    <s v="Anita"/>
    <n v="16"/>
    <n v="52569"/>
    <n v="841104"/>
    <n v="841104"/>
  </r>
  <r>
    <n v="11915"/>
    <x v="363"/>
    <x v="3"/>
    <s v="North"/>
    <s v="Amit"/>
    <n v="5"/>
    <n v="15343"/>
    <n v="76715"/>
    <n v="76715"/>
  </r>
  <r>
    <n v="11916"/>
    <x v="66"/>
    <x v="6"/>
    <s v="West"/>
    <s v="Amit"/>
    <n v="1"/>
    <n v="48042"/>
    <n v="48042"/>
    <n v="48042"/>
  </r>
  <r>
    <n v="11917"/>
    <x v="175"/>
    <x v="0"/>
    <s v="East"/>
    <s v="Rani"/>
    <n v="2"/>
    <n v="18197"/>
    <n v="36394"/>
    <n v="36394"/>
  </r>
  <r>
    <n v="11918"/>
    <x v="221"/>
    <x v="3"/>
    <s v="South"/>
    <s v="Rani"/>
    <n v="10"/>
    <n v="19522"/>
    <n v="195220"/>
    <n v="195220"/>
  </r>
  <r>
    <n v="11919"/>
    <x v="198"/>
    <x v="4"/>
    <s v="East"/>
    <s v="Rahul"/>
    <n v="12"/>
    <n v="47955"/>
    <n v="575460"/>
    <n v="575460"/>
  </r>
  <r>
    <n v="11920"/>
    <x v="363"/>
    <x v="4"/>
    <s v="South"/>
    <s v="Anita"/>
    <n v="4"/>
    <n v="47812"/>
    <n v="191248"/>
    <n v="191248"/>
  </r>
  <r>
    <n v="11921"/>
    <x v="340"/>
    <x v="5"/>
    <s v="South"/>
    <s v="Amit"/>
    <n v="15"/>
    <n v="54796"/>
    <n v="821940"/>
    <n v="821940"/>
  </r>
  <r>
    <n v="11922"/>
    <x v="78"/>
    <x v="0"/>
    <s v="West"/>
    <s v="Rani"/>
    <n v="8"/>
    <n v="10218"/>
    <n v="81744"/>
    <n v="81744"/>
  </r>
  <r>
    <n v="11923"/>
    <x v="271"/>
    <x v="3"/>
    <s v="North"/>
    <s v="Amit"/>
    <n v="14"/>
    <n v="2515"/>
    <n v="35210"/>
    <n v="35210"/>
  </r>
  <r>
    <n v="11924"/>
    <x v="167"/>
    <x v="1"/>
    <s v="South"/>
    <s v="Anita"/>
    <n v="5"/>
    <n v="12544"/>
    <n v="62720"/>
    <n v="62720"/>
  </r>
  <r>
    <n v="11925"/>
    <x v="66"/>
    <x v="1"/>
    <s v="East"/>
    <s v="Amit"/>
    <n v="1"/>
    <n v="34188"/>
    <n v="34188"/>
    <n v="34188"/>
  </r>
  <r>
    <n v="11926"/>
    <x v="3"/>
    <x v="2"/>
    <s v="East"/>
    <s v="Suman"/>
    <n v="2"/>
    <n v="4698"/>
    <n v="9396"/>
    <n v="9396"/>
  </r>
  <r>
    <n v="11927"/>
    <x v="333"/>
    <x v="4"/>
    <s v="West"/>
    <s v="Rahul"/>
    <n v="10"/>
    <n v="56884"/>
    <n v="568840"/>
    <n v="568840"/>
  </r>
  <r>
    <n v="11928"/>
    <x v="319"/>
    <x v="5"/>
    <s v="West"/>
    <s v="Amit"/>
    <n v="4"/>
    <n v="41650"/>
    <n v="166600"/>
    <n v="166600"/>
  </r>
  <r>
    <n v="11929"/>
    <x v="244"/>
    <x v="4"/>
    <s v="South"/>
    <s v="Rahul"/>
    <n v="1"/>
    <n v="56408"/>
    <n v="56408"/>
    <n v="56408"/>
  </r>
  <r>
    <n v="11930"/>
    <x v="50"/>
    <x v="2"/>
    <s v="South"/>
    <s v="Rahul"/>
    <n v="16"/>
    <n v="9125"/>
    <n v="146000"/>
    <n v="146000"/>
  </r>
  <r>
    <n v="11931"/>
    <x v="359"/>
    <x v="6"/>
    <s v="South"/>
    <s v="Amit"/>
    <n v="2"/>
    <n v="37131"/>
    <n v="74262"/>
    <n v="74262"/>
  </r>
  <r>
    <n v="11932"/>
    <x v="137"/>
    <x v="4"/>
    <s v="South"/>
    <s v="Priya"/>
    <n v="20"/>
    <n v="38892"/>
    <n v="777840"/>
    <n v="777840"/>
  </r>
  <r>
    <n v="11933"/>
    <x v="125"/>
    <x v="1"/>
    <s v="West"/>
    <s v="Priya"/>
    <n v="15"/>
    <n v="50886"/>
    <n v="763290"/>
    <n v="763290"/>
  </r>
  <r>
    <n v="11934"/>
    <x v="222"/>
    <x v="6"/>
    <s v="East"/>
    <s v="Rani"/>
    <n v="5"/>
    <n v="40985"/>
    <n v="204925"/>
    <n v="204925"/>
  </r>
  <r>
    <n v="11935"/>
    <x v="317"/>
    <x v="4"/>
    <s v="South"/>
    <s v="Anita"/>
    <n v="16"/>
    <n v="25309"/>
    <n v="404944"/>
    <n v="404944"/>
  </r>
  <r>
    <n v="11936"/>
    <x v="111"/>
    <x v="3"/>
    <s v="East"/>
    <s v="Rahul"/>
    <n v="9"/>
    <n v="24279"/>
    <n v="218511"/>
    <n v="218511"/>
  </r>
  <r>
    <n v="11937"/>
    <x v="39"/>
    <x v="2"/>
    <s v="South"/>
    <s v="Suman"/>
    <n v="12"/>
    <n v="20960"/>
    <n v="251520"/>
    <n v="251520"/>
  </r>
  <r>
    <n v="11938"/>
    <x v="9"/>
    <x v="5"/>
    <s v="North"/>
    <s v="Anita"/>
    <n v="4"/>
    <n v="49729"/>
    <n v="198916"/>
    <n v="198916"/>
  </r>
  <r>
    <n v="11939"/>
    <x v="300"/>
    <x v="2"/>
    <s v="South"/>
    <s v="Anita"/>
    <n v="9"/>
    <n v="54515"/>
    <n v="490635"/>
    <n v="490635"/>
  </r>
  <r>
    <n v="11940"/>
    <x v="157"/>
    <x v="5"/>
    <s v="North"/>
    <s v="Rani"/>
    <n v="1"/>
    <n v="56149"/>
    <n v="56149"/>
    <n v="56149"/>
  </r>
  <r>
    <n v="11941"/>
    <x v="175"/>
    <x v="0"/>
    <s v="North"/>
    <s v="Anita"/>
    <n v="16"/>
    <n v="26724"/>
    <n v="427584"/>
    <n v="427584"/>
  </r>
  <r>
    <n v="11942"/>
    <x v="305"/>
    <x v="6"/>
    <s v="West"/>
    <s v="Rani"/>
    <n v="9"/>
    <n v="51579"/>
    <n v="464211"/>
    <n v="464211"/>
  </r>
  <r>
    <n v="11943"/>
    <x v="222"/>
    <x v="3"/>
    <s v="North"/>
    <s v="Priya"/>
    <n v="10"/>
    <n v="22867"/>
    <n v="228670"/>
    <n v="228670"/>
  </r>
  <r>
    <n v="11944"/>
    <x v="131"/>
    <x v="3"/>
    <s v="East"/>
    <s v="Priya"/>
    <n v="20"/>
    <n v="53908"/>
    <n v="1078160"/>
    <n v="1078160"/>
  </r>
  <r>
    <n v="11945"/>
    <x v="101"/>
    <x v="1"/>
    <s v="South"/>
    <s v="Rahul"/>
    <n v="20"/>
    <n v="16353"/>
    <n v="327060"/>
    <n v="327060"/>
  </r>
  <r>
    <n v="11946"/>
    <x v="177"/>
    <x v="0"/>
    <s v="South"/>
    <s v="Priya"/>
    <n v="13"/>
    <n v="28913"/>
    <n v="375869"/>
    <n v="375869"/>
  </r>
  <r>
    <n v="11947"/>
    <x v="30"/>
    <x v="4"/>
    <s v="South"/>
    <s v="Suman"/>
    <n v="17"/>
    <n v="32284"/>
    <n v="548828"/>
    <n v="548828"/>
  </r>
  <r>
    <n v="11948"/>
    <x v="320"/>
    <x v="4"/>
    <s v="East"/>
    <s v="Suman"/>
    <n v="6"/>
    <n v="23372"/>
    <n v="140232"/>
    <n v="140232"/>
  </r>
  <r>
    <n v="11949"/>
    <x v="318"/>
    <x v="2"/>
    <s v="East"/>
    <s v="Suman"/>
    <n v="15"/>
    <n v="30137"/>
    <n v="452055"/>
    <n v="452055"/>
  </r>
  <r>
    <n v="11950"/>
    <x v="262"/>
    <x v="1"/>
    <s v="East"/>
    <s v="Priya"/>
    <n v="3"/>
    <n v="36990"/>
    <n v="110970"/>
    <n v="110970"/>
  </r>
  <r>
    <n v="11951"/>
    <x v="248"/>
    <x v="2"/>
    <s v="East"/>
    <s v="Rani"/>
    <n v="4"/>
    <n v="43133"/>
    <n v="172532"/>
    <n v="172532"/>
  </r>
  <r>
    <n v="11952"/>
    <x v="311"/>
    <x v="0"/>
    <s v="North"/>
    <s v="Anita"/>
    <n v="3"/>
    <n v="57686"/>
    <n v="173058"/>
    <n v="173058"/>
  </r>
  <r>
    <n v="11953"/>
    <x v="160"/>
    <x v="2"/>
    <s v="West"/>
    <s v="Anita"/>
    <n v="19"/>
    <n v="46475"/>
    <n v="883025"/>
    <n v="883025"/>
  </r>
  <r>
    <n v="11954"/>
    <x v="210"/>
    <x v="5"/>
    <s v="East"/>
    <s v="Priya"/>
    <n v="20"/>
    <n v="30693"/>
    <n v="613860"/>
    <n v="613860"/>
  </r>
  <r>
    <n v="11955"/>
    <x v="225"/>
    <x v="2"/>
    <s v="West"/>
    <s v="Rahul"/>
    <n v="2"/>
    <n v="1381"/>
    <n v="2762"/>
    <n v="2762"/>
  </r>
  <r>
    <n v="11956"/>
    <x v="197"/>
    <x v="2"/>
    <s v="West"/>
    <s v="Priya"/>
    <n v="8"/>
    <n v="28517"/>
    <n v="228136"/>
    <n v="228136"/>
  </r>
  <r>
    <n v="11957"/>
    <x v="263"/>
    <x v="6"/>
    <s v="North"/>
    <s v="Priya"/>
    <n v="4"/>
    <n v="17169"/>
    <n v="68676"/>
    <n v="68676"/>
  </r>
  <r>
    <n v="11958"/>
    <x v="356"/>
    <x v="6"/>
    <s v="East"/>
    <s v="Rahul"/>
    <n v="8"/>
    <n v="47406"/>
    <n v="379248"/>
    <n v="379248"/>
  </r>
  <r>
    <n v="11959"/>
    <x v="151"/>
    <x v="1"/>
    <s v="East"/>
    <s v="Suman"/>
    <n v="13"/>
    <n v="29460"/>
    <n v="382980"/>
    <n v="382980"/>
  </r>
  <r>
    <n v="11960"/>
    <x v="29"/>
    <x v="5"/>
    <s v="East"/>
    <s v="Priya"/>
    <n v="6"/>
    <n v="41268"/>
    <n v="247608"/>
    <n v="247608"/>
  </r>
  <r>
    <n v="11961"/>
    <x v="234"/>
    <x v="2"/>
    <s v="South"/>
    <s v="Suman"/>
    <n v="12"/>
    <n v="4394"/>
    <n v="52728"/>
    <n v="52728"/>
  </r>
  <r>
    <n v="11962"/>
    <x v="269"/>
    <x v="0"/>
    <s v="South"/>
    <s v="Suman"/>
    <n v="12"/>
    <n v="47305"/>
    <n v="567660"/>
    <n v="567660"/>
  </r>
  <r>
    <n v="11963"/>
    <x v="328"/>
    <x v="4"/>
    <s v="North"/>
    <s v="Suman"/>
    <n v="12"/>
    <n v="30156"/>
    <n v="361872"/>
    <n v="361872"/>
  </r>
  <r>
    <n v="11964"/>
    <x v="13"/>
    <x v="0"/>
    <s v="North"/>
    <s v="Anita"/>
    <n v="12"/>
    <n v="34024"/>
    <n v="408288"/>
    <n v="408288"/>
  </r>
  <r>
    <n v="11965"/>
    <x v="275"/>
    <x v="6"/>
    <s v="South"/>
    <s v="Anita"/>
    <n v="14"/>
    <n v="5716"/>
    <n v="80024"/>
    <n v="80024"/>
  </r>
  <r>
    <n v="11966"/>
    <x v="45"/>
    <x v="2"/>
    <s v="North"/>
    <s v="Suman"/>
    <n v="19"/>
    <n v="8248"/>
    <n v="156712"/>
    <n v="156712"/>
  </r>
  <r>
    <n v="11967"/>
    <x v="141"/>
    <x v="3"/>
    <s v="East"/>
    <s v="Rani"/>
    <n v="13"/>
    <n v="58590"/>
    <n v="761670"/>
    <n v="761670"/>
  </r>
  <r>
    <n v="11968"/>
    <x v="350"/>
    <x v="3"/>
    <s v="North"/>
    <s v="Suman"/>
    <n v="20"/>
    <n v="5208"/>
    <n v="104160"/>
    <n v="104160"/>
  </r>
  <r>
    <n v="11969"/>
    <x v="263"/>
    <x v="1"/>
    <s v="South"/>
    <s v="Amit"/>
    <n v="11"/>
    <n v="25160"/>
    <n v="276760"/>
    <n v="276760"/>
  </r>
  <r>
    <n v="11970"/>
    <x v="363"/>
    <x v="2"/>
    <s v="South"/>
    <s v="Priya"/>
    <n v="11"/>
    <n v="27221"/>
    <n v="299431"/>
    <n v="299431"/>
  </r>
  <r>
    <n v="11971"/>
    <x v="148"/>
    <x v="3"/>
    <s v="South"/>
    <s v="Rahul"/>
    <n v="12"/>
    <n v="25844"/>
    <n v="310128"/>
    <n v="310128"/>
  </r>
  <r>
    <n v="11972"/>
    <x v="293"/>
    <x v="2"/>
    <s v="East"/>
    <s v="Amit"/>
    <n v="1"/>
    <n v="34385"/>
    <n v="34385"/>
    <n v="34385"/>
  </r>
  <r>
    <n v="11973"/>
    <x v="229"/>
    <x v="6"/>
    <s v="West"/>
    <s v="Anita"/>
    <n v="8"/>
    <n v="22720"/>
    <n v="181760"/>
    <n v="181760"/>
  </r>
  <r>
    <n v="11974"/>
    <x v="312"/>
    <x v="1"/>
    <s v="West"/>
    <s v="Amit"/>
    <n v="12"/>
    <n v="21526"/>
    <n v="258312"/>
    <n v="258312"/>
  </r>
  <r>
    <n v="11975"/>
    <x v="318"/>
    <x v="0"/>
    <s v="East"/>
    <s v="Rahul"/>
    <n v="20"/>
    <n v="754"/>
    <n v="15080"/>
    <n v="15080"/>
  </r>
  <r>
    <n v="11976"/>
    <x v="60"/>
    <x v="3"/>
    <s v="South"/>
    <s v="Priya"/>
    <n v="3"/>
    <n v="41513"/>
    <n v="124539"/>
    <n v="124539"/>
  </r>
  <r>
    <n v="11977"/>
    <x v="261"/>
    <x v="3"/>
    <s v="North"/>
    <s v="Rani"/>
    <n v="3"/>
    <n v="20274"/>
    <n v="60822"/>
    <n v="60822"/>
  </r>
  <r>
    <n v="11978"/>
    <x v="356"/>
    <x v="3"/>
    <s v="South"/>
    <s v="Suman"/>
    <n v="12"/>
    <n v="41678"/>
    <n v="500136"/>
    <n v="500136"/>
  </r>
  <r>
    <n v="11979"/>
    <x v="291"/>
    <x v="6"/>
    <s v="East"/>
    <s v="Suman"/>
    <n v="18"/>
    <n v="1727"/>
    <n v="31086"/>
    <n v="31086"/>
  </r>
  <r>
    <n v="11980"/>
    <x v="60"/>
    <x v="5"/>
    <s v="West"/>
    <s v="Priya"/>
    <n v="14"/>
    <n v="25981"/>
    <n v="363734"/>
    <n v="363734"/>
  </r>
  <r>
    <n v="11981"/>
    <x v="268"/>
    <x v="5"/>
    <s v="North"/>
    <s v="Anita"/>
    <n v="14"/>
    <n v="57978"/>
    <n v="811692"/>
    <n v="811692"/>
  </r>
  <r>
    <n v="11982"/>
    <x v="170"/>
    <x v="0"/>
    <s v="West"/>
    <s v="Anita"/>
    <n v="19"/>
    <n v="45989"/>
    <n v="873791"/>
    <n v="873791"/>
  </r>
  <r>
    <n v="11983"/>
    <x v="330"/>
    <x v="2"/>
    <s v="South"/>
    <s v="Suman"/>
    <n v="2"/>
    <n v="1814"/>
    <n v="3628"/>
    <n v="3628"/>
  </r>
  <r>
    <n v="11984"/>
    <x v="348"/>
    <x v="5"/>
    <s v="East"/>
    <s v="Rahul"/>
    <n v="12"/>
    <n v="35561"/>
    <n v="426732"/>
    <n v="426732"/>
  </r>
  <r>
    <n v="11985"/>
    <x v="295"/>
    <x v="1"/>
    <s v="East"/>
    <s v="Suman"/>
    <n v="13"/>
    <n v="26710"/>
    <n v="347230"/>
    <n v="347230"/>
  </r>
  <r>
    <n v="11986"/>
    <x v="1"/>
    <x v="1"/>
    <s v="East"/>
    <s v="Anita"/>
    <n v="15"/>
    <n v="15353"/>
    <n v="230295"/>
    <n v="230295"/>
  </r>
  <r>
    <n v="11987"/>
    <x v="275"/>
    <x v="6"/>
    <s v="West"/>
    <s v="Amit"/>
    <n v="18"/>
    <n v="5870"/>
    <n v="105660"/>
    <n v="105660"/>
  </r>
  <r>
    <n v="11988"/>
    <x v="0"/>
    <x v="3"/>
    <s v="North"/>
    <s v="Anita"/>
    <n v="18"/>
    <n v="4771"/>
    <n v="85878"/>
    <n v="85878"/>
  </r>
  <r>
    <n v="11989"/>
    <x v="272"/>
    <x v="5"/>
    <s v="North"/>
    <s v="Rani"/>
    <n v="11"/>
    <n v="22348"/>
    <n v="245828"/>
    <n v="245828"/>
  </r>
  <r>
    <n v="11990"/>
    <x v="316"/>
    <x v="3"/>
    <s v="South"/>
    <s v="Rani"/>
    <n v="19"/>
    <n v="33618"/>
    <n v="638742"/>
    <n v="638742"/>
  </r>
  <r>
    <n v="11991"/>
    <x v="281"/>
    <x v="3"/>
    <s v="South"/>
    <s v="Anita"/>
    <n v="16"/>
    <n v="7197"/>
    <n v="115152"/>
    <n v="115152"/>
  </r>
  <r>
    <n v="11992"/>
    <x v="247"/>
    <x v="6"/>
    <s v="South"/>
    <s v="Amit"/>
    <n v="3"/>
    <n v="4972"/>
    <n v="14916"/>
    <n v="14916"/>
  </r>
  <r>
    <n v="11993"/>
    <x v="40"/>
    <x v="4"/>
    <s v="West"/>
    <s v="Rani"/>
    <n v="19"/>
    <n v="22659"/>
    <n v="430521"/>
    <n v="430521"/>
  </r>
  <r>
    <n v="11994"/>
    <x v="157"/>
    <x v="3"/>
    <s v="West"/>
    <s v="Amit"/>
    <n v="5"/>
    <n v="20724"/>
    <n v="103620"/>
    <n v="103620"/>
  </r>
  <r>
    <n v="11995"/>
    <x v="300"/>
    <x v="4"/>
    <s v="South"/>
    <s v="Anita"/>
    <n v="4"/>
    <n v="21025"/>
    <n v="84100"/>
    <n v="84100"/>
  </r>
  <r>
    <n v="11996"/>
    <x v="354"/>
    <x v="2"/>
    <s v="North"/>
    <s v="Priya"/>
    <n v="17"/>
    <n v="6271"/>
    <n v="106607"/>
    <n v="106607"/>
  </r>
  <r>
    <n v="11997"/>
    <x v="86"/>
    <x v="6"/>
    <s v="South"/>
    <s v="Amit"/>
    <n v="16"/>
    <n v="29481"/>
    <n v="471696"/>
    <n v="471696"/>
  </r>
  <r>
    <n v="11998"/>
    <x v="307"/>
    <x v="1"/>
    <s v="West"/>
    <s v="Anita"/>
    <n v="12"/>
    <n v="12097"/>
    <n v="145164"/>
    <n v="145164"/>
  </r>
  <r>
    <n v="11999"/>
    <x v="305"/>
    <x v="2"/>
    <s v="South"/>
    <s v="Suman"/>
    <n v="1"/>
    <n v="33765"/>
    <n v="33765"/>
    <n v="33765"/>
  </r>
  <r>
    <n v="12000"/>
    <x v="319"/>
    <x v="1"/>
    <s v="South"/>
    <s v="Rani"/>
    <n v="9"/>
    <n v="43641"/>
    <n v="392769"/>
    <n v="392769"/>
  </r>
  <r>
    <n v="12001"/>
    <x v="37"/>
    <x v="1"/>
    <s v="South"/>
    <s v="Suman"/>
    <n v="1"/>
    <n v="52012"/>
    <n v="52012"/>
    <n v="52012"/>
  </r>
  <r>
    <n v="12002"/>
    <x v="212"/>
    <x v="5"/>
    <s v="West"/>
    <s v="Rahul"/>
    <n v="15"/>
    <n v="40639"/>
    <n v="609585"/>
    <n v="609585"/>
  </r>
  <r>
    <n v="12003"/>
    <x v="150"/>
    <x v="2"/>
    <s v="North"/>
    <s v="Rani"/>
    <n v="12"/>
    <n v="24258"/>
    <n v="291096"/>
    <n v="291096"/>
  </r>
  <r>
    <n v="12004"/>
    <x v="231"/>
    <x v="3"/>
    <s v="North"/>
    <s v="Priya"/>
    <n v="13"/>
    <n v="32853"/>
    <n v="427089"/>
    <n v="427089"/>
  </r>
  <r>
    <n v="12005"/>
    <x v="31"/>
    <x v="0"/>
    <s v="East"/>
    <s v="Suman"/>
    <n v="20"/>
    <n v="54051"/>
    <n v="1081020"/>
    <n v="1081020"/>
  </r>
  <r>
    <n v="12006"/>
    <x v="279"/>
    <x v="3"/>
    <s v="South"/>
    <s v="Suman"/>
    <n v="9"/>
    <n v="30835"/>
    <n v="277515"/>
    <n v="277515"/>
  </r>
  <r>
    <n v="12007"/>
    <x v="300"/>
    <x v="6"/>
    <s v="West"/>
    <s v="Priya"/>
    <n v="3"/>
    <n v="40653"/>
    <n v="121959"/>
    <n v="121959"/>
  </r>
  <r>
    <n v="12008"/>
    <x v="153"/>
    <x v="1"/>
    <s v="West"/>
    <s v="Amit"/>
    <n v="20"/>
    <n v="27602"/>
    <n v="552040"/>
    <n v="552040"/>
  </r>
  <r>
    <n v="12009"/>
    <x v="154"/>
    <x v="1"/>
    <s v="East"/>
    <s v="Priya"/>
    <n v="13"/>
    <n v="43308"/>
    <n v="563004"/>
    <n v="563004"/>
  </r>
  <r>
    <n v="12010"/>
    <x v="194"/>
    <x v="5"/>
    <s v="North"/>
    <s v="Rani"/>
    <n v="16"/>
    <n v="46163"/>
    <n v="738608"/>
    <n v="738608"/>
  </r>
  <r>
    <n v="12011"/>
    <x v="237"/>
    <x v="0"/>
    <s v="North"/>
    <s v="Rani"/>
    <n v="11"/>
    <n v="31869"/>
    <n v="350559"/>
    <n v="350559"/>
  </r>
  <r>
    <n v="12012"/>
    <x v="252"/>
    <x v="0"/>
    <s v="East"/>
    <s v="Rani"/>
    <n v="16"/>
    <n v="8848"/>
    <n v="141568"/>
    <n v="141568"/>
  </r>
  <r>
    <n v="12013"/>
    <x v="337"/>
    <x v="5"/>
    <s v="East"/>
    <s v="Suman"/>
    <n v="17"/>
    <n v="24438"/>
    <n v="415446"/>
    <n v="415446"/>
  </r>
  <r>
    <n v="12014"/>
    <x v="179"/>
    <x v="3"/>
    <s v="North"/>
    <s v="Amit"/>
    <n v="17"/>
    <n v="47201"/>
    <n v="802417"/>
    <n v="802417"/>
  </r>
  <r>
    <n v="12015"/>
    <x v="166"/>
    <x v="6"/>
    <s v="South"/>
    <s v="Rani"/>
    <n v="18"/>
    <n v="36023"/>
    <n v="648414"/>
    <n v="648414"/>
  </r>
  <r>
    <n v="12016"/>
    <x v="122"/>
    <x v="1"/>
    <s v="North"/>
    <s v="Anita"/>
    <n v="3"/>
    <n v="5326"/>
    <n v="15978"/>
    <n v="15978"/>
  </r>
  <r>
    <n v="12017"/>
    <x v="357"/>
    <x v="6"/>
    <s v="North"/>
    <s v="Rahul"/>
    <n v="16"/>
    <n v="13963"/>
    <n v="223408"/>
    <n v="223408"/>
  </r>
  <r>
    <n v="12018"/>
    <x v="204"/>
    <x v="6"/>
    <s v="South"/>
    <s v="Priya"/>
    <n v="1"/>
    <n v="58485"/>
    <n v="58485"/>
    <n v="58485"/>
  </r>
  <r>
    <n v="12019"/>
    <x v="4"/>
    <x v="1"/>
    <s v="East"/>
    <s v="Anita"/>
    <n v="11"/>
    <n v="43160"/>
    <n v="474760"/>
    <n v="474760"/>
  </r>
  <r>
    <n v="12020"/>
    <x v="131"/>
    <x v="3"/>
    <s v="West"/>
    <s v="Rahul"/>
    <n v="2"/>
    <n v="22416"/>
    <n v="44832"/>
    <n v="44832"/>
  </r>
  <r>
    <n v="12021"/>
    <x v="211"/>
    <x v="6"/>
    <s v="North"/>
    <s v="Rani"/>
    <n v="9"/>
    <n v="41031"/>
    <n v="369279"/>
    <n v="369279"/>
  </r>
  <r>
    <n v="12022"/>
    <x v="12"/>
    <x v="0"/>
    <s v="East"/>
    <s v="Rahul"/>
    <n v="13"/>
    <n v="56316"/>
    <n v="732108"/>
    <n v="732108"/>
  </r>
  <r>
    <n v="12023"/>
    <x v="6"/>
    <x v="1"/>
    <s v="East"/>
    <s v="Rani"/>
    <n v="7"/>
    <n v="17321"/>
    <n v="121247"/>
    <n v="121247"/>
  </r>
  <r>
    <n v="12024"/>
    <x v="268"/>
    <x v="3"/>
    <s v="North"/>
    <s v="Amit"/>
    <n v="16"/>
    <n v="50260"/>
    <n v="804160"/>
    <n v="804160"/>
  </r>
  <r>
    <n v="12025"/>
    <x v="32"/>
    <x v="1"/>
    <s v="West"/>
    <s v="Suman"/>
    <n v="20"/>
    <n v="8208"/>
    <n v="164160"/>
    <n v="164160"/>
  </r>
  <r>
    <n v="12026"/>
    <x v="363"/>
    <x v="1"/>
    <s v="West"/>
    <s v="Rani"/>
    <n v="15"/>
    <n v="39794"/>
    <n v="596910"/>
    <n v="596910"/>
  </r>
  <r>
    <n v="12027"/>
    <x v="303"/>
    <x v="4"/>
    <s v="South"/>
    <s v="Rahul"/>
    <n v="4"/>
    <n v="58576"/>
    <n v="234304"/>
    <n v="234304"/>
  </r>
  <r>
    <n v="12028"/>
    <x v="106"/>
    <x v="5"/>
    <s v="North"/>
    <s v="Suman"/>
    <n v="7"/>
    <n v="7360"/>
    <n v="51520"/>
    <n v="51520"/>
  </r>
  <r>
    <n v="12029"/>
    <x v="216"/>
    <x v="3"/>
    <s v="South"/>
    <s v="Anita"/>
    <n v="11"/>
    <n v="41045"/>
    <n v="451495"/>
    <n v="451495"/>
  </r>
  <r>
    <n v="12030"/>
    <x v="106"/>
    <x v="1"/>
    <s v="West"/>
    <s v="Priya"/>
    <n v="14"/>
    <n v="40406"/>
    <n v="565684"/>
    <n v="565684"/>
  </r>
  <r>
    <n v="12031"/>
    <x v="307"/>
    <x v="2"/>
    <s v="East"/>
    <s v="Anita"/>
    <n v="11"/>
    <n v="31503"/>
    <n v="346533"/>
    <n v="346533"/>
  </r>
  <r>
    <n v="12032"/>
    <x v="113"/>
    <x v="1"/>
    <s v="East"/>
    <s v="Rani"/>
    <n v="16"/>
    <n v="47089"/>
    <n v="753424"/>
    <n v="753424"/>
  </r>
  <r>
    <n v="12033"/>
    <x v="280"/>
    <x v="0"/>
    <s v="South"/>
    <s v="Anita"/>
    <n v="15"/>
    <n v="57480"/>
    <n v="862200"/>
    <n v="862200"/>
  </r>
  <r>
    <n v="12034"/>
    <x v="284"/>
    <x v="6"/>
    <s v="East"/>
    <s v="Rahul"/>
    <n v="12"/>
    <n v="42398"/>
    <n v="508776"/>
    <n v="508776"/>
  </r>
  <r>
    <n v="12035"/>
    <x v="157"/>
    <x v="1"/>
    <s v="West"/>
    <s v="Rahul"/>
    <n v="12"/>
    <n v="9858"/>
    <n v="118296"/>
    <n v="118296"/>
  </r>
  <r>
    <n v="12036"/>
    <x v="103"/>
    <x v="0"/>
    <s v="South"/>
    <s v="Rahul"/>
    <n v="15"/>
    <n v="4849"/>
    <n v="72735"/>
    <n v="72735"/>
  </r>
  <r>
    <n v="12037"/>
    <x v="3"/>
    <x v="3"/>
    <s v="West"/>
    <s v="Priya"/>
    <n v="16"/>
    <n v="38097"/>
    <n v="609552"/>
    <n v="609552"/>
  </r>
  <r>
    <n v="12038"/>
    <x v="355"/>
    <x v="5"/>
    <s v="North"/>
    <s v="Priya"/>
    <n v="6"/>
    <n v="7089"/>
    <n v="42534"/>
    <n v="42534"/>
  </r>
  <r>
    <n v="12039"/>
    <x v="111"/>
    <x v="3"/>
    <s v="West"/>
    <s v="Priya"/>
    <n v="20"/>
    <n v="4080"/>
    <n v="81600"/>
    <n v="81600"/>
  </r>
  <r>
    <n v="12040"/>
    <x v="153"/>
    <x v="2"/>
    <s v="East"/>
    <s v="Anita"/>
    <n v="5"/>
    <n v="26986"/>
    <n v="134930"/>
    <n v="134930"/>
  </r>
  <r>
    <n v="12041"/>
    <x v="235"/>
    <x v="2"/>
    <s v="South"/>
    <s v="Priya"/>
    <n v="14"/>
    <n v="53775"/>
    <n v="752850"/>
    <n v="752850"/>
  </r>
  <r>
    <n v="12042"/>
    <x v="280"/>
    <x v="6"/>
    <s v="South"/>
    <s v="Suman"/>
    <n v="12"/>
    <n v="37751"/>
    <n v="453012"/>
    <n v="453012"/>
  </r>
  <r>
    <n v="12043"/>
    <x v="69"/>
    <x v="2"/>
    <s v="West"/>
    <s v="Rani"/>
    <n v="2"/>
    <n v="45943"/>
    <n v="91886"/>
    <n v="91886"/>
  </r>
  <r>
    <n v="12044"/>
    <x v="111"/>
    <x v="2"/>
    <s v="North"/>
    <s v="Amit"/>
    <n v="18"/>
    <n v="26507"/>
    <n v="477126"/>
    <n v="477126"/>
  </r>
  <r>
    <n v="12045"/>
    <x v="219"/>
    <x v="1"/>
    <s v="West"/>
    <s v="Rani"/>
    <n v="4"/>
    <n v="12701"/>
    <n v="50804"/>
    <n v="50804"/>
  </r>
  <r>
    <n v="12046"/>
    <x v="149"/>
    <x v="6"/>
    <s v="North"/>
    <s v="Amit"/>
    <n v="8"/>
    <n v="48087"/>
    <n v="384696"/>
    <n v="384696"/>
  </r>
  <r>
    <n v="12047"/>
    <x v="9"/>
    <x v="1"/>
    <s v="East"/>
    <s v="Amit"/>
    <n v="16"/>
    <n v="52280"/>
    <n v="836480"/>
    <n v="836480"/>
  </r>
  <r>
    <n v="12048"/>
    <x v="124"/>
    <x v="3"/>
    <s v="North"/>
    <s v="Anita"/>
    <n v="10"/>
    <n v="6266"/>
    <n v="62660"/>
    <n v="62660"/>
  </r>
  <r>
    <n v="12049"/>
    <x v="182"/>
    <x v="1"/>
    <s v="South"/>
    <s v="Amit"/>
    <n v="18"/>
    <n v="51220"/>
    <n v="921960"/>
    <n v="921960"/>
  </r>
  <r>
    <n v="12050"/>
    <x v="352"/>
    <x v="6"/>
    <s v="East"/>
    <s v="Amit"/>
    <n v="17"/>
    <n v="8694"/>
    <n v="147798"/>
    <n v="147798"/>
  </r>
  <r>
    <n v="12051"/>
    <x v="338"/>
    <x v="2"/>
    <s v="South"/>
    <s v="Amit"/>
    <n v="4"/>
    <n v="41072"/>
    <n v="164288"/>
    <n v="164288"/>
  </r>
  <r>
    <n v="12052"/>
    <x v="341"/>
    <x v="6"/>
    <s v="East"/>
    <s v="Suman"/>
    <n v="8"/>
    <n v="50871"/>
    <n v="406968"/>
    <n v="406968"/>
  </r>
  <r>
    <n v="12053"/>
    <x v="266"/>
    <x v="3"/>
    <s v="South"/>
    <s v="Suman"/>
    <n v="13"/>
    <n v="7107"/>
    <n v="92391"/>
    <n v="92391"/>
  </r>
  <r>
    <n v="12054"/>
    <x v="80"/>
    <x v="1"/>
    <s v="West"/>
    <s v="Rahul"/>
    <n v="1"/>
    <n v="18337"/>
    <n v="18337"/>
    <n v="18337"/>
  </r>
  <r>
    <n v="12055"/>
    <x v="289"/>
    <x v="5"/>
    <s v="South"/>
    <s v="Priya"/>
    <n v="16"/>
    <n v="3906"/>
    <n v="62496"/>
    <n v="62496"/>
  </r>
  <r>
    <n v="12056"/>
    <x v="52"/>
    <x v="6"/>
    <s v="West"/>
    <s v="Anita"/>
    <n v="10"/>
    <n v="30381"/>
    <n v="303810"/>
    <n v="303810"/>
  </r>
  <r>
    <n v="12057"/>
    <x v="52"/>
    <x v="5"/>
    <s v="East"/>
    <s v="Rahul"/>
    <n v="20"/>
    <n v="36820"/>
    <n v="736400"/>
    <n v="736400"/>
  </r>
  <r>
    <n v="12058"/>
    <x v="287"/>
    <x v="3"/>
    <s v="South"/>
    <s v="Priya"/>
    <n v="2"/>
    <n v="24509"/>
    <n v="49018"/>
    <n v="49018"/>
  </r>
  <r>
    <n v="12059"/>
    <x v="57"/>
    <x v="0"/>
    <s v="East"/>
    <s v="Rahul"/>
    <n v="12"/>
    <n v="22161"/>
    <n v="265932"/>
    <n v="265932"/>
  </r>
  <r>
    <n v="12060"/>
    <x v="340"/>
    <x v="4"/>
    <s v="West"/>
    <s v="Rahul"/>
    <n v="14"/>
    <n v="39691"/>
    <n v="555674"/>
    <n v="555674"/>
  </r>
  <r>
    <n v="12061"/>
    <x v="273"/>
    <x v="5"/>
    <s v="East"/>
    <s v="Suman"/>
    <n v="12"/>
    <n v="59898"/>
    <n v="718776"/>
    <n v="718776"/>
  </r>
  <r>
    <n v="12062"/>
    <x v="8"/>
    <x v="5"/>
    <s v="North"/>
    <s v="Priya"/>
    <n v="2"/>
    <n v="46934"/>
    <n v="93868"/>
    <n v="93868"/>
  </r>
  <r>
    <n v="12063"/>
    <x v="146"/>
    <x v="2"/>
    <s v="South"/>
    <s v="Suman"/>
    <n v="7"/>
    <n v="58149"/>
    <n v="407043"/>
    <n v="407043"/>
  </r>
  <r>
    <n v="12064"/>
    <x v="22"/>
    <x v="2"/>
    <s v="South"/>
    <s v="Amit"/>
    <n v="12"/>
    <n v="24315"/>
    <n v="291780"/>
    <n v="291780"/>
  </r>
  <r>
    <n v="12065"/>
    <x v="331"/>
    <x v="0"/>
    <s v="East"/>
    <s v="Anita"/>
    <n v="9"/>
    <n v="45835"/>
    <n v="412515"/>
    <n v="412515"/>
  </r>
  <r>
    <n v="12066"/>
    <x v="328"/>
    <x v="6"/>
    <s v="South"/>
    <s v="Priya"/>
    <n v="3"/>
    <n v="15034"/>
    <n v="45102"/>
    <n v="45102"/>
  </r>
  <r>
    <n v="12067"/>
    <x v="73"/>
    <x v="6"/>
    <s v="East"/>
    <s v="Anita"/>
    <n v="14"/>
    <n v="4476"/>
    <n v="62664"/>
    <n v="62664"/>
  </r>
  <r>
    <n v="12068"/>
    <x v="102"/>
    <x v="5"/>
    <s v="East"/>
    <s v="Amit"/>
    <n v="11"/>
    <n v="38636"/>
    <n v="424996"/>
    <n v="424996"/>
  </r>
  <r>
    <n v="12069"/>
    <x v="142"/>
    <x v="1"/>
    <s v="East"/>
    <s v="Anita"/>
    <n v="17"/>
    <n v="53029"/>
    <n v="901493"/>
    <n v="901493"/>
  </r>
  <r>
    <n v="12070"/>
    <x v="340"/>
    <x v="4"/>
    <s v="East"/>
    <s v="Rani"/>
    <n v="9"/>
    <n v="46026"/>
    <n v="414234"/>
    <n v="414234"/>
  </r>
  <r>
    <n v="12071"/>
    <x v="84"/>
    <x v="2"/>
    <s v="North"/>
    <s v="Priya"/>
    <n v="8"/>
    <n v="14429"/>
    <n v="115432"/>
    <n v="115432"/>
  </r>
  <r>
    <n v="12072"/>
    <x v="173"/>
    <x v="0"/>
    <s v="South"/>
    <s v="Amit"/>
    <n v="1"/>
    <n v="45809"/>
    <n v="45809"/>
    <n v="45809"/>
  </r>
  <r>
    <n v="12073"/>
    <x v="340"/>
    <x v="4"/>
    <s v="South"/>
    <s v="Suman"/>
    <n v="12"/>
    <n v="12305"/>
    <n v="147660"/>
    <n v="147660"/>
  </r>
  <r>
    <n v="12074"/>
    <x v="13"/>
    <x v="5"/>
    <s v="South"/>
    <s v="Rani"/>
    <n v="2"/>
    <n v="9421"/>
    <n v="18842"/>
    <n v="18842"/>
  </r>
  <r>
    <n v="12075"/>
    <x v="280"/>
    <x v="3"/>
    <s v="South"/>
    <s v="Anita"/>
    <n v="15"/>
    <n v="36071"/>
    <n v="541065"/>
    <n v="541065"/>
  </r>
  <r>
    <n v="12076"/>
    <x v="178"/>
    <x v="4"/>
    <s v="South"/>
    <s v="Rani"/>
    <n v="7"/>
    <n v="48020"/>
    <n v="336140"/>
    <n v="336140"/>
  </r>
  <r>
    <n v="12077"/>
    <x v="46"/>
    <x v="5"/>
    <s v="North"/>
    <s v="Priya"/>
    <n v="6"/>
    <n v="8845"/>
    <n v="53070"/>
    <n v="53070"/>
  </r>
  <r>
    <n v="12078"/>
    <x v="97"/>
    <x v="6"/>
    <s v="North"/>
    <s v="Amit"/>
    <n v="5"/>
    <n v="49187"/>
    <n v="245935"/>
    <n v="245935"/>
  </r>
  <r>
    <n v="12079"/>
    <x v="181"/>
    <x v="3"/>
    <s v="North"/>
    <s v="Rani"/>
    <n v="8"/>
    <n v="37654"/>
    <n v="301232"/>
    <n v="301232"/>
  </r>
  <r>
    <n v="12080"/>
    <x v="77"/>
    <x v="0"/>
    <s v="West"/>
    <s v="Amit"/>
    <n v="11"/>
    <n v="48839"/>
    <n v="537229"/>
    <n v="537229"/>
  </r>
  <r>
    <n v="12081"/>
    <x v="113"/>
    <x v="4"/>
    <s v="West"/>
    <s v="Anita"/>
    <n v="13"/>
    <n v="58910"/>
    <n v="765830"/>
    <n v="765830"/>
  </r>
  <r>
    <n v="12082"/>
    <x v="359"/>
    <x v="6"/>
    <s v="North"/>
    <s v="Suman"/>
    <n v="16"/>
    <n v="23318"/>
    <n v="373088"/>
    <n v="373088"/>
  </r>
  <r>
    <n v="12083"/>
    <x v="251"/>
    <x v="4"/>
    <s v="East"/>
    <s v="Rahul"/>
    <n v="9"/>
    <n v="3557"/>
    <n v="32013"/>
    <n v="32013"/>
  </r>
  <r>
    <n v="12084"/>
    <x v="238"/>
    <x v="2"/>
    <s v="North"/>
    <s v="Amit"/>
    <n v="4"/>
    <n v="53876"/>
    <n v="215504"/>
    <n v="215504"/>
  </r>
  <r>
    <n v="12085"/>
    <x v="3"/>
    <x v="0"/>
    <s v="North"/>
    <s v="Anita"/>
    <n v="6"/>
    <n v="56895"/>
    <n v="341370"/>
    <n v="341370"/>
  </r>
  <r>
    <n v="12086"/>
    <x v="173"/>
    <x v="0"/>
    <s v="North"/>
    <s v="Priya"/>
    <n v="11"/>
    <n v="10813"/>
    <n v="118943"/>
    <n v="118943"/>
  </r>
  <r>
    <n v="12087"/>
    <x v="72"/>
    <x v="5"/>
    <s v="East"/>
    <s v="Suman"/>
    <n v="8"/>
    <n v="44096"/>
    <n v="352768"/>
    <n v="352768"/>
  </r>
  <r>
    <n v="12088"/>
    <x v="5"/>
    <x v="5"/>
    <s v="West"/>
    <s v="Priya"/>
    <n v="10"/>
    <n v="48911"/>
    <n v="489110"/>
    <n v="489110"/>
  </r>
  <r>
    <n v="12089"/>
    <x v="178"/>
    <x v="5"/>
    <s v="North"/>
    <s v="Suman"/>
    <n v="20"/>
    <n v="47930"/>
    <n v="958600"/>
    <n v="958600"/>
  </r>
  <r>
    <n v="12090"/>
    <x v="53"/>
    <x v="4"/>
    <s v="East"/>
    <s v="Priya"/>
    <n v="11"/>
    <n v="45459"/>
    <n v="500049"/>
    <n v="500049"/>
  </r>
  <r>
    <n v="12091"/>
    <x v="285"/>
    <x v="1"/>
    <s v="West"/>
    <s v="Rani"/>
    <n v="3"/>
    <n v="4784"/>
    <n v="14352"/>
    <n v="14352"/>
  </r>
  <r>
    <n v="12092"/>
    <x v="298"/>
    <x v="4"/>
    <s v="North"/>
    <s v="Anita"/>
    <n v="1"/>
    <n v="21391"/>
    <n v="21391"/>
    <n v="21391"/>
  </r>
  <r>
    <n v="12093"/>
    <x v="125"/>
    <x v="0"/>
    <s v="West"/>
    <s v="Priya"/>
    <n v="8"/>
    <n v="50437"/>
    <n v="403496"/>
    <n v="403496"/>
  </r>
  <r>
    <n v="12094"/>
    <x v="89"/>
    <x v="3"/>
    <s v="West"/>
    <s v="Priya"/>
    <n v="16"/>
    <n v="21329"/>
    <n v="341264"/>
    <n v="341264"/>
  </r>
  <r>
    <n v="12095"/>
    <x v="315"/>
    <x v="0"/>
    <s v="South"/>
    <s v="Priya"/>
    <n v="5"/>
    <n v="35591"/>
    <n v="177955"/>
    <n v="177955"/>
  </r>
  <r>
    <n v="12096"/>
    <x v="101"/>
    <x v="4"/>
    <s v="South"/>
    <s v="Suman"/>
    <n v="15"/>
    <n v="27099"/>
    <n v="406485"/>
    <n v="406485"/>
  </r>
  <r>
    <n v="12097"/>
    <x v="8"/>
    <x v="3"/>
    <s v="East"/>
    <s v="Suman"/>
    <n v="10"/>
    <n v="42588"/>
    <n v="425880"/>
    <n v="425880"/>
  </r>
  <r>
    <n v="12098"/>
    <x v="112"/>
    <x v="4"/>
    <s v="West"/>
    <s v="Priya"/>
    <n v="10"/>
    <n v="36504"/>
    <n v="365040"/>
    <n v="365040"/>
  </r>
  <r>
    <n v="12099"/>
    <x v="254"/>
    <x v="0"/>
    <s v="East"/>
    <s v="Amit"/>
    <n v="1"/>
    <n v="43455"/>
    <n v="43455"/>
    <n v="43455"/>
  </r>
  <r>
    <n v="12100"/>
    <x v="92"/>
    <x v="0"/>
    <s v="East"/>
    <s v="Rahul"/>
    <n v="4"/>
    <n v="32870"/>
    <n v="131480"/>
    <n v="131480"/>
  </r>
  <r>
    <n v="12101"/>
    <x v="304"/>
    <x v="5"/>
    <s v="North"/>
    <s v="Rani"/>
    <n v="17"/>
    <n v="20661"/>
    <n v="351237"/>
    <n v="351237"/>
  </r>
  <r>
    <n v="12102"/>
    <x v="328"/>
    <x v="5"/>
    <s v="East"/>
    <s v="Amit"/>
    <n v="19"/>
    <n v="11050"/>
    <n v="209950"/>
    <n v="209950"/>
  </r>
  <r>
    <n v="12103"/>
    <x v="356"/>
    <x v="4"/>
    <s v="South"/>
    <s v="Suman"/>
    <n v="15"/>
    <n v="12182"/>
    <n v="182730"/>
    <n v="182730"/>
  </r>
  <r>
    <n v="12104"/>
    <x v="57"/>
    <x v="1"/>
    <s v="South"/>
    <s v="Rahul"/>
    <n v="9"/>
    <n v="30538"/>
    <n v="274842"/>
    <n v="274842"/>
  </r>
  <r>
    <n v="12105"/>
    <x v="179"/>
    <x v="3"/>
    <s v="East"/>
    <s v="Rahul"/>
    <n v="10"/>
    <n v="15479"/>
    <n v="154790"/>
    <n v="154790"/>
  </r>
  <r>
    <n v="12106"/>
    <x v="43"/>
    <x v="5"/>
    <s v="South"/>
    <s v="Rahul"/>
    <n v="7"/>
    <n v="32596"/>
    <n v="228172"/>
    <n v="228172"/>
  </r>
  <r>
    <n v="12107"/>
    <x v="360"/>
    <x v="0"/>
    <s v="South"/>
    <s v="Priya"/>
    <n v="1"/>
    <n v="44650"/>
    <n v="44650"/>
    <n v="44650"/>
  </r>
  <r>
    <n v="12108"/>
    <x v="261"/>
    <x v="6"/>
    <s v="East"/>
    <s v="Anita"/>
    <n v="9"/>
    <n v="24840"/>
    <n v="223560"/>
    <n v="223560"/>
  </r>
  <r>
    <n v="12109"/>
    <x v="343"/>
    <x v="0"/>
    <s v="West"/>
    <s v="Amit"/>
    <n v="4"/>
    <n v="47062"/>
    <n v="188248"/>
    <n v="188248"/>
  </r>
  <r>
    <n v="12110"/>
    <x v="329"/>
    <x v="1"/>
    <s v="East"/>
    <s v="Anita"/>
    <n v="4"/>
    <n v="58521"/>
    <n v="234084"/>
    <n v="234084"/>
  </r>
  <r>
    <n v="12111"/>
    <x v="13"/>
    <x v="1"/>
    <s v="East"/>
    <s v="Rahul"/>
    <n v="1"/>
    <n v="40338"/>
    <n v="40338"/>
    <n v="40338"/>
  </r>
  <r>
    <n v="12112"/>
    <x v="292"/>
    <x v="4"/>
    <s v="South"/>
    <s v="Anita"/>
    <n v="11"/>
    <n v="51222"/>
    <n v="563442"/>
    <n v="563442"/>
  </r>
  <r>
    <n v="12113"/>
    <x v="69"/>
    <x v="4"/>
    <s v="South"/>
    <s v="Priya"/>
    <n v="13"/>
    <n v="31428"/>
    <n v="408564"/>
    <n v="408564"/>
  </r>
  <r>
    <n v="12114"/>
    <x v="162"/>
    <x v="1"/>
    <s v="West"/>
    <s v="Suman"/>
    <n v="1"/>
    <n v="41877"/>
    <n v="41877"/>
    <n v="41877"/>
  </r>
  <r>
    <n v="12115"/>
    <x v="302"/>
    <x v="6"/>
    <s v="North"/>
    <s v="Suman"/>
    <n v="10"/>
    <n v="43897"/>
    <n v="438970"/>
    <n v="438970"/>
  </r>
  <r>
    <n v="12116"/>
    <x v="167"/>
    <x v="0"/>
    <s v="North"/>
    <s v="Amit"/>
    <n v="6"/>
    <n v="52841"/>
    <n v="317046"/>
    <n v="317046"/>
  </r>
  <r>
    <n v="12117"/>
    <x v="10"/>
    <x v="2"/>
    <s v="South"/>
    <s v="Suman"/>
    <n v="13"/>
    <n v="18009"/>
    <n v="234117"/>
    <n v="234117"/>
  </r>
  <r>
    <n v="12118"/>
    <x v="15"/>
    <x v="3"/>
    <s v="East"/>
    <s v="Suman"/>
    <n v="1"/>
    <n v="54549"/>
    <n v="54549"/>
    <n v="54549"/>
  </r>
  <r>
    <n v="12119"/>
    <x v="282"/>
    <x v="1"/>
    <s v="East"/>
    <s v="Priya"/>
    <n v="14"/>
    <n v="9473"/>
    <n v="132622"/>
    <n v="132622"/>
  </r>
  <r>
    <n v="12120"/>
    <x v="220"/>
    <x v="0"/>
    <s v="West"/>
    <s v="Suman"/>
    <n v="17"/>
    <n v="21037"/>
    <n v="357629"/>
    <n v="357629"/>
  </r>
  <r>
    <n v="12121"/>
    <x v="116"/>
    <x v="3"/>
    <s v="East"/>
    <s v="Suman"/>
    <n v="8"/>
    <n v="2825"/>
    <n v="22600"/>
    <n v="22600"/>
  </r>
  <r>
    <n v="12122"/>
    <x v="282"/>
    <x v="4"/>
    <s v="East"/>
    <s v="Rahul"/>
    <n v="1"/>
    <n v="15373"/>
    <n v="15373"/>
    <n v="15373"/>
  </r>
  <r>
    <n v="12123"/>
    <x v="319"/>
    <x v="6"/>
    <s v="West"/>
    <s v="Rahul"/>
    <n v="11"/>
    <n v="45070"/>
    <n v="495770"/>
    <n v="495770"/>
  </r>
  <r>
    <n v="12124"/>
    <x v="199"/>
    <x v="6"/>
    <s v="North"/>
    <s v="Suman"/>
    <n v="20"/>
    <n v="58826"/>
    <n v="1176520"/>
    <n v="1176520"/>
  </r>
  <r>
    <n v="12125"/>
    <x v="137"/>
    <x v="5"/>
    <s v="North"/>
    <s v="Amit"/>
    <n v="16"/>
    <n v="10198"/>
    <n v="163168"/>
    <n v="163168"/>
  </r>
  <r>
    <n v="12126"/>
    <x v="359"/>
    <x v="4"/>
    <s v="South"/>
    <s v="Anita"/>
    <n v="19"/>
    <n v="39803"/>
    <n v="756257"/>
    <n v="756257"/>
  </r>
  <r>
    <n v="12127"/>
    <x v="29"/>
    <x v="0"/>
    <s v="West"/>
    <s v="Suman"/>
    <n v="1"/>
    <n v="44450"/>
    <n v="44450"/>
    <n v="44450"/>
  </r>
  <r>
    <n v="12128"/>
    <x v="114"/>
    <x v="0"/>
    <s v="West"/>
    <s v="Priya"/>
    <n v="8"/>
    <n v="39618"/>
    <n v="316944"/>
    <n v="316944"/>
  </r>
  <r>
    <n v="12129"/>
    <x v="4"/>
    <x v="5"/>
    <s v="South"/>
    <s v="Rahul"/>
    <n v="19"/>
    <n v="51573"/>
    <n v="979887"/>
    <n v="979887"/>
  </r>
  <r>
    <n v="12130"/>
    <x v="57"/>
    <x v="5"/>
    <s v="West"/>
    <s v="Priya"/>
    <n v="2"/>
    <n v="56764"/>
    <n v="113528"/>
    <n v="113528"/>
  </r>
  <r>
    <n v="12131"/>
    <x v="120"/>
    <x v="3"/>
    <s v="East"/>
    <s v="Anita"/>
    <n v="20"/>
    <n v="48936"/>
    <n v="978720"/>
    <n v="978720"/>
  </r>
  <r>
    <n v="12132"/>
    <x v="321"/>
    <x v="2"/>
    <s v="West"/>
    <s v="Rahul"/>
    <n v="9"/>
    <n v="52528"/>
    <n v="472752"/>
    <n v="472752"/>
  </r>
  <r>
    <n v="12133"/>
    <x v="9"/>
    <x v="3"/>
    <s v="East"/>
    <s v="Anita"/>
    <n v="13"/>
    <n v="1504"/>
    <n v="19552"/>
    <n v="19552"/>
  </r>
  <r>
    <n v="12134"/>
    <x v="198"/>
    <x v="0"/>
    <s v="West"/>
    <s v="Priya"/>
    <n v="6"/>
    <n v="39360"/>
    <n v="236160"/>
    <n v="236160"/>
  </r>
  <r>
    <n v="12135"/>
    <x v="27"/>
    <x v="2"/>
    <s v="West"/>
    <s v="Suman"/>
    <n v="5"/>
    <n v="52520"/>
    <n v="262600"/>
    <n v="262600"/>
  </r>
  <r>
    <n v="12136"/>
    <x v="269"/>
    <x v="5"/>
    <s v="South"/>
    <s v="Priya"/>
    <n v="3"/>
    <n v="16722"/>
    <n v="50166"/>
    <n v="50166"/>
  </r>
  <r>
    <n v="12137"/>
    <x v="314"/>
    <x v="4"/>
    <s v="East"/>
    <s v="Suman"/>
    <n v="13"/>
    <n v="5975"/>
    <n v="77675"/>
    <n v="77675"/>
  </r>
  <r>
    <n v="12138"/>
    <x v="204"/>
    <x v="0"/>
    <s v="East"/>
    <s v="Rani"/>
    <n v="2"/>
    <n v="39120"/>
    <n v="78240"/>
    <n v="78240"/>
  </r>
  <r>
    <n v="12139"/>
    <x v="37"/>
    <x v="5"/>
    <s v="South"/>
    <s v="Suman"/>
    <n v="8"/>
    <n v="49561"/>
    <n v="396488"/>
    <n v="396488"/>
  </r>
  <r>
    <n v="12140"/>
    <x v="72"/>
    <x v="0"/>
    <s v="West"/>
    <s v="Rahul"/>
    <n v="5"/>
    <n v="43025"/>
    <n v="215125"/>
    <n v="215125"/>
  </r>
  <r>
    <n v="12141"/>
    <x v="228"/>
    <x v="1"/>
    <s v="West"/>
    <s v="Amit"/>
    <n v="11"/>
    <n v="18381"/>
    <n v="202191"/>
    <n v="202191"/>
  </r>
  <r>
    <n v="12142"/>
    <x v="79"/>
    <x v="1"/>
    <s v="South"/>
    <s v="Suman"/>
    <n v="7"/>
    <n v="57208"/>
    <n v="400456"/>
    <n v="400456"/>
  </r>
  <r>
    <n v="12143"/>
    <x v="35"/>
    <x v="4"/>
    <s v="East"/>
    <s v="Amit"/>
    <n v="12"/>
    <n v="35817"/>
    <n v="429804"/>
    <n v="429804"/>
  </r>
  <r>
    <n v="12144"/>
    <x v="216"/>
    <x v="3"/>
    <s v="West"/>
    <s v="Anita"/>
    <n v="18"/>
    <n v="48911"/>
    <n v="880398"/>
    <n v="880398"/>
  </r>
  <r>
    <n v="12145"/>
    <x v="298"/>
    <x v="0"/>
    <s v="South"/>
    <s v="Amit"/>
    <n v="3"/>
    <n v="21435"/>
    <n v="64305"/>
    <n v="64305"/>
  </r>
  <r>
    <n v="12146"/>
    <x v="286"/>
    <x v="5"/>
    <s v="West"/>
    <s v="Priya"/>
    <n v="20"/>
    <n v="45055"/>
    <n v="901100"/>
    <n v="901100"/>
  </r>
  <r>
    <n v="12147"/>
    <x v="103"/>
    <x v="3"/>
    <s v="West"/>
    <s v="Anita"/>
    <n v="10"/>
    <n v="47775"/>
    <n v="477750"/>
    <n v="477750"/>
  </r>
  <r>
    <n v="12148"/>
    <x v="296"/>
    <x v="2"/>
    <s v="West"/>
    <s v="Suman"/>
    <n v="9"/>
    <n v="58609"/>
    <n v="527481"/>
    <n v="527481"/>
  </r>
  <r>
    <n v="12149"/>
    <x v="307"/>
    <x v="3"/>
    <s v="North"/>
    <s v="Priya"/>
    <n v="13"/>
    <n v="52768"/>
    <n v="685984"/>
    <n v="685984"/>
  </r>
  <r>
    <n v="12150"/>
    <x v="265"/>
    <x v="4"/>
    <s v="South"/>
    <s v="Rahul"/>
    <n v="6"/>
    <n v="3090"/>
    <n v="18540"/>
    <n v="18540"/>
  </r>
  <r>
    <n v="12151"/>
    <x v="73"/>
    <x v="0"/>
    <s v="East"/>
    <s v="Suman"/>
    <n v="20"/>
    <n v="10314"/>
    <n v="206280"/>
    <n v="206280"/>
  </r>
  <r>
    <n v="12152"/>
    <x v="158"/>
    <x v="3"/>
    <s v="West"/>
    <s v="Suman"/>
    <n v="13"/>
    <n v="32800"/>
    <n v="426400"/>
    <n v="426400"/>
  </r>
  <r>
    <n v="12153"/>
    <x v="246"/>
    <x v="4"/>
    <s v="East"/>
    <s v="Rani"/>
    <n v="13"/>
    <n v="33700"/>
    <n v="438100"/>
    <n v="438100"/>
  </r>
  <r>
    <n v="12154"/>
    <x v="216"/>
    <x v="4"/>
    <s v="South"/>
    <s v="Amit"/>
    <n v="4"/>
    <n v="32067"/>
    <n v="128268"/>
    <n v="128268"/>
  </r>
  <r>
    <n v="12155"/>
    <x v="25"/>
    <x v="4"/>
    <s v="South"/>
    <s v="Suman"/>
    <n v="6"/>
    <n v="5992"/>
    <n v="35952"/>
    <n v="35952"/>
  </r>
  <r>
    <n v="12156"/>
    <x v="91"/>
    <x v="3"/>
    <s v="North"/>
    <s v="Suman"/>
    <n v="12"/>
    <n v="35752"/>
    <n v="429024"/>
    <n v="429024"/>
  </r>
  <r>
    <n v="12157"/>
    <x v="24"/>
    <x v="0"/>
    <s v="East"/>
    <s v="Anita"/>
    <n v="4"/>
    <n v="32254"/>
    <n v="129016"/>
    <n v="129016"/>
  </r>
  <r>
    <n v="12158"/>
    <x v="63"/>
    <x v="2"/>
    <s v="South"/>
    <s v="Anita"/>
    <n v="1"/>
    <n v="48664"/>
    <n v="48664"/>
    <n v="48664"/>
  </r>
  <r>
    <n v="12159"/>
    <x v="52"/>
    <x v="5"/>
    <s v="South"/>
    <s v="Amit"/>
    <n v="3"/>
    <n v="32298"/>
    <n v="96894"/>
    <n v="96894"/>
  </r>
  <r>
    <n v="12160"/>
    <x v="98"/>
    <x v="6"/>
    <s v="West"/>
    <s v="Amit"/>
    <n v="13"/>
    <n v="7138"/>
    <n v="92794"/>
    <n v="92794"/>
  </r>
  <r>
    <n v="12161"/>
    <x v="347"/>
    <x v="1"/>
    <s v="South"/>
    <s v="Amit"/>
    <n v="4"/>
    <n v="26803"/>
    <n v="107212"/>
    <n v="107212"/>
  </r>
  <r>
    <n v="12162"/>
    <x v="49"/>
    <x v="6"/>
    <s v="North"/>
    <s v="Rahul"/>
    <n v="3"/>
    <n v="51781"/>
    <n v="155343"/>
    <n v="155343"/>
  </r>
  <r>
    <n v="12163"/>
    <x v="119"/>
    <x v="2"/>
    <s v="West"/>
    <s v="Amit"/>
    <n v="10"/>
    <n v="25793"/>
    <n v="257930"/>
    <n v="257930"/>
  </r>
  <r>
    <n v="12164"/>
    <x v="224"/>
    <x v="6"/>
    <s v="East"/>
    <s v="Priya"/>
    <n v="18"/>
    <n v="33828"/>
    <n v="608904"/>
    <n v="608904"/>
  </r>
  <r>
    <n v="12165"/>
    <x v="323"/>
    <x v="1"/>
    <s v="East"/>
    <s v="Amit"/>
    <n v="13"/>
    <n v="53908"/>
    <n v="700804"/>
    <n v="700804"/>
  </r>
  <r>
    <n v="12166"/>
    <x v="187"/>
    <x v="3"/>
    <s v="East"/>
    <s v="Suman"/>
    <n v="2"/>
    <n v="28110"/>
    <n v="56220"/>
    <n v="56220"/>
  </r>
  <r>
    <n v="12167"/>
    <x v="33"/>
    <x v="2"/>
    <s v="South"/>
    <s v="Suman"/>
    <n v="20"/>
    <n v="5987"/>
    <n v="119740"/>
    <n v="119740"/>
  </r>
  <r>
    <n v="12168"/>
    <x v="122"/>
    <x v="5"/>
    <s v="East"/>
    <s v="Anita"/>
    <n v="16"/>
    <n v="7474"/>
    <n v="119584"/>
    <n v="119584"/>
  </r>
  <r>
    <n v="12169"/>
    <x v="201"/>
    <x v="4"/>
    <s v="South"/>
    <s v="Anita"/>
    <n v="10"/>
    <n v="24250"/>
    <n v="242500"/>
    <n v="242500"/>
  </r>
  <r>
    <n v="12170"/>
    <x v="259"/>
    <x v="4"/>
    <s v="West"/>
    <s v="Suman"/>
    <n v="13"/>
    <n v="20047"/>
    <n v="260611"/>
    <n v="260611"/>
  </r>
  <r>
    <n v="12171"/>
    <x v="93"/>
    <x v="2"/>
    <s v="East"/>
    <s v="Amit"/>
    <n v="9"/>
    <n v="8375"/>
    <n v="75375"/>
    <n v="75375"/>
  </r>
  <r>
    <n v="12172"/>
    <x v="52"/>
    <x v="3"/>
    <s v="West"/>
    <s v="Anita"/>
    <n v="7"/>
    <n v="24271"/>
    <n v="169897"/>
    <n v="169897"/>
  </r>
  <r>
    <n v="12173"/>
    <x v="62"/>
    <x v="1"/>
    <s v="East"/>
    <s v="Rahul"/>
    <n v="20"/>
    <n v="22817"/>
    <n v="456340"/>
    <n v="456340"/>
  </r>
  <r>
    <n v="12174"/>
    <x v="209"/>
    <x v="5"/>
    <s v="South"/>
    <s v="Suman"/>
    <n v="15"/>
    <n v="17627"/>
    <n v="264405"/>
    <n v="264405"/>
  </r>
  <r>
    <n v="12175"/>
    <x v="147"/>
    <x v="5"/>
    <s v="South"/>
    <s v="Suman"/>
    <n v="9"/>
    <n v="7709"/>
    <n v="69381"/>
    <n v="69381"/>
  </r>
  <r>
    <n v="12176"/>
    <x v="49"/>
    <x v="6"/>
    <s v="East"/>
    <s v="Anita"/>
    <n v="20"/>
    <n v="13231"/>
    <n v="264620"/>
    <n v="264620"/>
  </r>
  <r>
    <n v="12177"/>
    <x v="52"/>
    <x v="3"/>
    <s v="East"/>
    <s v="Priya"/>
    <n v="13"/>
    <n v="25235"/>
    <n v="328055"/>
    <n v="328055"/>
  </r>
  <r>
    <n v="12178"/>
    <x v="112"/>
    <x v="2"/>
    <s v="West"/>
    <s v="Amit"/>
    <n v="20"/>
    <n v="45082"/>
    <n v="901640"/>
    <n v="901640"/>
  </r>
  <r>
    <n v="12179"/>
    <x v="282"/>
    <x v="5"/>
    <s v="West"/>
    <s v="Rahul"/>
    <n v="19"/>
    <n v="14736"/>
    <n v="279984"/>
    <n v="279984"/>
  </r>
  <r>
    <n v="12180"/>
    <x v="265"/>
    <x v="4"/>
    <s v="East"/>
    <s v="Anita"/>
    <n v="20"/>
    <n v="23657"/>
    <n v="473140"/>
    <n v="473140"/>
  </r>
  <r>
    <n v="12181"/>
    <x v="313"/>
    <x v="0"/>
    <s v="West"/>
    <s v="Priya"/>
    <n v="20"/>
    <n v="37798"/>
    <n v="755960"/>
    <n v="755960"/>
  </r>
  <r>
    <n v="12182"/>
    <x v="268"/>
    <x v="0"/>
    <s v="East"/>
    <s v="Rani"/>
    <n v="17"/>
    <n v="58088"/>
    <n v="987496"/>
    <n v="987496"/>
  </r>
  <r>
    <n v="12183"/>
    <x v="184"/>
    <x v="5"/>
    <s v="West"/>
    <s v="Anita"/>
    <n v="19"/>
    <n v="43609"/>
    <n v="828571"/>
    <n v="828571"/>
  </r>
  <r>
    <n v="12184"/>
    <x v="119"/>
    <x v="4"/>
    <s v="West"/>
    <s v="Rahul"/>
    <n v="1"/>
    <n v="42867"/>
    <n v="42867"/>
    <n v="42867"/>
  </r>
  <r>
    <n v="12185"/>
    <x v="305"/>
    <x v="0"/>
    <s v="East"/>
    <s v="Rahul"/>
    <n v="12"/>
    <n v="18582"/>
    <n v="222984"/>
    <n v="222984"/>
  </r>
  <r>
    <n v="12186"/>
    <x v="357"/>
    <x v="5"/>
    <s v="West"/>
    <s v="Rahul"/>
    <n v="18"/>
    <n v="29273"/>
    <n v="526914"/>
    <n v="526914"/>
  </r>
  <r>
    <n v="12187"/>
    <x v="115"/>
    <x v="2"/>
    <s v="West"/>
    <s v="Anita"/>
    <n v="2"/>
    <n v="2978"/>
    <n v="5956"/>
    <n v="5956"/>
  </r>
  <r>
    <n v="12188"/>
    <x v="120"/>
    <x v="6"/>
    <s v="East"/>
    <s v="Amit"/>
    <n v="6"/>
    <n v="5108"/>
    <n v="30648"/>
    <n v="30648"/>
  </r>
  <r>
    <n v="12189"/>
    <x v="109"/>
    <x v="4"/>
    <s v="West"/>
    <s v="Rahul"/>
    <n v="17"/>
    <n v="29602"/>
    <n v="503234"/>
    <n v="503234"/>
  </r>
  <r>
    <n v="12190"/>
    <x v="238"/>
    <x v="6"/>
    <s v="North"/>
    <s v="Rani"/>
    <n v="14"/>
    <n v="37619"/>
    <n v="526666"/>
    <n v="526666"/>
  </r>
  <r>
    <n v="12191"/>
    <x v="175"/>
    <x v="5"/>
    <s v="West"/>
    <s v="Rani"/>
    <n v="13"/>
    <n v="59439"/>
    <n v="772707"/>
    <n v="772707"/>
  </r>
  <r>
    <n v="12192"/>
    <x v="220"/>
    <x v="5"/>
    <s v="West"/>
    <s v="Amit"/>
    <n v="9"/>
    <n v="46756"/>
    <n v="420804"/>
    <n v="420804"/>
  </r>
  <r>
    <n v="12193"/>
    <x v="290"/>
    <x v="6"/>
    <s v="West"/>
    <s v="Suman"/>
    <n v="18"/>
    <n v="34855"/>
    <n v="627390"/>
    <n v="627390"/>
  </r>
  <r>
    <n v="12194"/>
    <x v="209"/>
    <x v="4"/>
    <s v="East"/>
    <s v="Amit"/>
    <n v="14"/>
    <n v="51550"/>
    <n v="721700"/>
    <n v="721700"/>
  </r>
  <r>
    <n v="12195"/>
    <x v="361"/>
    <x v="2"/>
    <s v="South"/>
    <s v="Priya"/>
    <n v="1"/>
    <n v="35901"/>
    <n v="35901"/>
    <n v="35901"/>
  </r>
  <r>
    <n v="12196"/>
    <x v="149"/>
    <x v="2"/>
    <s v="South"/>
    <s v="Suman"/>
    <n v="11"/>
    <n v="39025"/>
    <n v="429275"/>
    <n v="429275"/>
  </r>
  <r>
    <n v="12197"/>
    <x v="356"/>
    <x v="0"/>
    <s v="South"/>
    <s v="Rani"/>
    <n v="7"/>
    <n v="42662"/>
    <n v="298634"/>
    <n v="298634"/>
  </r>
  <r>
    <n v="12198"/>
    <x v="365"/>
    <x v="5"/>
    <s v="West"/>
    <s v="Suman"/>
    <n v="3"/>
    <n v="55264"/>
    <n v="165792"/>
    <n v="165792"/>
  </r>
  <r>
    <n v="12199"/>
    <x v="29"/>
    <x v="5"/>
    <s v="North"/>
    <s v="Rani"/>
    <n v="17"/>
    <n v="44904"/>
    <n v="763368"/>
    <n v="763368"/>
  </r>
  <r>
    <n v="12200"/>
    <x v="199"/>
    <x v="0"/>
    <s v="South"/>
    <s v="Amit"/>
    <n v="9"/>
    <n v="34828"/>
    <n v="313452"/>
    <n v="313452"/>
  </r>
  <r>
    <n v="12201"/>
    <x v="124"/>
    <x v="4"/>
    <s v="North"/>
    <s v="Anita"/>
    <n v="12"/>
    <n v="18919"/>
    <n v="227028"/>
    <n v="227028"/>
  </r>
  <r>
    <n v="12202"/>
    <x v="88"/>
    <x v="5"/>
    <s v="East"/>
    <s v="Priya"/>
    <n v="16"/>
    <n v="3383"/>
    <n v="54128"/>
    <n v="54128"/>
  </r>
  <r>
    <n v="12203"/>
    <x v="167"/>
    <x v="3"/>
    <s v="South"/>
    <s v="Rahul"/>
    <n v="12"/>
    <n v="51783"/>
    <n v="621396"/>
    <n v="621396"/>
  </r>
  <r>
    <n v="12204"/>
    <x v="346"/>
    <x v="3"/>
    <s v="East"/>
    <s v="Rani"/>
    <n v="9"/>
    <n v="40396"/>
    <n v="363564"/>
    <n v="363564"/>
  </r>
  <r>
    <n v="12205"/>
    <x v="342"/>
    <x v="1"/>
    <s v="East"/>
    <s v="Amit"/>
    <n v="18"/>
    <n v="21068"/>
    <n v="379224"/>
    <n v="379224"/>
  </r>
  <r>
    <n v="12206"/>
    <x v="174"/>
    <x v="2"/>
    <s v="South"/>
    <s v="Priya"/>
    <n v="13"/>
    <n v="34662"/>
    <n v="450606"/>
    <n v="450606"/>
  </r>
  <r>
    <n v="12207"/>
    <x v="162"/>
    <x v="5"/>
    <s v="West"/>
    <s v="Rahul"/>
    <n v="17"/>
    <n v="7806"/>
    <n v="132702"/>
    <n v="132702"/>
  </r>
  <r>
    <n v="12208"/>
    <x v="218"/>
    <x v="1"/>
    <s v="West"/>
    <s v="Rani"/>
    <n v="16"/>
    <n v="42634"/>
    <n v="682144"/>
    <n v="682144"/>
  </r>
  <r>
    <n v="12209"/>
    <x v="65"/>
    <x v="3"/>
    <s v="South"/>
    <s v="Rahul"/>
    <n v="1"/>
    <n v="24368"/>
    <n v="24368"/>
    <n v="24368"/>
  </r>
  <r>
    <n v="12210"/>
    <x v="25"/>
    <x v="1"/>
    <s v="South"/>
    <s v="Rahul"/>
    <n v="1"/>
    <n v="31467"/>
    <n v="31467"/>
    <n v="31467"/>
  </r>
  <r>
    <n v="12211"/>
    <x v="34"/>
    <x v="4"/>
    <s v="South"/>
    <s v="Rahul"/>
    <n v="1"/>
    <n v="34559"/>
    <n v="34559"/>
    <n v="34559"/>
  </r>
  <r>
    <n v="12212"/>
    <x v="286"/>
    <x v="2"/>
    <s v="South"/>
    <s v="Rani"/>
    <n v="5"/>
    <n v="49737"/>
    <n v="248685"/>
    <n v="248685"/>
  </r>
  <r>
    <n v="12213"/>
    <x v="257"/>
    <x v="0"/>
    <s v="South"/>
    <s v="Priya"/>
    <n v="3"/>
    <n v="42694"/>
    <n v="128082"/>
    <n v="128082"/>
  </r>
  <r>
    <n v="12214"/>
    <x v="161"/>
    <x v="3"/>
    <s v="South"/>
    <s v="Priya"/>
    <n v="2"/>
    <n v="24918"/>
    <n v="49836"/>
    <n v="49836"/>
  </r>
  <r>
    <n v="12215"/>
    <x v="78"/>
    <x v="2"/>
    <s v="West"/>
    <s v="Priya"/>
    <n v="7"/>
    <n v="18234"/>
    <n v="127638"/>
    <n v="127638"/>
  </r>
  <r>
    <n v="12216"/>
    <x v="344"/>
    <x v="5"/>
    <s v="East"/>
    <s v="Rahul"/>
    <n v="18"/>
    <n v="10975"/>
    <n v="197550"/>
    <n v="197550"/>
  </r>
  <r>
    <n v="12217"/>
    <x v="147"/>
    <x v="6"/>
    <s v="West"/>
    <s v="Amit"/>
    <n v="5"/>
    <n v="32118"/>
    <n v="160590"/>
    <n v="160590"/>
  </r>
  <r>
    <n v="12218"/>
    <x v="275"/>
    <x v="0"/>
    <s v="South"/>
    <s v="Priya"/>
    <n v="14"/>
    <n v="40745"/>
    <n v="570430"/>
    <n v="570430"/>
  </r>
  <r>
    <n v="12219"/>
    <x v="172"/>
    <x v="0"/>
    <s v="North"/>
    <s v="Priya"/>
    <n v="12"/>
    <n v="17591"/>
    <n v="211092"/>
    <n v="211092"/>
  </r>
  <r>
    <n v="12220"/>
    <x v="110"/>
    <x v="6"/>
    <s v="North"/>
    <s v="Suman"/>
    <n v="1"/>
    <n v="47035"/>
    <n v="47035"/>
    <n v="47035"/>
  </r>
  <r>
    <n v="12221"/>
    <x v="191"/>
    <x v="6"/>
    <s v="North"/>
    <s v="Amit"/>
    <n v="18"/>
    <n v="49056"/>
    <n v="883008"/>
    <n v="883008"/>
  </r>
  <r>
    <n v="12222"/>
    <x v="147"/>
    <x v="5"/>
    <s v="North"/>
    <s v="Rani"/>
    <n v="19"/>
    <n v="18070"/>
    <n v="343330"/>
    <n v="343330"/>
  </r>
  <r>
    <n v="12223"/>
    <x v="138"/>
    <x v="1"/>
    <s v="South"/>
    <s v="Anita"/>
    <n v="16"/>
    <n v="51176"/>
    <n v="818816"/>
    <n v="818816"/>
  </r>
  <r>
    <n v="12224"/>
    <x v="204"/>
    <x v="5"/>
    <s v="South"/>
    <s v="Priya"/>
    <n v="7"/>
    <n v="58779"/>
    <n v="411453"/>
    <n v="411453"/>
  </r>
  <r>
    <n v="12225"/>
    <x v="180"/>
    <x v="4"/>
    <s v="North"/>
    <s v="Suman"/>
    <n v="10"/>
    <n v="18723"/>
    <n v="187230"/>
    <n v="187230"/>
  </r>
  <r>
    <n v="12226"/>
    <x v="22"/>
    <x v="2"/>
    <s v="East"/>
    <s v="Rahul"/>
    <n v="9"/>
    <n v="8698"/>
    <n v="78282"/>
    <n v="78282"/>
  </r>
  <r>
    <n v="12227"/>
    <x v="284"/>
    <x v="6"/>
    <s v="West"/>
    <s v="Priya"/>
    <n v="11"/>
    <n v="20804"/>
    <n v="228844"/>
    <n v="228844"/>
  </r>
  <r>
    <n v="12228"/>
    <x v="57"/>
    <x v="0"/>
    <s v="East"/>
    <s v="Rani"/>
    <n v="19"/>
    <n v="45165"/>
    <n v="858135"/>
    <n v="858135"/>
  </r>
  <r>
    <n v="12229"/>
    <x v="221"/>
    <x v="2"/>
    <s v="South"/>
    <s v="Suman"/>
    <n v="10"/>
    <n v="950"/>
    <n v="9500"/>
    <n v="9500"/>
  </r>
  <r>
    <n v="12230"/>
    <x v="117"/>
    <x v="5"/>
    <s v="West"/>
    <s v="Rahul"/>
    <n v="1"/>
    <n v="16780"/>
    <n v="16780"/>
    <n v="16780"/>
  </r>
  <r>
    <n v="12231"/>
    <x v="76"/>
    <x v="6"/>
    <s v="North"/>
    <s v="Suman"/>
    <n v="7"/>
    <n v="27360"/>
    <n v="191520"/>
    <n v="191520"/>
  </r>
  <r>
    <n v="12232"/>
    <x v="289"/>
    <x v="0"/>
    <s v="East"/>
    <s v="Rani"/>
    <n v="19"/>
    <n v="21336"/>
    <n v="405384"/>
    <n v="405384"/>
  </r>
  <r>
    <n v="12233"/>
    <x v="300"/>
    <x v="0"/>
    <s v="North"/>
    <s v="Amit"/>
    <n v="19"/>
    <n v="51861"/>
    <n v="985359"/>
    <n v="985359"/>
  </r>
  <r>
    <n v="12234"/>
    <x v="16"/>
    <x v="4"/>
    <s v="East"/>
    <s v="Priya"/>
    <n v="15"/>
    <n v="20646"/>
    <n v="309690"/>
    <n v="309690"/>
  </r>
  <r>
    <n v="12235"/>
    <x v="215"/>
    <x v="1"/>
    <s v="East"/>
    <s v="Suman"/>
    <n v="12"/>
    <n v="48032"/>
    <n v="576384"/>
    <n v="576384"/>
  </r>
  <r>
    <n v="12236"/>
    <x v="255"/>
    <x v="4"/>
    <s v="North"/>
    <s v="Amit"/>
    <n v="15"/>
    <n v="52954"/>
    <n v="794310"/>
    <n v="794310"/>
  </r>
  <r>
    <n v="12237"/>
    <x v="118"/>
    <x v="0"/>
    <s v="South"/>
    <s v="Suman"/>
    <n v="2"/>
    <n v="21402"/>
    <n v="42804"/>
    <n v="42804"/>
  </r>
  <r>
    <n v="12238"/>
    <x v="248"/>
    <x v="4"/>
    <s v="East"/>
    <s v="Amit"/>
    <n v="11"/>
    <n v="24968"/>
    <n v="274648"/>
    <n v="274648"/>
  </r>
  <r>
    <n v="12239"/>
    <x v="336"/>
    <x v="2"/>
    <s v="East"/>
    <s v="Rani"/>
    <n v="11"/>
    <n v="10559"/>
    <n v="116149"/>
    <n v="116149"/>
  </r>
  <r>
    <n v="12240"/>
    <x v="354"/>
    <x v="6"/>
    <s v="South"/>
    <s v="Anita"/>
    <n v="18"/>
    <n v="846"/>
    <n v="15228"/>
    <n v="15228"/>
  </r>
  <r>
    <n v="12241"/>
    <x v="142"/>
    <x v="0"/>
    <s v="East"/>
    <s v="Suman"/>
    <n v="15"/>
    <n v="47080"/>
    <n v="706200"/>
    <n v="706200"/>
  </r>
  <r>
    <n v="12242"/>
    <x v="323"/>
    <x v="0"/>
    <s v="North"/>
    <s v="Rahul"/>
    <n v="12"/>
    <n v="22589"/>
    <n v="271068"/>
    <n v="271068"/>
  </r>
  <r>
    <n v="12243"/>
    <x v="50"/>
    <x v="6"/>
    <s v="East"/>
    <s v="Rani"/>
    <n v="16"/>
    <n v="33238"/>
    <n v="531808"/>
    <n v="531808"/>
  </r>
  <r>
    <n v="12244"/>
    <x v="329"/>
    <x v="0"/>
    <s v="South"/>
    <s v="Amit"/>
    <n v="4"/>
    <n v="40884"/>
    <n v="163536"/>
    <n v="163536"/>
  </r>
  <r>
    <n v="12245"/>
    <x v="0"/>
    <x v="4"/>
    <s v="East"/>
    <s v="Anita"/>
    <n v="15"/>
    <n v="10280"/>
    <n v="154200"/>
    <n v="154200"/>
  </r>
  <r>
    <n v="12246"/>
    <x v="18"/>
    <x v="1"/>
    <s v="East"/>
    <s v="Anita"/>
    <n v="16"/>
    <n v="51955"/>
    <n v="831280"/>
    <n v="831280"/>
  </r>
  <r>
    <n v="12247"/>
    <x v="321"/>
    <x v="5"/>
    <s v="West"/>
    <s v="Suman"/>
    <n v="11"/>
    <n v="24231"/>
    <n v="266541"/>
    <n v="266541"/>
  </r>
  <r>
    <n v="12248"/>
    <x v="16"/>
    <x v="4"/>
    <s v="West"/>
    <s v="Rahul"/>
    <n v="17"/>
    <n v="30944"/>
    <n v="526048"/>
    <n v="526048"/>
  </r>
  <r>
    <n v="12249"/>
    <x v="205"/>
    <x v="4"/>
    <s v="South"/>
    <s v="Amit"/>
    <n v="19"/>
    <n v="42780"/>
    <n v="812820"/>
    <n v="812820"/>
  </r>
  <r>
    <n v="12250"/>
    <x v="161"/>
    <x v="3"/>
    <s v="West"/>
    <s v="Rani"/>
    <n v="2"/>
    <n v="41591"/>
    <n v="83182"/>
    <n v="83182"/>
  </r>
  <r>
    <n v="12251"/>
    <x v="26"/>
    <x v="0"/>
    <s v="East"/>
    <s v="Anita"/>
    <n v="4"/>
    <n v="13621"/>
    <n v="54484"/>
    <n v="54484"/>
  </r>
  <r>
    <n v="12252"/>
    <x v="248"/>
    <x v="0"/>
    <s v="West"/>
    <s v="Suman"/>
    <n v="2"/>
    <n v="16479"/>
    <n v="32958"/>
    <n v="32958"/>
  </r>
  <r>
    <n v="12253"/>
    <x v="274"/>
    <x v="4"/>
    <s v="West"/>
    <s v="Suman"/>
    <n v="20"/>
    <n v="24970"/>
    <n v="499400"/>
    <n v="499400"/>
  </r>
  <r>
    <n v="12254"/>
    <x v="144"/>
    <x v="5"/>
    <s v="North"/>
    <s v="Rahul"/>
    <n v="7"/>
    <n v="28743"/>
    <n v="201201"/>
    <n v="201201"/>
  </r>
  <r>
    <n v="12255"/>
    <x v="154"/>
    <x v="0"/>
    <s v="West"/>
    <s v="Rani"/>
    <n v="18"/>
    <n v="38018"/>
    <n v="684324"/>
    <n v="684324"/>
  </r>
  <r>
    <n v="12256"/>
    <x v="171"/>
    <x v="3"/>
    <s v="South"/>
    <s v="Rahul"/>
    <n v="3"/>
    <n v="12309"/>
    <n v="36927"/>
    <n v="36927"/>
  </r>
  <r>
    <n v="12257"/>
    <x v="289"/>
    <x v="4"/>
    <s v="East"/>
    <s v="Rahul"/>
    <n v="9"/>
    <n v="37339"/>
    <n v="336051"/>
    <n v="336051"/>
  </r>
  <r>
    <n v="12258"/>
    <x v="1"/>
    <x v="1"/>
    <s v="West"/>
    <s v="Anita"/>
    <n v="7"/>
    <n v="51123"/>
    <n v="357861"/>
    <n v="357861"/>
  </r>
  <r>
    <n v="12259"/>
    <x v="88"/>
    <x v="4"/>
    <s v="North"/>
    <s v="Rahul"/>
    <n v="6"/>
    <n v="37177"/>
    <n v="223062"/>
    <n v="223062"/>
  </r>
  <r>
    <n v="12260"/>
    <x v="265"/>
    <x v="2"/>
    <s v="South"/>
    <s v="Priya"/>
    <n v="13"/>
    <n v="47192"/>
    <n v="613496"/>
    <n v="613496"/>
  </r>
  <r>
    <n v="12261"/>
    <x v="316"/>
    <x v="4"/>
    <s v="South"/>
    <s v="Priya"/>
    <n v="10"/>
    <n v="41137"/>
    <n v="411370"/>
    <n v="411370"/>
  </r>
  <r>
    <n v="12262"/>
    <x v="325"/>
    <x v="6"/>
    <s v="West"/>
    <s v="Rani"/>
    <n v="4"/>
    <n v="50741"/>
    <n v="202964"/>
    <n v="202964"/>
  </r>
  <r>
    <n v="12263"/>
    <x v="277"/>
    <x v="1"/>
    <s v="West"/>
    <s v="Rani"/>
    <n v="12"/>
    <n v="10324"/>
    <n v="123888"/>
    <n v="123888"/>
  </r>
  <r>
    <n v="12264"/>
    <x v="176"/>
    <x v="4"/>
    <s v="East"/>
    <s v="Anita"/>
    <n v="5"/>
    <n v="49593"/>
    <n v="247965"/>
    <n v="247965"/>
  </r>
  <r>
    <n v="12265"/>
    <x v="147"/>
    <x v="0"/>
    <s v="West"/>
    <s v="Suman"/>
    <n v="19"/>
    <n v="42730"/>
    <n v="811870"/>
    <n v="811870"/>
  </r>
  <r>
    <n v="12266"/>
    <x v="234"/>
    <x v="4"/>
    <s v="East"/>
    <s v="Rani"/>
    <n v="6"/>
    <n v="22647"/>
    <n v="135882"/>
    <n v="135882"/>
  </r>
  <r>
    <n v="12267"/>
    <x v="248"/>
    <x v="3"/>
    <s v="South"/>
    <s v="Rani"/>
    <n v="2"/>
    <n v="11045"/>
    <n v="22090"/>
    <n v="22090"/>
  </r>
  <r>
    <n v="12268"/>
    <x v="45"/>
    <x v="4"/>
    <s v="West"/>
    <s v="Anita"/>
    <n v="9"/>
    <n v="41463"/>
    <n v="373167"/>
    <n v="373167"/>
  </r>
  <r>
    <n v="12269"/>
    <x v="195"/>
    <x v="0"/>
    <s v="North"/>
    <s v="Rahul"/>
    <n v="11"/>
    <n v="33823"/>
    <n v="372053"/>
    <n v="372053"/>
  </r>
  <r>
    <n v="12270"/>
    <x v="303"/>
    <x v="5"/>
    <s v="West"/>
    <s v="Amit"/>
    <n v="18"/>
    <n v="55956"/>
    <n v="1007208"/>
    <n v="1007208"/>
  </r>
  <r>
    <n v="12271"/>
    <x v="44"/>
    <x v="3"/>
    <s v="North"/>
    <s v="Rahul"/>
    <n v="5"/>
    <n v="10411"/>
    <n v="52055"/>
    <n v="52055"/>
  </r>
  <r>
    <n v="12272"/>
    <x v="304"/>
    <x v="3"/>
    <s v="South"/>
    <s v="Priya"/>
    <n v="16"/>
    <n v="15437"/>
    <n v="246992"/>
    <n v="246992"/>
  </r>
  <r>
    <n v="12273"/>
    <x v="65"/>
    <x v="2"/>
    <s v="South"/>
    <s v="Rahul"/>
    <n v="2"/>
    <n v="48170"/>
    <n v="96340"/>
    <n v="96340"/>
  </r>
  <r>
    <n v="12274"/>
    <x v="338"/>
    <x v="3"/>
    <s v="South"/>
    <s v="Anita"/>
    <n v="1"/>
    <n v="46880"/>
    <n v="46880"/>
    <n v="46880"/>
  </r>
  <r>
    <n v="12275"/>
    <x v="222"/>
    <x v="5"/>
    <s v="North"/>
    <s v="Anita"/>
    <n v="5"/>
    <n v="45451"/>
    <n v="227255"/>
    <n v="227255"/>
  </r>
  <r>
    <n v="12276"/>
    <x v="318"/>
    <x v="1"/>
    <s v="South"/>
    <s v="Priya"/>
    <n v="14"/>
    <n v="14910"/>
    <n v="208740"/>
    <n v="208740"/>
  </r>
  <r>
    <n v="12277"/>
    <x v="343"/>
    <x v="0"/>
    <s v="West"/>
    <s v="Suman"/>
    <n v="11"/>
    <n v="15153"/>
    <n v="166683"/>
    <n v="166683"/>
  </r>
  <r>
    <n v="12278"/>
    <x v="298"/>
    <x v="4"/>
    <s v="West"/>
    <s v="Anita"/>
    <n v="19"/>
    <n v="9395"/>
    <n v="178505"/>
    <n v="178505"/>
  </r>
  <r>
    <n v="12279"/>
    <x v="133"/>
    <x v="4"/>
    <s v="East"/>
    <s v="Priya"/>
    <n v="9"/>
    <n v="47948"/>
    <n v="431532"/>
    <n v="431532"/>
  </r>
  <r>
    <n v="12280"/>
    <x v="299"/>
    <x v="1"/>
    <s v="West"/>
    <s v="Priya"/>
    <n v="1"/>
    <n v="32751"/>
    <n v="32751"/>
    <n v="32751"/>
  </r>
  <r>
    <n v="12281"/>
    <x v="194"/>
    <x v="4"/>
    <s v="East"/>
    <s v="Suman"/>
    <n v="16"/>
    <n v="4982"/>
    <n v="79712"/>
    <n v="79712"/>
  </r>
  <r>
    <n v="12282"/>
    <x v="84"/>
    <x v="3"/>
    <s v="West"/>
    <s v="Anita"/>
    <n v="9"/>
    <n v="8417"/>
    <n v="75753"/>
    <n v="75753"/>
  </r>
  <r>
    <n v="12283"/>
    <x v="172"/>
    <x v="4"/>
    <s v="West"/>
    <s v="Rahul"/>
    <n v="7"/>
    <n v="13302"/>
    <n v="93114"/>
    <n v="93114"/>
  </r>
  <r>
    <n v="12284"/>
    <x v="355"/>
    <x v="4"/>
    <s v="North"/>
    <s v="Rahul"/>
    <n v="7"/>
    <n v="31586"/>
    <n v="221102"/>
    <n v="221102"/>
  </r>
  <r>
    <n v="12285"/>
    <x v="183"/>
    <x v="0"/>
    <s v="South"/>
    <s v="Rahul"/>
    <n v="19"/>
    <n v="27709"/>
    <n v="526471"/>
    <n v="526471"/>
  </r>
  <r>
    <n v="12286"/>
    <x v="259"/>
    <x v="4"/>
    <s v="West"/>
    <s v="Suman"/>
    <n v="4"/>
    <n v="40288"/>
    <n v="161152"/>
    <n v="161152"/>
  </r>
  <r>
    <n v="12287"/>
    <x v="105"/>
    <x v="1"/>
    <s v="North"/>
    <s v="Rani"/>
    <n v="2"/>
    <n v="43651"/>
    <n v="87302"/>
    <n v="87302"/>
  </r>
  <r>
    <n v="12288"/>
    <x v="360"/>
    <x v="2"/>
    <s v="West"/>
    <s v="Amit"/>
    <n v="10"/>
    <n v="52835"/>
    <n v="528350"/>
    <n v="528350"/>
  </r>
  <r>
    <n v="12289"/>
    <x v="210"/>
    <x v="2"/>
    <s v="South"/>
    <s v="Amit"/>
    <n v="3"/>
    <n v="34308"/>
    <n v="102924"/>
    <n v="102924"/>
  </r>
  <r>
    <n v="12290"/>
    <x v="223"/>
    <x v="4"/>
    <s v="East"/>
    <s v="Priya"/>
    <n v="6"/>
    <n v="56667"/>
    <n v="340002"/>
    <n v="340002"/>
  </r>
  <r>
    <n v="12291"/>
    <x v="144"/>
    <x v="6"/>
    <s v="West"/>
    <s v="Anita"/>
    <n v="18"/>
    <n v="34274"/>
    <n v="616932"/>
    <n v="616932"/>
  </r>
  <r>
    <n v="12292"/>
    <x v="187"/>
    <x v="0"/>
    <s v="South"/>
    <s v="Rahul"/>
    <n v="4"/>
    <n v="26395"/>
    <n v="105580"/>
    <n v="105580"/>
  </r>
  <r>
    <n v="12293"/>
    <x v="77"/>
    <x v="5"/>
    <s v="West"/>
    <s v="Anita"/>
    <n v="5"/>
    <n v="26400"/>
    <n v="132000"/>
    <n v="132000"/>
  </r>
  <r>
    <n v="12294"/>
    <x v="336"/>
    <x v="3"/>
    <s v="South"/>
    <s v="Suman"/>
    <n v="1"/>
    <n v="33252"/>
    <n v="33252"/>
    <n v="33252"/>
  </r>
  <r>
    <n v="12295"/>
    <x v="62"/>
    <x v="4"/>
    <s v="East"/>
    <s v="Priya"/>
    <n v="15"/>
    <n v="37671"/>
    <n v="565065"/>
    <n v="565065"/>
  </r>
  <r>
    <n v="12296"/>
    <x v="80"/>
    <x v="0"/>
    <s v="East"/>
    <s v="Anita"/>
    <n v="12"/>
    <n v="13341"/>
    <n v="160092"/>
    <n v="160092"/>
  </r>
  <r>
    <n v="12297"/>
    <x v="62"/>
    <x v="5"/>
    <s v="South"/>
    <s v="Rahul"/>
    <n v="9"/>
    <n v="3193"/>
    <n v="28737"/>
    <n v="28737"/>
  </r>
  <r>
    <n v="12298"/>
    <x v="55"/>
    <x v="3"/>
    <s v="West"/>
    <s v="Rani"/>
    <n v="11"/>
    <n v="52496"/>
    <n v="577456"/>
    <n v="577456"/>
  </r>
  <r>
    <n v="12299"/>
    <x v="57"/>
    <x v="4"/>
    <s v="North"/>
    <s v="Rahul"/>
    <n v="5"/>
    <n v="39739"/>
    <n v="198695"/>
    <n v="198695"/>
  </r>
  <r>
    <n v="12300"/>
    <x v="3"/>
    <x v="2"/>
    <s v="South"/>
    <s v="Suman"/>
    <n v="14"/>
    <n v="17924"/>
    <n v="250936"/>
    <n v="250936"/>
  </r>
  <r>
    <n v="12301"/>
    <x v="249"/>
    <x v="2"/>
    <s v="South"/>
    <s v="Rani"/>
    <n v="3"/>
    <n v="46276"/>
    <n v="138828"/>
    <n v="138828"/>
  </r>
  <r>
    <n v="12302"/>
    <x v="59"/>
    <x v="5"/>
    <s v="West"/>
    <s v="Priya"/>
    <n v="10"/>
    <n v="20399"/>
    <n v="203990"/>
    <n v="203990"/>
  </r>
  <r>
    <n v="12303"/>
    <x v="16"/>
    <x v="4"/>
    <s v="East"/>
    <s v="Anita"/>
    <n v="19"/>
    <n v="18281"/>
    <n v="347339"/>
    <n v="347339"/>
  </r>
  <r>
    <n v="12304"/>
    <x v="61"/>
    <x v="3"/>
    <s v="North"/>
    <s v="Suman"/>
    <n v="10"/>
    <n v="30276"/>
    <n v="302760"/>
    <n v="302760"/>
  </r>
  <r>
    <n v="12305"/>
    <x v="280"/>
    <x v="5"/>
    <s v="East"/>
    <s v="Anita"/>
    <n v="15"/>
    <n v="35899"/>
    <n v="538485"/>
    <n v="538485"/>
  </r>
  <r>
    <n v="12306"/>
    <x v="323"/>
    <x v="0"/>
    <s v="North"/>
    <s v="Anita"/>
    <n v="8"/>
    <n v="25562"/>
    <n v="204496"/>
    <n v="204496"/>
  </r>
  <r>
    <n v="12307"/>
    <x v="334"/>
    <x v="3"/>
    <s v="North"/>
    <s v="Rahul"/>
    <n v="3"/>
    <n v="23067"/>
    <n v="69201"/>
    <n v="69201"/>
  </r>
  <r>
    <n v="12308"/>
    <x v="48"/>
    <x v="4"/>
    <s v="East"/>
    <s v="Priya"/>
    <n v="4"/>
    <n v="36444"/>
    <n v="145776"/>
    <n v="145776"/>
  </r>
  <r>
    <n v="12309"/>
    <x v="38"/>
    <x v="2"/>
    <s v="North"/>
    <s v="Rahul"/>
    <n v="12"/>
    <n v="59342"/>
    <n v="712104"/>
    <n v="712104"/>
  </r>
  <r>
    <n v="12310"/>
    <x v="236"/>
    <x v="1"/>
    <s v="North"/>
    <s v="Amit"/>
    <n v="16"/>
    <n v="53180"/>
    <n v="850880"/>
    <n v="850880"/>
  </r>
  <r>
    <n v="12311"/>
    <x v="122"/>
    <x v="5"/>
    <s v="South"/>
    <s v="Priya"/>
    <n v="13"/>
    <n v="30497"/>
    <n v="396461"/>
    <n v="396461"/>
  </r>
  <r>
    <n v="12312"/>
    <x v="124"/>
    <x v="3"/>
    <s v="North"/>
    <s v="Rani"/>
    <n v="20"/>
    <n v="51406"/>
    <n v="1028120"/>
    <n v="1028120"/>
  </r>
  <r>
    <n v="12313"/>
    <x v="16"/>
    <x v="0"/>
    <s v="South"/>
    <s v="Anita"/>
    <n v="11"/>
    <n v="56049"/>
    <n v="616539"/>
    <n v="616539"/>
  </r>
  <r>
    <n v="12314"/>
    <x v="71"/>
    <x v="2"/>
    <s v="East"/>
    <s v="Rani"/>
    <n v="3"/>
    <n v="32520"/>
    <n v="97560"/>
    <n v="97560"/>
  </r>
  <r>
    <n v="12315"/>
    <x v="357"/>
    <x v="0"/>
    <s v="North"/>
    <s v="Amit"/>
    <n v="14"/>
    <n v="11812"/>
    <n v="165368"/>
    <n v="165368"/>
  </r>
  <r>
    <n v="12316"/>
    <x v="240"/>
    <x v="2"/>
    <s v="East"/>
    <s v="Amit"/>
    <n v="14"/>
    <n v="18735"/>
    <n v="262290"/>
    <n v="262290"/>
  </r>
  <r>
    <n v="12317"/>
    <x v="90"/>
    <x v="3"/>
    <s v="North"/>
    <s v="Amit"/>
    <n v="3"/>
    <n v="49678"/>
    <n v="149034"/>
    <n v="149034"/>
  </r>
  <r>
    <n v="12318"/>
    <x v="132"/>
    <x v="4"/>
    <s v="East"/>
    <s v="Anita"/>
    <n v="12"/>
    <n v="10424"/>
    <n v="125088"/>
    <n v="125088"/>
  </r>
  <r>
    <n v="12319"/>
    <x v="279"/>
    <x v="2"/>
    <s v="West"/>
    <s v="Rani"/>
    <n v="12"/>
    <n v="24275"/>
    <n v="291300"/>
    <n v="291300"/>
  </r>
  <r>
    <n v="12320"/>
    <x v="59"/>
    <x v="1"/>
    <s v="West"/>
    <s v="Priya"/>
    <n v="4"/>
    <n v="29634"/>
    <n v="118536"/>
    <n v="118536"/>
  </r>
  <r>
    <n v="12321"/>
    <x v="326"/>
    <x v="0"/>
    <s v="East"/>
    <s v="Rani"/>
    <n v="15"/>
    <n v="9824"/>
    <n v="147360"/>
    <n v="147360"/>
  </r>
  <r>
    <n v="12322"/>
    <x v="224"/>
    <x v="0"/>
    <s v="East"/>
    <s v="Rahul"/>
    <n v="15"/>
    <n v="13306"/>
    <n v="199590"/>
    <n v="199590"/>
  </r>
  <r>
    <n v="12323"/>
    <x v="180"/>
    <x v="6"/>
    <s v="West"/>
    <s v="Priya"/>
    <n v="15"/>
    <n v="2588"/>
    <n v="38820"/>
    <n v="38820"/>
  </r>
  <r>
    <n v="12324"/>
    <x v="55"/>
    <x v="6"/>
    <s v="East"/>
    <s v="Anita"/>
    <n v="1"/>
    <n v="26546"/>
    <n v="26546"/>
    <n v="26546"/>
  </r>
  <r>
    <n v="12325"/>
    <x v="127"/>
    <x v="2"/>
    <s v="East"/>
    <s v="Amit"/>
    <n v="13"/>
    <n v="18022"/>
    <n v="234286"/>
    <n v="234286"/>
  </r>
  <r>
    <n v="12326"/>
    <x v="71"/>
    <x v="5"/>
    <s v="West"/>
    <s v="Suman"/>
    <n v="19"/>
    <n v="11535"/>
    <n v="219165"/>
    <n v="219165"/>
  </r>
  <r>
    <n v="12327"/>
    <x v="276"/>
    <x v="3"/>
    <s v="South"/>
    <s v="Anita"/>
    <n v="9"/>
    <n v="41361"/>
    <n v="372249"/>
    <n v="372249"/>
  </r>
  <r>
    <n v="12328"/>
    <x v="212"/>
    <x v="0"/>
    <s v="East"/>
    <s v="Rahul"/>
    <n v="10"/>
    <n v="4346"/>
    <n v="43460"/>
    <n v="43460"/>
  </r>
  <r>
    <n v="12329"/>
    <x v="47"/>
    <x v="6"/>
    <s v="North"/>
    <s v="Rahul"/>
    <n v="15"/>
    <n v="39603"/>
    <n v="594045"/>
    <n v="594045"/>
  </r>
  <r>
    <n v="12330"/>
    <x v="228"/>
    <x v="0"/>
    <s v="North"/>
    <s v="Priya"/>
    <n v="11"/>
    <n v="54986"/>
    <n v="604846"/>
    <n v="604846"/>
  </r>
  <r>
    <n v="12331"/>
    <x v="125"/>
    <x v="2"/>
    <s v="East"/>
    <s v="Rani"/>
    <n v="13"/>
    <n v="23103"/>
    <n v="300339"/>
    <n v="300339"/>
  </r>
  <r>
    <n v="12332"/>
    <x v="329"/>
    <x v="0"/>
    <s v="East"/>
    <s v="Rani"/>
    <n v="9"/>
    <n v="4887"/>
    <n v="43983"/>
    <n v="43983"/>
  </r>
  <r>
    <n v="12333"/>
    <x v="285"/>
    <x v="3"/>
    <s v="South"/>
    <s v="Anita"/>
    <n v="11"/>
    <n v="17257"/>
    <n v="189827"/>
    <n v="189827"/>
  </r>
  <r>
    <n v="12334"/>
    <x v="359"/>
    <x v="2"/>
    <s v="West"/>
    <s v="Rani"/>
    <n v="5"/>
    <n v="27918"/>
    <n v="139590"/>
    <n v="139590"/>
  </r>
  <r>
    <n v="12335"/>
    <x v="77"/>
    <x v="5"/>
    <s v="East"/>
    <s v="Anita"/>
    <n v="13"/>
    <n v="41687"/>
    <n v="541931"/>
    <n v="541931"/>
  </r>
  <r>
    <n v="12336"/>
    <x v="160"/>
    <x v="0"/>
    <s v="East"/>
    <s v="Priya"/>
    <n v="7"/>
    <n v="58822"/>
    <n v="411754"/>
    <n v="411754"/>
  </r>
  <r>
    <n v="12337"/>
    <x v="308"/>
    <x v="4"/>
    <s v="North"/>
    <s v="Anita"/>
    <n v="4"/>
    <n v="15221"/>
    <n v="60884"/>
    <n v="60884"/>
  </r>
  <r>
    <n v="12338"/>
    <x v="301"/>
    <x v="0"/>
    <s v="East"/>
    <s v="Amit"/>
    <n v="14"/>
    <n v="41302"/>
    <n v="578228"/>
    <n v="578228"/>
  </r>
  <r>
    <n v="12339"/>
    <x v="270"/>
    <x v="5"/>
    <s v="South"/>
    <s v="Anita"/>
    <n v="2"/>
    <n v="36139"/>
    <n v="72278"/>
    <n v="72278"/>
  </r>
  <r>
    <n v="12340"/>
    <x v="305"/>
    <x v="4"/>
    <s v="West"/>
    <s v="Rani"/>
    <n v="4"/>
    <n v="32405"/>
    <n v="129620"/>
    <n v="129620"/>
  </r>
  <r>
    <n v="12341"/>
    <x v="17"/>
    <x v="5"/>
    <s v="East"/>
    <s v="Rani"/>
    <n v="14"/>
    <n v="22238"/>
    <n v="311332"/>
    <n v="311332"/>
  </r>
  <r>
    <n v="12342"/>
    <x v="348"/>
    <x v="2"/>
    <s v="West"/>
    <s v="Anita"/>
    <n v="15"/>
    <n v="30903"/>
    <n v="463545"/>
    <n v="463545"/>
  </r>
  <r>
    <n v="12343"/>
    <x v="294"/>
    <x v="4"/>
    <s v="South"/>
    <s v="Suman"/>
    <n v="3"/>
    <n v="57983"/>
    <n v="173949"/>
    <n v="173949"/>
  </r>
  <r>
    <n v="12344"/>
    <x v="103"/>
    <x v="3"/>
    <s v="North"/>
    <s v="Suman"/>
    <n v="18"/>
    <n v="16870"/>
    <n v="303660"/>
    <n v="303660"/>
  </r>
  <r>
    <n v="12345"/>
    <x v="28"/>
    <x v="5"/>
    <s v="East"/>
    <s v="Priya"/>
    <n v="14"/>
    <n v="30208"/>
    <n v="422912"/>
    <n v="422912"/>
  </r>
  <r>
    <n v="12346"/>
    <x v="59"/>
    <x v="3"/>
    <s v="West"/>
    <s v="Rahul"/>
    <n v="5"/>
    <n v="19174"/>
    <n v="95870"/>
    <n v="95870"/>
  </r>
  <r>
    <n v="12347"/>
    <x v="74"/>
    <x v="5"/>
    <s v="West"/>
    <s v="Rahul"/>
    <n v="4"/>
    <n v="40255"/>
    <n v="161020"/>
    <n v="161020"/>
  </r>
  <r>
    <n v="12348"/>
    <x v="144"/>
    <x v="5"/>
    <s v="North"/>
    <s v="Amit"/>
    <n v="17"/>
    <n v="31781"/>
    <n v="540277"/>
    <n v="540277"/>
  </r>
  <r>
    <n v="12349"/>
    <x v="25"/>
    <x v="2"/>
    <s v="South"/>
    <s v="Anita"/>
    <n v="12"/>
    <n v="16104"/>
    <n v="193248"/>
    <n v="193248"/>
  </r>
  <r>
    <n v="12350"/>
    <x v="122"/>
    <x v="5"/>
    <s v="North"/>
    <s v="Priya"/>
    <n v="18"/>
    <n v="34244"/>
    <n v="616392"/>
    <n v="616392"/>
  </r>
  <r>
    <n v="12351"/>
    <x v="2"/>
    <x v="3"/>
    <s v="East"/>
    <s v="Anita"/>
    <n v="19"/>
    <n v="37959"/>
    <n v="721221"/>
    <n v="721221"/>
  </r>
  <r>
    <n v="12352"/>
    <x v="209"/>
    <x v="0"/>
    <s v="North"/>
    <s v="Rahul"/>
    <n v="2"/>
    <n v="34770"/>
    <n v="69540"/>
    <n v="69540"/>
  </r>
  <r>
    <n v="12353"/>
    <x v="42"/>
    <x v="3"/>
    <s v="South"/>
    <s v="Suman"/>
    <n v="10"/>
    <n v="41138"/>
    <n v="411380"/>
    <n v="411380"/>
  </r>
  <r>
    <n v="12354"/>
    <x v="359"/>
    <x v="0"/>
    <s v="South"/>
    <s v="Rani"/>
    <n v="20"/>
    <n v="21285"/>
    <n v="425700"/>
    <n v="425700"/>
  </r>
  <r>
    <n v="12355"/>
    <x v="237"/>
    <x v="0"/>
    <s v="South"/>
    <s v="Rani"/>
    <n v="4"/>
    <n v="5238"/>
    <n v="20952"/>
    <n v="20952"/>
  </r>
  <r>
    <n v="12356"/>
    <x v="46"/>
    <x v="3"/>
    <s v="South"/>
    <s v="Rani"/>
    <n v="14"/>
    <n v="58400"/>
    <n v="817600"/>
    <n v="817600"/>
  </r>
  <r>
    <n v="12357"/>
    <x v="243"/>
    <x v="0"/>
    <s v="North"/>
    <s v="Anita"/>
    <n v="14"/>
    <n v="39767"/>
    <n v="556738"/>
    <n v="556738"/>
  </r>
  <r>
    <n v="12358"/>
    <x v="54"/>
    <x v="4"/>
    <s v="South"/>
    <s v="Anita"/>
    <n v="16"/>
    <n v="29071"/>
    <n v="465136"/>
    <n v="465136"/>
  </r>
  <r>
    <n v="12359"/>
    <x v="18"/>
    <x v="6"/>
    <s v="West"/>
    <s v="Priya"/>
    <n v="18"/>
    <n v="17617"/>
    <n v="317106"/>
    <n v="317106"/>
  </r>
  <r>
    <n v="12360"/>
    <x v="353"/>
    <x v="3"/>
    <s v="East"/>
    <s v="Anita"/>
    <n v="7"/>
    <n v="49237"/>
    <n v="344659"/>
    <n v="344659"/>
  </r>
  <r>
    <n v="12361"/>
    <x v="174"/>
    <x v="0"/>
    <s v="West"/>
    <s v="Rahul"/>
    <n v="12"/>
    <n v="19010"/>
    <n v="228120"/>
    <n v="228120"/>
  </r>
  <r>
    <n v="12362"/>
    <x v="226"/>
    <x v="3"/>
    <s v="West"/>
    <s v="Priya"/>
    <n v="2"/>
    <n v="12120"/>
    <n v="24240"/>
    <n v="24240"/>
  </r>
  <r>
    <n v="12363"/>
    <x v="205"/>
    <x v="1"/>
    <s v="East"/>
    <s v="Suman"/>
    <n v="10"/>
    <n v="17140"/>
    <n v="171400"/>
    <n v="171400"/>
  </r>
  <r>
    <n v="12364"/>
    <x v="322"/>
    <x v="1"/>
    <s v="North"/>
    <s v="Priya"/>
    <n v="13"/>
    <n v="24079"/>
    <n v="313027"/>
    <n v="313027"/>
  </r>
  <r>
    <n v="12365"/>
    <x v="249"/>
    <x v="2"/>
    <s v="South"/>
    <s v="Amit"/>
    <n v="15"/>
    <n v="57058"/>
    <n v="855870"/>
    <n v="855870"/>
  </r>
  <r>
    <n v="12366"/>
    <x v="203"/>
    <x v="2"/>
    <s v="South"/>
    <s v="Amit"/>
    <n v="6"/>
    <n v="54395"/>
    <n v="326370"/>
    <n v="326370"/>
  </r>
  <r>
    <n v="12367"/>
    <x v="41"/>
    <x v="1"/>
    <s v="North"/>
    <s v="Anita"/>
    <n v="17"/>
    <n v="51151"/>
    <n v="869567"/>
    <n v="869567"/>
  </r>
  <r>
    <n v="12368"/>
    <x v="27"/>
    <x v="1"/>
    <s v="North"/>
    <s v="Suman"/>
    <n v="5"/>
    <n v="16311"/>
    <n v="81555"/>
    <n v="81555"/>
  </r>
  <r>
    <n v="12369"/>
    <x v="197"/>
    <x v="6"/>
    <s v="North"/>
    <s v="Anita"/>
    <n v="9"/>
    <n v="36518"/>
    <n v="328662"/>
    <n v="328662"/>
  </r>
  <r>
    <n v="12370"/>
    <x v="272"/>
    <x v="0"/>
    <s v="East"/>
    <s v="Amit"/>
    <n v="17"/>
    <n v="38163"/>
    <n v="648771"/>
    <n v="648771"/>
  </r>
  <r>
    <n v="12371"/>
    <x v="71"/>
    <x v="0"/>
    <s v="North"/>
    <s v="Priya"/>
    <n v="19"/>
    <n v="19927"/>
    <n v="378613"/>
    <n v="378613"/>
  </r>
  <r>
    <n v="12372"/>
    <x v="26"/>
    <x v="2"/>
    <s v="East"/>
    <s v="Suman"/>
    <n v="14"/>
    <n v="23314"/>
    <n v="326396"/>
    <n v="326396"/>
  </r>
  <r>
    <n v="12373"/>
    <x v="302"/>
    <x v="0"/>
    <s v="South"/>
    <s v="Amit"/>
    <n v="16"/>
    <n v="4287"/>
    <n v="68592"/>
    <n v="68592"/>
  </r>
  <r>
    <n v="12374"/>
    <x v="172"/>
    <x v="1"/>
    <s v="South"/>
    <s v="Rahul"/>
    <n v="19"/>
    <n v="49717"/>
    <n v="944623"/>
    <n v="944623"/>
  </r>
  <r>
    <n v="12375"/>
    <x v="88"/>
    <x v="1"/>
    <s v="West"/>
    <s v="Anita"/>
    <n v="5"/>
    <n v="8885"/>
    <n v="44425"/>
    <n v="44425"/>
  </r>
  <r>
    <n v="12376"/>
    <x v="173"/>
    <x v="0"/>
    <s v="North"/>
    <s v="Rani"/>
    <n v="16"/>
    <n v="46742"/>
    <n v="747872"/>
    <n v="747872"/>
  </r>
  <r>
    <n v="12377"/>
    <x v="73"/>
    <x v="0"/>
    <s v="South"/>
    <s v="Rahul"/>
    <n v="5"/>
    <n v="25109"/>
    <n v="125545"/>
    <n v="125545"/>
  </r>
  <r>
    <n v="12378"/>
    <x v="197"/>
    <x v="2"/>
    <s v="East"/>
    <s v="Rani"/>
    <n v="15"/>
    <n v="57324"/>
    <n v="859860"/>
    <n v="859860"/>
  </r>
  <r>
    <n v="12379"/>
    <x v="50"/>
    <x v="5"/>
    <s v="North"/>
    <s v="Amit"/>
    <n v="15"/>
    <n v="5659"/>
    <n v="84885"/>
    <n v="84885"/>
  </r>
  <r>
    <n v="12380"/>
    <x v="258"/>
    <x v="5"/>
    <s v="East"/>
    <s v="Amit"/>
    <n v="7"/>
    <n v="54635"/>
    <n v="382445"/>
    <n v="382445"/>
  </r>
  <r>
    <n v="12381"/>
    <x v="49"/>
    <x v="2"/>
    <s v="East"/>
    <s v="Priya"/>
    <n v="20"/>
    <n v="40343"/>
    <n v="806860"/>
    <n v="806860"/>
  </r>
  <r>
    <n v="12382"/>
    <x v="209"/>
    <x v="2"/>
    <s v="South"/>
    <s v="Suman"/>
    <n v="18"/>
    <n v="13596"/>
    <n v="244728"/>
    <n v="244728"/>
  </r>
  <r>
    <n v="12383"/>
    <x v="67"/>
    <x v="4"/>
    <s v="East"/>
    <s v="Rahul"/>
    <n v="4"/>
    <n v="19668"/>
    <n v="78672"/>
    <n v="78672"/>
  </r>
  <r>
    <n v="12384"/>
    <x v="311"/>
    <x v="2"/>
    <s v="West"/>
    <s v="Anita"/>
    <n v="16"/>
    <n v="23768"/>
    <n v="380288"/>
    <n v="380288"/>
  </r>
  <r>
    <n v="12385"/>
    <x v="344"/>
    <x v="6"/>
    <s v="South"/>
    <s v="Amit"/>
    <n v="15"/>
    <n v="13922"/>
    <n v="208830"/>
    <n v="208830"/>
  </r>
  <r>
    <n v="12386"/>
    <x v="355"/>
    <x v="5"/>
    <s v="South"/>
    <s v="Suman"/>
    <n v="5"/>
    <n v="36393"/>
    <n v="181965"/>
    <n v="181965"/>
  </r>
  <r>
    <n v="12387"/>
    <x v="340"/>
    <x v="2"/>
    <s v="West"/>
    <s v="Priya"/>
    <n v="10"/>
    <n v="16244"/>
    <n v="162440"/>
    <n v="162440"/>
  </r>
  <r>
    <n v="12388"/>
    <x v="266"/>
    <x v="2"/>
    <s v="East"/>
    <s v="Priya"/>
    <n v="3"/>
    <n v="19654"/>
    <n v="58962"/>
    <n v="58962"/>
  </r>
  <r>
    <n v="12389"/>
    <x v="131"/>
    <x v="0"/>
    <s v="South"/>
    <s v="Rani"/>
    <n v="12"/>
    <n v="35804"/>
    <n v="429648"/>
    <n v="429648"/>
  </r>
  <r>
    <n v="12390"/>
    <x v="348"/>
    <x v="0"/>
    <s v="North"/>
    <s v="Priya"/>
    <n v="14"/>
    <n v="18026"/>
    <n v="252364"/>
    <n v="252364"/>
  </r>
  <r>
    <n v="12391"/>
    <x v="341"/>
    <x v="1"/>
    <s v="South"/>
    <s v="Rahul"/>
    <n v="2"/>
    <n v="24983"/>
    <n v="49966"/>
    <n v="49966"/>
  </r>
  <r>
    <n v="12392"/>
    <x v="29"/>
    <x v="6"/>
    <s v="East"/>
    <s v="Suman"/>
    <n v="8"/>
    <n v="32348"/>
    <n v="258784"/>
    <n v="258784"/>
  </r>
  <r>
    <n v="12393"/>
    <x v="293"/>
    <x v="3"/>
    <s v="West"/>
    <s v="Suman"/>
    <n v="19"/>
    <n v="43776"/>
    <n v="831744"/>
    <n v="831744"/>
  </r>
  <r>
    <n v="12394"/>
    <x v="201"/>
    <x v="1"/>
    <s v="West"/>
    <s v="Priya"/>
    <n v="8"/>
    <n v="16221"/>
    <n v="129768"/>
    <n v="129768"/>
  </r>
  <r>
    <n v="12395"/>
    <x v="6"/>
    <x v="5"/>
    <s v="West"/>
    <s v="Suman"/>
    <n v="8"/>
    <n v="55462"/>
    <n v="443696"/>
    <n v="443696"/>
  </r>
  <r>
    <n v="12396"/>
    <x v="125"/>
    <x v="3"/>
    <s v="North"/>
    <s v="Suman"/>
    <n v="4"/>
    <n v="2165"/>
    <n v="8660"/>
    <n v="8660"/>
  </r>
  <r>
    <n v="12397"/>
    <x v="49"/>
    <x v="4"/>
    <s v="West"/>
    <s v="Priya"/>
    <n v="3"/>
    <n v="53158"/>
    <n v="159474"/>
    <n v="159474"/>
  </r>
  <r>
    <n v="12398"/>
    <x v="240"/>
    <x v="4"/>
    <s v="East"/>
    <s v="Suman"/>
    <n v="16"/>
    <n v="57347"/>
    <n v="917552"/>
    <n v="917552"/>
  </r>
  <r>
    <n v="12399"/>
    <x v="259"/>
    <x v="2"/>
    <s v="West"/>
    <s v="Amit"/>
    <n v="11"/>
    <n v="50095"/>
    <n v="551045"/>
    <n v="551045"/>
  </r>
  <r>
    <n v="12400"/>
    <x v="159"/>
    <x v="1"/>
    <s v="South"/>
    <s v="Priya"/>
    <n v="13"/>
    <n v="49689"/>
    <n v="645957"/>
    <n v="645957"/>
  </r>
  <r>
    <n v="12401"/>
    <x v="350"/>
    <x v="2"/>
    <s v="West"/>
    <s v="Rani"/>
    <n v="6"/>
    <n v="6047"/>
    <n v="36282"/>
    <n v="36282"/>
  </r>
  <r>
    <n v="12402"/>
    <x v="11"/>
    <x v="6"/>
    <s v="West"/>
    <s v="Suman"/>
    <n v="2"/>
    <n v="18635"/>
    <n v="37270"/>
    <n v="37270"/>
  </r>
  <r>
    <n v="12403"/>
    <x v="175"/>
    <x v="0"/>
    <s v="West"/>
    <s v="Rahul"/>
    <n v="12"/>
    <n v="36117"/>
    <n v="433404"/>
    <n v="433404"/>
  </r>
  <r>
    <n v="12404"/>
    <x v="183"/>
    <x v="2"/>
    <s v="West"/>
    <s v="Amit"/>
    <n v="4"/>
    <n v="24488"/>
    <n v="97952"/>
    <n v="97952"/>
  </r>
  <r>
    <n v="12405"/>
    <x v="352"/>
    <x v="6"/>
    <s v="North"/>
    <s v="Suman"/>
    <n v="10"/>
    <n v="38975"/>
    <n v="389750"/>
    <n v="389750"/>
  </r>
  <r>
    <n v="12406"/>
    <x v="325"/>
    <x v="4"/>
    <s v="West"/>
    <s v="Amit"/>
    <n v="9"/>
    <n v="24887"/>
    <n v="223983"/>
    <n v="223983"/>
  </r>
  <r>
    <n v="12407"/>
    <x v="226"/>
    <x v="5"/>
    <s v="South"/>
    <s v="Rani"/>
    <n v="9"/>
    <n v="47439"/>
    <n v="426951"/>
    <n v="426951"/>
  </r>
  <r>
    <n v="12408"/>
    <x v="53"/>
    <x v="2"/>
    <s v="West"/>
    <s v="Anita"/>
    <n v="16"/>
    <n v="51975"/>
    <n v="831600"/>
    <n v="831600"/>
  </r>
  <r>
    <n v="12409"/>
    <x v="255"/>
    <x v="0"/>
    <s v="South"/>
    <s v="Rahul"/>
    <n v="18"/>
    <n v="57659"/>
    <n v="1037862"/>
    <n v="1037862"/>
  </r>
  <r>
    <n v="12410"/>
    <x v="164"/>
    <x v="4"/>
    <s v="East"/>
    <s v="Priya"/>
    <n v="12"/>
    <n v="10483"/>
    <n v="125796"/>
    <n v="125796"/>
  </r>
  <r>
    <n v="12411"/>
    <x v="359"/>
    <x v="5"/>
    <s v="North"/>
    <s v="Suman"/>
    <n v="19"/>
    <n v="6944"/>
    <n v="131936"/>
    <n v="131936"/>
  </r>
  <r>
    <n v="12412"/>
    <x v="327"/>
    <x v="0"/>
    <s v="North"/>
    <s v="Anita"/>
    <n v="20"/>
    <n v="20318"/>
    <n v="406360"/>
    <n v="406360"/>
  </r>
  <r>
    <n v="12413"/>
    <x v="167"/>
    <x v="1"/>
    <s v="North"/>
    <s v="Rahul"/>
    <n v="6"/>
    <n v="55351"/>
    <n v="332106"/>
    <n v="332106"/>
  </r>
  <r>
    <n v="12414"/>
    <x v="283"/>
    <x v="2"/>
    <s v="West"/>
    <s v="Suman"/>
    <n v="20"/>
    <n v="46147"/>
    <n v="922940"/>
    <n v="922940"/>
  </r>
  <r>
    <n v="12415"/>
    <x v="94"/>
    <x v="0"/>
    <s v="West"/>
    <s v="Anita"/>
    <n v="18"/>
    <n v="37351"/>
    <n v="672318"/>
    <n v="672318"/>
  </r>
  <r>
    <n v="12416"/>
    <x v="355"/>
    <x v="1"/>
    <s v="West"/>
    <s v="Rani"/>
    <n v="7"/>
    <n v="40653"/>
    <n v="284571"/>
    <n v="284571"/>
  </r>
  <r>
    <n v="12417"/>
    <x v="100"/>
    <x v="6"/>
    <s v="West"/>
    <s v="Priya"/>
    <n v="16"/>
    <n v="47397"/>
    <n v="758352"/>
    <n v="758352"/>
  </r>
  <r>
    <n v="12418"/>
    <x v="241"/>
    <x v="1"/>
    <s v="West"/>
    <s v="Rahul"/>
    <n v="3"/>
    <n v="834"/>
    <n v="2502"/>
    <n v="2502"/>
  </r>
  <r>
    <n v="12419"/>
    <x v="269"/>
    <x v="6"/>
    <s v="North"/>
    <s v="Anita"/>
    <n v="19"/>
    <n v="1836"/>
    <n v="34884"/>
    <n v="34884"/>
  </r>
  <r>
    <n v="12420"/>
    <x v="109"/>
    <x v="0"/>
    <s v="East"/>
    <s v="Priya"/>
    <n v="12"/>
    <n v="25901"/>
    <n v="310812"/>
    <n v="310812"/>
  </r>
  <r>
    <n v="12421"/>
    <x v="40"/>
    <x v="5"/>
    <s v="North"/>
    <s v="Rani"/>
    <n v="14"/>
    <n v="9836"/>
    <n v="137704"/>
    <n v="137704"/>
  </r>
  <r>
    <n v="12422"/>
    <x v="288"/>
    <x v="1"/>
    <s v="South"/>
    <s v="Priya"/>
    <n v="12"/>
    <n v="909"/>
    <n v="10908"/>
    <n v="10908"/>
  </r>
  <r>
    <n v="12423"/>
    <x v="222"/>
    <x v="0"/>
    <s v="West"/>
    <s v="Amit"/>
    <n v="20"/>
    <n v="55292"/>
    <n v="1105840"/>
    <n v="1105840"/>
  </r>
  <r>
    <n v="12424"/>
    <x v="65"/>
    <x v="4"/>
    <s v="North"/>
    <s v="Suman"/>
    <n v="5"/>
    <n v="31991"/>
    <n v="159955"/>
    <n v="159955"/>
  </r>
  <r>
    <n v="12425"/>
    <x v="143"/>
    <x v="1"/>
    <s v="East"/>
    <s v="Suman"/>
    <n v="20"/>
    <n v="58098"/>
    <n v="1161960"/>
    <n v="1161960"/>
  </r>
  <r>
    <n v="12426"/>
    <x v="269"/>
    <x v="0"/>
    <s v="West"/>
    <s v="Amit"/>
    <n v="14"/>
    <n v="18121"/>
    <n v="253694"/>
    <n v="253694"/>
  </r>
  <r>
    <n v="12427"/>
    <x v="61"/>
    <x v="4"/>
    <s v="South"/>
    <s v="Anita"/>
    <n v="11"/>
    <n v="51660"/>
    <n v="568260"/>
    <n v="568260"/>
  </r>
  <r>
    <n v="12428"/>
    <x v="272"/>
    <x v="5"/>
    <s v="South"/>
    <s v="Amit"/>
    <n v="4"/>
    <n v="48104"/>
    <n v="192416"/>
    <n v="192416"/>
  </r>
  <r>
    <n v="12429"/>
    <x v="293"/>
    <x v="1"/>
    <s v="North"/>
    <s v="Priya"/>
    <n v="2"/>
    <n v="50884"/>
    <n v="101768"/>
    <n v="101768"/>
  </r>
  <r>
    <n v="12430"/>
    <x v="314"/>
    <x v="5"/>
    <s v="South"/>
    <s v="Rani"/>
    <n v="4"/>
    <n v="34601"/>
    <n v="138404"/>
    <n v="138404"/>
  </r>
  <r>
    <n v="12431"/>
    <x v="124"/>
    <x v="4"/>
    <s v="West"/>
    <s v="Suman"/>
    <n v="18"/>
    <n v="48122"/>
    <n v="866196"/>
    <n v="866196"/>
  </r>
  <r>
    <n v="12432"/>
    <x v="4"/>
    <x v="3"/>
    <s v="North"/>
    <s v="Amit"/>
    <n v="10"/>
    <n v="25788"/>
    <n v="257880"/>
    <n v="257880"/>
  </r>
  <r>
    <n v="12433"/>
    <x v="14"/>
    <x v="1"/>
    <s v="South"/>
    <s v="Amit"/>
    <n v="16"/>
    <n v="2490"/>
    <n v="39840"/>
    <n v="39840"/>
  </r>
  <r>
    <n v="12434"/>
    <x v="130"/>
    <x v="0"/>
    <s v="East"/>
    <s v="Rani"/>
    <n v="1"/>
    <n v="44045"/>
    <n v="44045"/>
    <n v="44045"/>
  </r>
  <r>
    <n v="12435"/>
    <x v="107"/>
    <x v="3"/>
    <s v="South"/>
    <s v="Rani"/>
    <n v="17"/>
    <n v="51273"/>
    <n v="871641"/>
    <n v="871641"/>
  </r>
  <r>
    <n v="12436"/>
    <x v="48"/>
    <x v="5"/>
    <s v="North"/>
    <s v="Amit"/>
    <n v="16"/>
    <n v="46203"/>
    <n v="739248"/>
    <n v="739248"/>
  </r>
  <r>
    <n v="12437"/>
    <x v="261"/>
    <x v="6"/>
    <s v="West"/>
    <s v="Amit"/>
    <n v="5"/>
    <n v="41779"/>
    <n v="208895"/>
    <n v="208895"/>
  </r>
  <r>
    <n v="12438"/>
    <x v="360"/>
    <x v="4"/>
    <s v="North"/>
    <s v="Anita"/>
    <n v="12"/>
    <n v="44736"/>
    <n v="536832"/>
    <n v="536832"/>
  </r>
  <r>
    <n v="12439"/>
    <x v="35"/>
    <x v="2"/>
    <s v="West"/>
    <s v="Rani"/>
    <n v="11"/>
    <n v="22791"/>
    <n v="250701"/>
    <n v="250701"/>
  </r>
  <r>
    <n v="12440"/>
    <x v="192"/>
    <x v="4"/>
    <s v="South"/>
    <s v="Rahul"/>
    <n v="15"/>
    <n v="20916"/>
    <n v="313740"/>
    <n v="313740"/>
  </r>
  <r>
    <n v="12441"/>
    <x v="137"/>
    <x v="5"/>
    <s v="East"/>
    <s v="Rani"/>
    <n v="17"/>
    <n v="31091"/>
    <n v="528547"/>
    <n v="528547"/>
  </r>
  <r>
    <n v="12442"/>
    <x v="118"/>
    <x v="5"/>
    <s v="South"/>
    <s v="Amit"/>
    <n v="3"/>
    <n v="42330"/>
    <n v="126990"/>
    <n v="126990"/>
  </r>
  <r>
    <n v="12443"/>
    <x v="127"/>
    <x v="2"/>
    <s v="East"/>
    <s v="Priya"/>
    <n v="16"/>
    <n v="37873"/>
    <n v="605968"/>
    <n v="605968"/>
  </r>
  <r>
    <n v="12444"/>
    <x v="230"/>
    <x v="1"/>
    <s v="East"/>
    <s v="Priya"/>
    <n v="1"/>
    <n v="10178"/>
    <n v="10178"/>
    <n v="10178"/>
  </r>
  <r>
    <n v="12445"/>
    <x v="5"/>
    <x v="5"/>
    <s v="East"/>
    <s v="Anita"/>
    <n v="3"/>
    <n v="33263"/>
    <n v="99789"/>
    <n v="99789"/>
  </r>
  <r>
    <n v="12446"/>
    <x v="80"/>
    <x v="1"/>
    <s v="West"/>
    <s v="Rani"/>
    <n v="9"/>
    <n v="52471"/>
    <n v="472239"/>
    <n v="472239"/>
  </r>
  <r>
    <n v="12447"/>
    <x v="156"/>
    <x v="4"/>
    <s v="South"/>
    <s v="Rahul"/>
    <n v="11"/>
    <n v="53357"/>
    <n v="586927"/>
    <n v="586927"/>
  </r>
  <r>
    <n v="12448"/>
    <x v="116"/>
    <x v="0"/>
    <s v="North"/>
    <s v="Rani"/>
    <n v="18"/>
    <n v="37675"/>
    <n v="678150"/>
    <n v="678150"/>
  </r>
  <r>
    <n v="12449"/>
    <x v="146"/>
    <x v="3"/>
    <s v="East"/>
    <s v="Priya"/>
    <n v="6"/>
    <n v="48128"/>
    <n v="288768"/>
    <n v="288768"/>
  </r>
  <r>
    <n v="12450"/>
    <x v="241"/>
    <x v="6"/>
    <s v="West"/>
    <s v="Rahul"/>
    <n v="11"/>
    <n v="14838"/>
    <n v="163218"/>
    <n v="163218"/>
  </r>
  <r>
    <n v="12451"/>
    <x v="171"/>
    <x v="3"/>
    <s v="North"/>
    <s v="Rahul"/>
    <n v="6"/>
    <n v="54085"/>
    <n v="324510"/>
    <n v="324510"/>
  </r>
  <r>
    <n v="12452"/>
    <x v="147"/>
    <x v="4"/>
    <s v="South"/>
    <s v="Priya"/>
    <n v="15"/>
    <n v="7273"/>
    <n v="109095"/>
    <n v="109095"/>
  </r>
  <r>
    <n v="12453"/>
    <x v="182"/>
    <x v="1"/>
    <s v="East"/>
    <s v="Suman"/>
    <n v="10"/>
    <n v="10053"/>
    <n v="100530"/>
    <n v="100530"/>
  </r>
  <r>
    <n v="12454"/>
    <x v="5"/>
    <x v="3"/>
    <s v="North"/>
    <s v="Rani"/>
    <n v="6"/>
    <n v="41354"/>
    <n v="248124"/>
    <n v="248124"/>
  </r>
  <r>
    <n v="12455"/>
    <x v="221"/>
    <x v="4"/>
    <s v="East"/>
    <s v="Amit"/>
    <n v="9"/>
    <n v="31766"/>
    <n v="285894"/>
    <n v="285894"/>
  </r>
  <r>
    <n v="12456"/>
    <x v="95"/>
    <x v="4"/>
    <s v="West"/>
    <s v="Suman"/>
    <n v="7"/>
    <n v="57231"/>
    <n v="400617"/>
    <n v="400617"/>
  </r>
  <r>
    <n v="12457"/>
    <x v="106"/>
    <x v="6"/>
    <s v="North"/>
    <s v="Anita"/>
    <n v="20"/>
    <n v="52779"/>
    <n v="1055580"/>
    <n v="1055580"/>
  </r>
  <r>
    <n v="12458"/>
    <x v="311"/>
    <x v="2"/>
    <s v="South"/>
    <s v="Priya"/>
    <n v="13"/>
    <n v="1745"/>
    <n v="22685"/>
    <n v="22685"/>
  </r>
  <r>
    <n v="12459"/>
    <x v="186"/>
    <x v="0"/>
    <s v="South"/>
    <s v="Amit"/>
    <n v="9"/>
    <n v="18436"/>
    <n v="165924"/>
    <n v="165924"/>
  </r>
  <r>
    <n v="12460"/>
    <x v="237"/>
    <x v="1"/>
    <s v="South"/>
    <s v="Suman"/>
    <n v="17"/>
    <n v="5547"/>
    <n v="94299"/>
    <n v="94299"/>
  </r>
  <r>
    <n v="12461"/>
    <x v="251"/>
    <x v="0"/>
    <s v="East"/>
    <s v="Amit"/>
    <n v="6"/>
    <n v="11413"/>
    <n v="68478"/>
    <n v="68478"/>
  </r>
  <r>
    <n v="12462"/>
    <x v="124"/>
    <x v="6"/>
    <s v="East"/>
    <s v="Anita"/>
    <n v="17"/>
    <n v="48788"/>
    <n v="829396"/>
    <n v="829396"/>
  </r>
  <r>
    <n v="12463"/>
    <x v="56"/>
    <x v="3"/>
    <s v="East"/>
    <s v="Rani"/>
    <n v="18"/>
    <n v="6152"/>
    <n v="110736"/>
    <n v="110736"/>
  </r>
  <r>
    <n v="12464"/>
    <x v="294"/>
    <x v="0"/>
    <s v="North"/>
    <s v="Priya"/>
    <n v="9"/>
    <n v="44781"/>
    <n v="403029"/>
    <n v="403029"/>
  </r>
  <r>
    <n v="12465"/>
    <x v="166"/>
    <x v="0"/>
    <s v="East"/>
    <s v="Amit"/>
    <n v="17"/>
    <n v="13975"/>
    <n v="237575"/>
    <n v="237575"/>
  </r>
  <r>
    <n v="12466"/>
    <x v="186"/>
    <x v="4"/>
    <s v="East"/>
    <s v="Rahul"/>
    <n v="5"/>
    <n v="30505"/>
    <n v="152525"/>
    <n v="152525"/>
  </r>
  <r>
    <n v="12467"/>
    <x v="151"/>
    <x v="0"/>
    <s v="North"/>
    <s v="Rahul"/>
    <n v="8"/>
    <n v="36772"/>
    <n v="294176"/>
    <n v="294176"/>
  </r>
  <r>
    <n v="12468"/>
    <x v="39"/>
    <x v="5"/>
    <s v="West"/>
    <s v="Anita"/>
    <n v="1"/>
    <n v="41665"/>
    <n v="41665"/>
    <n v="41665"/>
  </r>
  <r>
    <n v="12469"/>
    <x v="242"/>
    <x v="3"/>
    <s v="West"/>
    <s v="Suman"/>
    <n v="9"/>
    <n v="55734"/>
    <n v="501606"/>
    <n v="501606"/>
  </r>
  <r>
    <n v="12470"/>
    <x v="215"/>
    <x v="3"/>
    <s v="North"/>
    <s v="Priya"/>
    <n v="12"/>
    <n v="14508"/>
    <n v="174096"/>
    <n v="174096"/>
  </r>
  <r>
    <n v="12471"/>
    <x v="344"/>
    <x v="1"/>
    <s v="East"/>
    <s v="Suman"/>
    <n v="18"/>
    <n v="52847"/>
    <n v="951246"/>
    <n v="951246"/>
  </r>
  <r>
    <n v="12472"/>
    <x v="315"/>
    <x v="0"/>
    <s v="East"/>
    <s v="Priya"/>
    <n v="12"/>
    <n v="52518"/>
    <n v="630216"/>
    <n v="630216"/>
  </r>
  <r>
    <n v="12473"/>
    <x v="39"/>
    <x v="1"/>
    <s v="North"/>
    <s v="Suman"/>
    <n v="17"/>
    <n v="2580"/>
    <n v="43860"/>
    <n v="43860"/>
  </r>
  <r>
    <n v="12474"/>
    <x v="277"/>
    <x v="5"/>
    <s v="North"/>
    <s v="Amit"/>
    <n v="8"/>
    <n v="2800"/>
    <n v="22400"/>
    <n v="22400"/>
  </r>
  <r>
    <n v="12475"/>
    <x v="3"/>
    <x v="1"/>
    <s v="West"/>
    <s v="Suman"/>
    <n v="4"/>
    <n v="26752"/>
    <n v="107008"/>
    <n v="107008"/>
  </r>
  <r>
    <n v="12476"/>
    <x v="150"/>
    <x v="4"/>
    <s v="South"/>
    <s v="Amit"/>
    <n v="8"/>
    <n v="11397"/>
    <n v="91176"/>
    <n v="91176"/>
  </r>
  <r>
    <n v="12477"/>
    <x v="363"/>
    <x v="0"/>
    <s v="East"/>
    <s v="Rani"/>
    <n v="13"/>
    <n v="15343"/>
    <n v="199459"/>
    <n v="199459"/>
  </r>
  <r>
    <n v="12478"/>
    <x v="50"/>
    <x v="4"/>
    <s v="West"/>
    <s v="Anita"/>
    <n v="17"/>
    <n v="46845"/>
    <n v="796365"/>
    <n v="796365"/>
  </r>
  <r>
    <n v="12479"/>
    <x v="255"/>
    <x v="3"/>
    <s v="West"/>
    <s v="Amit"/>
    <n v="1"/>
    <n v="15676"/>
    <n v="15676"/>
    <n v="15676"/>
  </r>
  <r>
    <n v="12480"/>
    <x v="79"/>
    <x v="1"/>
    <s v="West"/>
    <s v="Rahul"/>
    <n v="2"/>
    <n v="6947"/>
    <n v="13894"/>
    <n v="13894"/>
  </r>
  <r>
    <n v="12481"/>
    <x v="326"/>
    <x v="2"/>
    <s v="South"/>
    <s v="Suman"/>
    <n v="8"/>
    <n v="45269"/>
    <n v="362152"/>
    <n v="362152"/>
  </r>
  <r>
    <n v="12482"/>
    <x v="81"/>
    <x v="6"/>
    <s v="East"/>
    <s v="Priya"/>
    <n v="9"/>
    <n v="8666"/>
    <n v="77994"/>
    <n v="77994"/>
  </r>
  <r>
    <n v="12483"/>
    <x v="109"/>
    <x v="2"/>
    <s v="West"/>
    <s v="Amit"/>
    <n v="16"/>
    <n v="23841"/>
    <n v="381456"/>
    <n v="381456"/>
  </r>
  <r>
    <n v="12484"/>
    <x v="151"/>
    <x v="2"/>
    <s v="East"/>
    <s v="Suman"/>
    <n v="15"/>
    <n v="16254"/>
    <n v="243810"/>
    <n v="243810"/>
  </r>
  <r>
    <n v="12485"/>
    <x v="331"/>
    <x v="5"/>
    <s v="North"/>
    <s v="Anita"/>
    <n v="17"/>
    <n v="49776"/>
    <n v="846192"/>
    <n v="846192"/>
  </r>
  <r>
    <n v="12486"/>
    <x v="248"/>
    <x v="1"/>
    <s v="North"/>
    <s v="Suman"/>
    <n v="15"/>
    <n v="25653"/>
    <n v="384795"/>
    <n v="384795"/>
  </r>
  <r>
    <n v="12487"/>
    <x v="229"/>
    <x v="5"/>
    <s v="North"/>
    <s v="Anita"/>
    <n v="3"/>
    <n v="6739"/>
    <n v="20217"/>
    <n v="20217"/>
  </r>
  <r>
    <n v="12488"/>
    <x v="321"/>
    <x v="1"/>
    <s v="East"/>
    <s v="Amit"/>
    <n v="8"/>
    <n v="57955"/>
    <n v="463640"/>
    <n v="463640"/>
  </r>
  <r>
    <n v="12489"/>
    <x v="161"/>
    <x v="6"/>
    <s v="South"/>
    <s v="Priya"/>
    <n v="8"/>
    <n v="6659"/>
    <n v="53272"/>
    <n v="53272"/>
  </r>
  <r>
    <n v="12490"/>
    <x v="44"/>
    <x v="4"/>
    <s v="North"/>
    <s v="Anita"/>
    <n v="8"/>
    <n v="22929"/>
    <n v="183432"/>
    <n v="183432"/>
  </r>
  <r>
    <n v="12491"/>
    <x v="249"/>
    <x v="2"/>
    <s v="West"/>
    <s v="Rahul"/>
    <n v="14"/>
    <n v="35782"/>
    <n v="500948"/>
    <n v="500948"/>
  </r>
  <r>
    <n v="12492"/>
    <x v="269"/>
    <x v="2"/>
    <s v="East"/>
    <s v="Priya"/>
    <n v="3"/>
    <n v="51646"/>
    <n v="154938"/>
    <n v="154938"/>
  </r>
  <r>
    <n v="12493"/>
    <x v="9"/>
    <x v="4"/>
    <s v="West"/>
    <s v="Rahul"/>
    <n v="3"/>
    <n v="49526"/>
    <n v="148578"/>
    <n v="148578"/>
  </r>
  <r>
    <n v="12494"/>
    <x v="134"/>
    <x v="6"/>
    <s v="East"/>
    <s v="Rahul"/>
    <n v="18"/>
    <n v="19476"/>
    <n v="350568"/>
    <n v="350568"/>
  </r>
  <r>
    <n v="12495"/>
    <x v="160"/>
    <x v="0"/>
    <s v="West"/>
    <s v="Amit"/>
    <n v="17"/>
    <n v="45837"/>
    <n v="779229"/>
    <n v="779229"/>
  </r>
  <r>
    <n v="12496"/>
    <x v="283"/>
    <x v="3"/>
    <s v="West"/>
    <s v="Anita"/>
    <n v="19"/>
    <n v="43820"/>
    <n v="832580"/>
    <n v="832580"/>
  </r>
  <r>
    <n v="12497"/>
    <x v="133"/>
    <x v="4"/>
    <s v="East"/>
    <s v="Rahul"/>
    <n v="8"/>
    <n v="4543"/>
    <n v="36344"/>
    <n v="36344"/>
  </r>
  <r>
    <n v="12498"/>
    <x v="19"/>
    <x v="3"/>
    <s v="West"/>
    <s v="Suman"/>
    <n v="2"/>
    <n v="8747"/>
    <n v="17494"/>
    <n v="17494"/>
  </r>
  <r>
    <n v="12499"/>
    <x v="277"/>
    <x v="1"/>
    <s v="East"/>
    <s v="Priya"/>
    <n v="14"/>
    <n v="38605"/>
    <n v="540470"/>
    <n v="540470"/>
  </r>
  <r>
    <n v="12500"/>
    <x v="309"/>
    <x v="2"/>
    <s v="North"/>
    <s v="Anita"/>
    <n v="3"/>
    <n v="38486"/>
    <n v="115458"/>
    <n v="115458"/>
  </r>
  <r>
    <n v="12501"/>
    <x v="11"/>
    <x v="0"/>
    <s v="North"/>
    <s v="Amit"/>
    <n v="15"/>
    <n v="13924"/>
    <n v="208860"/>
    <n v="208860"/>
  </r>
  <r>
    <n v="12502"/>
    <x v="247"/>
    <x v="1"/>
    <s v="East"/>
    <s v="Amit"/>
    <n v="2"/>
    <n v="50726"/>
    <n v="101452"/>
    <n v="101452"/>
  </r>
  <r>
    <n v="12503"/>
    <x v="235"/>
    <x v="6"/>
    <s v="South"/>
    <s v="Priya"/>
    <n v="19"/>
    <n v="15218"/>
    <n v="289142"/>
    <n v="289142"/>
  </r>
  <r>
    <n v="12504"/>
    <x v="247"/>
    <x v="0"/>
    <s v="West"/>
    <s v="Amit"/>
    <n v="8"/>
    <n v="15332"/>
    <n v="122656"/>
    <n v="122656"/>
  </r>
  <r>
    <n v="12505"/>
    <x v="179"/>
    <x v="2"/>
    <s v="South"/>
    <s v="Amit"/>
    <n v="11"/>
    <n v="41804"/>
    <n v="459844"/>
    <n v="459844"/>
  </r>
  <r>
    <n v="12506"/>
    <x v="251"/>
    <x v="6"/>
    <s v="North"/>
    <s v="Amit"/>
    <n v="11"/>
    <n v="49223"/>
    <n v="541453"/>
    <n v="541453"/>
  </r>
  <r>
    <n v="12507"/>
    <x v="155"/>
    <x v="0"/>
    <s v="North"/>
    <s v="Rahul"/>
    <n v="20"/>
    <n v="58525"/>
    <n v="1170500"/>
    <n v="1170500"/>
  </r>
  <r>
    <n v="12508"/>
    <x v="279"/>
    <x v="1"/>
    <s v="East"/>
    <s v="Priya"/>
    <n v="1"/>
    <n v="57449"/>
    <n v="57449"/>
    <n v="57449"/>
  </r>
  <r>
    <n v="12509"/>
    <x v="57"/>
    <x v="3"/>
    <s v="North"/>
    <s v="Rahul"/>
    <n v="15"/>
    <n v="53368"/>
    <n v="800520"/>
    <n v="800520"/>
  </r>
  <r>
    <n v="12510"/>
    <x v="97"/>
    <x v="4"/>
    <s v="South"/>
    <s v="Rahul"/>
    <n v="18"/>
    <n v="5240"/>
    <n v="94320"/>
    <n v="94320"/>
  </r>
  <r>
    <n v="12511"/>
    <x v="39"/>
    <x v="3"/>
    <s v="North"/>
    <s v="Suman"/>
    <n v="20"/>
    <n v="34984"/>
    <n v="699680"/>
    <n v="699680"/>
  </r>
  <r>
    <n v="12512"/>
    <x v="175"/>
    <x v="5"/>
    <s v="West"/>
    <s v="Priya"/>
    <n v="4"/>
    <n v="6580"/>
    <n v="26320"/>
    <n v="26320"/>
  </r>
  <r>
    <n v="12513"/>
    <x v="289"/>
    <x v="1"/>
    <s v="South"/>
    <s v="Rahul"/>
    <n v="10"/>
    <n v="845"/>
    <n v="8450"/>
    <n v="8450"/>
  </r>
  <r>
    <n v="12514"/>
    <x v="99"/>
    <x v="4"/>
    <s v="East"/>
    <s v="Priya"/>
    <n v="17"/>
    <n v="56200"/>
    <n v="955400"/>
    <n v="955400"/>
  </r>
  <r>
    <n v="12515"/>
    <x v="167"/>
    <x v="6"/>
    <s v="East"/>
    <s v="Rani"/>
    <n v="18"/>
    <n v="33002"/>
    <n v="594036"/>
    <n v="594036"/>
  </r>
  <r>
    <n v="12516"/>
    <x v="341"/>
    <x v="4"/>
    <s v="East"/>
    <s v="Anita"/>
    <n v="1"/>
    <n v="17391"/>
    <n v="17391"/>
    <n v="17391"/>
  </r>
  <r>
    <n v="12517"/>
    <x v="349"/>
    <x v="4"/>
    <s v="East"/>
    <s v="Anita"/>
    <n v="5"/>
    <n v="42464"/>
    <n v="212320"/>
    <n v="212320"/>
  </r>
  <r>
    <n v="12518"/>
    <x v="298"/>
    <x v="3"/>
    <s v="East"/>
    <s v="Priya"/>
    <n v="13"/>
    <n v="13738"/>
    <n v="178594"/>
    <n v="178594"/>
  </r>
  <r>
    <n v="12519"/>
    <x v="171"/>
    <x v="2"/>
    <s v="North"/>
    <s v="Rahul"/>
    <n v="17"/>
    <n v="8864"/>
    <n v="150688"/>
    <n v="150688"/>
  </r>
  <r>
    <n v="12520"/>
    <x v="316"/>
    <x v="3"/>
    <s v="West"/>
    <s v="Rani"/>
    <n v="12"/>
    <n v="43211"/>
    <n v="518532"/>
    <n v="518532"/>
  </r>
  <r>
    <n v="12521"/>
    <x v="80"/>
    <x v="6"/>
    <s v="West"/>
    <s v="Amit"/>
    <n v="8"/>
    <n v="56297"/>
    <n v="450376"/>
    <n v="450376"/>
  </r>
  <r>
    <n v="12522"/>
    <x v="169"/>
    <x v="1"/>
    <s v="South"/>
    <s v="Anita"/>
    <n v="9"/>
    <n v="35221"/>
    <n v="316989"/>
    <n v="316989"/>
  </r>
  <r>
    <n v="12523"/>
    <x v="42"/>
    <x v="5"/>
    <s v="North"/>
    <s v="Anita"/>
    <n v="20"/>
    <n v="5157"/>
    <n v="103140"/>
    <n v="103140"/>
  </r>
  <r>
    <n v="12524"/>
    <x v="67"/>
    <x v="5"/>
    <s v="East"/>
    <s v="Suman"/>
    <n v="5"/>
    <n v="12501"/>
    <n v="62505"/>
    <n v="62505"/>
  </r>
  <r>
    <n v="12525"/>
    <x v="293"/>
    <x v="3"/>
    <s v="South"/>
    <s v="Rani"/>
    <n v="15"/>
    <n v="58971"/>
    <n v="884565"/>
    <n v="884565"/>
  </r>
  <r>
    <n v="12526"/>
    <x v="277"/>
    <x v="2"/>
    <s v="West"/>
    <s v="Priya"/>
    <n v="12"/>
    <n v="4547"/>
    <n v="54564"/>
    <n v="54564"/>
  </r>
  <r>
    <n v="12527"/>
    <x v="36"/>
    <x v="1"/>
    <s v="West"/>
    <s v="Rani"/>
    <n v="1"/>
    <n v="49047"/>
    <n v="49047"/>
    <n v="49047"/>
  </r>
  <r>
    <n v="12528"/>
    <x v="2"/>
    <x v="3"/>
    <s v="North"/>
    <s v="Anita"/>
    <n v="11"/>
    <n v="10098"/>
    <n v="111078"/>
    <n v="111078"/>
  </r>
  <r>
    <n v="12529"/>
    <x v="171"/>
    <x v="5"/>
    <s v="East"/>
    <s v="Amit"/>
    <n v="16"/>
    <n v="33780"/>
    <n v="540480"/>
    <n v="540480"/>
  </r>
  <r>
    <n v="12530"/>
    <x v="71"/>
    <x v="0"/>
    <s v="North"/>
    <s v="Suman"/>
    <n v="7"/>
    <n v="1750"/>
    <n v="12250"/>
    <n v="12250"/>
  </r>
  <r>
    <n v="12531"/>
    <x v="172"/>
    <x v="2"/>
    <s v="East"/>
    <s v="Priya"/>
    <n v="19"/>
    <n v="42979"/>
    <n v="816601"/>
    <n v="816601"/>
  </r>
  <r>
    <n v="12532"/>
    <x v="229"/>
    <x v="1"/>
    <s v="North"/>
    <s v="Suman"/>
    <n v="4"/>
    <n v="41110"/>
    <n v="164440"/>
    <n v="164440"/>
  </r>
  <r>
    <n v="12533"/>
    <x v="31"/>
    <x v="0"/>
    <s v="East"/>
    <s v="Amit"/>
    <n v="3"/>
    <n v="51052"/>
    <n v="153156"/>
    <n v="153156"/>
  </r>
  <r>
    <n v="12534"/>
    <x v="6"/>
    <x v="4"/>
    <s v="East"/>
    <s v="Rani"/>
    <n v="16"/>
    <n v="32849"/>
    <n v="525584"/>
    <n v="525584"/>
  </r>
  <r>
    <n v="12535"/>
    <x v="214"/>
    <x v="4"/>
    <s v="West"/>
    <s v="Priya"/>
    <n v="7"/>
    <n v="3389"/>
    <n v="23723"/>
    <n v="23723"/>
  </r>
  <r>
    <n v="12536"/>
    <x v="284"/>
    <x v="0"/>
    <s v="East"/>
    <s v="Anita"/>
    <n v="17"/>
    <n v="1662"/>
    <n v="28254"/>
    <n v="28254"/>
  </r>
  <r>
    <n v="12537"/>
    <x v="263"/>
    <x v="4"/>
    <s v="East"/>
    <s v="Rahul"/>
    <n v="16"/>
    <n v="35563"/>
    <n v="569008"/>
    <n v="569008"/>
  </r>
  <r>
    <n v="12538"/>
    <x v="175"/>
    <x v="4"/>
    <s v="North"/>
    <s v="Amit"/>
    <n v="1"/>
    <n v="46041"/>
    <n v="46041"/>
    <n v="46041"/>
  </r>
  <r>
    <n v="12539"/>
    <x v="255"/>
    <x v="1"/>
    <s v="West"/>
    <s v="Rani"/>
    <n v="16"/>
    <n v="1992"/>
    <n v="31872"/>
    <n v="31872"/>
  </r>
  <r>
    <n v="12540"/>
    <x v="282"/>
    <x v="2"/>
    <s v="North"/>
    <s v="Suman"/>
    <n v="5"/>
    <n v="28432"/>
    <n v="142160"/>
    <n v="142160"/>
  </r>
  <r>
    <n v="12541"/>
    <x v="177"/>
    <x v="0"/>
    <s v="East"/>
    <s v="Rani"/>
    <n v="4"/>
    <n v="9413"/>
    <n v="37652"/>
    <n v="37652"/>
  </r>
  <r>
    <n v="12542"/>
    <x v="334"/>
    <x v="3"/>
    <s v="East"/>
    <s v="Priya"/>
    <n v="20"/>
    <n v="50192"/>
    <n v="1003840"/>
    <n v="1003840"/>
  </r>
  <r>
    <n v="12543"/>
    <x v="152"/>
    <x v="3"/>
    <s v="East"/>
    <s v="Anita"/>
    <n v="7"/>
    <n v="14535"/>
    <n v="101745"/>
    <n v="101745"/>
  </r>
  <r>
    <n v="12544"/>
    <x v="269"/>
    <x v="2"/>
    <s v="West"/>
    <s v="Suman"/>
    <n v="8"/>
    <n v="5555"/>
    <n v="44440"/>
    <n v="44440"/>
  </r>
  <r>
    <n v="12545"/>
    <x v="199"/>
    <x v="1"/>
    <s v="South"/>
    <s v="Priya"/>
    <n v="6"/>
    <n v="52307"/>
    <n v="313842"/>
    <n v="313842"/>
  </r>
  <r>
    <n v="12546"/>
    <x v="213"/>
    <x v="1"/>
    <s v="East"/>
    <s v="Rani"/>
    <n v="16"/>
    <n v="17593"/>
    <n v="281488"/>
    <n v="281488"/>
  </r>
  <r>
    <n v="12547"/>
    <x v="66"/>
    <x v="0"/>
    <s v="East"/>
    <s v="Rahul"/>
    <n v="11"/>
    <n v="59176"/>
    <n v="650936"/>
    <n v="650936"/>
  </r>
  <r>
    <n v="12548"/>
    <x v="38"/>
    <x v="5"/>
    <s v="North"/>
    <s v="Suman"/>
    <n v="8"/>
    <n v="40305"/>
    <n v="322440"/>
    <n v="322440"/>
  </r>
  <r>
    <n v="12549"/>
    <x v="347"/>
    <x v="6"/>
    <s v="North"/>
    <s v="Amit"/>
    <n v="18"/>
    <n v="18697"/>
    <n v="336546"/>
    <n v="336546"/>
  </r>
  <r>
    <n v="12550"/>
    <x v="147"/>
    <x v="3"/>
    <s v="East"/>
    <s v="Amit"/>
    <n v="9"/>
    <n v="53219"/>
    <n v="478971"/>
    <n v="478971"/>
  </r>
  <r>
    <n v="12551"/>
    <x v="329"/>
    <x v="1"/>
    <s v="East"/>
    <s v="Rahul"/>
    <n v="15"/>
    <n v="27851"/>
    <n v="417765"/>
    <n v="417765"/>
  </r>
  <r>
    <n v="12552"/>
    <x v="116"/>
    <x v="3"/>
    <s v="West"/>
    <s v="Rani"/>
    <n v="12"/>
    <n v="33068"/>
    <n v="396816"/>
    <n v="396816"/>
  </r>
  <r>
    <n v="12553"/>
    <x v="120"/>
    <x v="4"/>
    <s v="South"/>
    <s v="Rani"/>
    <n v="9"/>
    <n v="15602"/>
    <n v="140418"/>
    <n v="140418"/>
  </r>
  <r>
    <n v="12554"/>
    <x v="95"/>
    <x v="6"/>
    <s v="South"/>
    <s v="Amit"/>
    <n v="14"/>
    <n v="31356"/>
    <n v="438984"/>
    <n v="438984"/>
  </r>
  <r>
    <n v="12555"/>
    <x v="12"/>
    <x v="6"/>
    <s v="East"/>
    <s v="Amit"/>
    <n v="10"/>
    <n v="3077"/>
    <n v="30770"/>
    <n v="30770"/>
  </r>
  <r>
    <n v="12556"/>
    <x v="310"/>
    <x v="0"/>
    <s v="South"/>
    <s v="Amit"/>
    <n v="2"/>
    <n v="59664"/>
    <n v="119328"/>
    <n v="119328"/>
  </r>
  <r>
    <n v="12557"/>
    <x v="233"/>
    <x v="1"/>
    <s v="East"/>
    <s v="Rahul"/>
    <n v="10"/>
    <n v="7499"/>
    <n v="74990"/>
    <n v="74990"/>
  </r>
  <r>
    <n v="12558"/>
    <x v="210"/>
    <x v="4"/>
    <s v="West"/>
    <s v="Amit"/>
    <n v="3"/>
    <n v="29404"/>
    <n v="88212"/>
    <n v="88212"/>
  </r>
  <r>
    <n v="12559"/>
    <x v="30"/>
    <x v="4"/>
    <s v="East"/>
    <s v="Suman"/>
    <n v="15"/>
    <n v="3138"/>
    <n v="47070"/>
    <n v="47070"/>
  </r>
  <r>
    <n v="12560"/>
    <x v="257"/>
    <x v="0"/>
    <s v="West"/>
    <s v="Suman"/>
    <n v="17"/>
    <n v="36451"/>
    <n v="619667"/>
    <n v="619667"/>
  </r>
  <r>
    <n v="12561"/>
    <x v="178"/>
    <x v="1"/>
    <s v="North"/>
    <s v="Anita"/>
    <n v="19"/>
    <n v="24874"/>
    <n v="472606"/>
    <n v="472606"/>
  </r>
  <r>
    <n v="12562"/>
    <x v="102"/>
    <x v="0"/>
    <s v="North"/>
    <s v="Suman"/>
    <n v="20"/>
    <n v="6323"/>
    <n v="126460"/>
    <n v="126460"/>
  </r>
  <r>
    <n v="12563"/>
    <x v="312"/>
    <x v="3"/>
    <s v="East"/>
    <s v="Amit"/>
    <n v="15"/>
    <n v="57129"/>
    <n v="856935"/>
    <n v="856935"/>
  </r>
  <r>
    <n v="12564"/>
    <x v="147"/>
    <x v="3"/>
    <s v="East"/>
    <s v="Anita"/>
    <n v="13"/>
    <n v="35151"/>
    <n v="456963"/>
    <n v="456963"/>
  </r>
  <r>
    <n v="12565"/>
    <x v="339"/>
    <x v="2"/>
    <s v="North"/>
    <s v="Rahul"/>
    <n v="1"/>
    <n v="55518"/>
    <n v="55518"/>
    <n v="55518"/>
  </r>
  <r>
    <n v="12566"/>
    <x v="168"/>
    <x v="4"/>
    <s v="West"/>
    <s v="Rahul"/>
    <n v="8"/>
    <n v="46404"/>
    <n v="371232"/>
    <n v="371232"/>
  </r>
  <r>
    <n v="12567"/>
    <x v="40"/>
    <x v="3"/>
    <s v="East"/>
    <s v="Rani"/>
    <n v="16"/>
    <n v="24155"/>
    <n v="386480"/>
    <n v="386480"/>
  </r>
  <r>
    <n v="12568"/>
    <x v="109"/>
    <x v="2"/>
    <s v="East"/>
    <s v="Suman"/>
    <n v="2"/>
    <n v="8573"/>
    <n v="17146"/>
    <n v="17146"/>
  </r>
  <r>
    <n v="12569"/>
    <x v="70"/>
    <x v="3"/>
    <s v="South"/>
    <s v="Rahul"/>
    <n v="11"/>
    <n v="21924"/>
    <n v="241164"/>
    <n v="241164"/>
  </r>
  <r>
    <n v="12570"/>
    <x v="336"/>
    <x v="2"/>
    <s v="West"/>
    <s v="Priya"/>
    <n v="11"/>
    <n v="45174"/>
    <n v="496914"/>
    <n v="496914"/>
  </r>
  <r>
    <n v="12571"/>
    <x v="222"/>
    <x v="5"/>
    <s v="West"/>
    <s v="Amit"/>
    <n v="2"/>
    <n v="6739"/>
    <n v="13478"/>
    <n v="13478"/>
  </r>
  <r>
    <n v="12572"/>
    <x v="65"/>
    <x v="4"/>
    <s v="South"/>
    <s v="Amit"/>
    <n v="15"/>
    <n v="40943"/>
    <n v="614145"/>
    <n v="614145"/>
  </r>
  <r>
    <n v="12573"/>
    <x v="62"/>
    <x v="2"/>
    <s v="West"/>
    <s v="Priya"/>
    <n v="9"/>
    <n v="51914"/>
    <n v="467226"/>
    <n v="467226"/>
  </r>
  <r>
    <n v="12574"/>
    <x v="270"/>
    <x v="5"/>
    <s v="West"/>
    <s v="Priya"/>
    <n v="8"/>
    <n v="8507"/>
    <n v="68056"/>
    <n v="68056"/>
  </r>
  <r>
    <n v="12575"/>
    <x v="355"/>
    <x v="3"/>
    <s v="East"/>
    <s v="Rahul"/>
    <n v="15"/>
    <n v="47557"/>
    <n v="713355"/>
    <n v="713355"/>
  </r>
  <r>
    <n v="12576"/>
    <x v="38"/>
    <x v="1"/>
    <s v="South"/>
    <s v="Amit"/>
    <n v="8"/>
    <n v="26946"/>
    <n v="215568"/>
    <n v="215568"/>
  </r>
  <r>
    <n v="12577"/>
    <x v="10"/>
    <x v="5"/>
    <s v="East"/>
    <s v="Priya"/>
    <n v="12"/>
    <n v="49827"/>
    <n v="597924"/>
    <n v="597924"/>
  </r>
  <r>
    <n v="12578"/>
    <x v="93"/>
    <x v="4"/>
    <s v="South"/>
    <s v="Suman"/>
    <n v="4"/>
    <n v="29244"/>
    <n v="116976"/>
    <n v="116976"/>
  </r>
  <r>
    <n v="12579"/>
    <x v="15"/>
    <x v="4"/>
    <s v="West"/>
    <s v="Rahul"/>
    <n v="11"/>
    <n v="43787"/>
    <n v="481657"/>
    <n v="481657"/>
  </r>
  <r>
    <n v="12580"/>
    <x v="329"/>
    <x v="6"/>
    <s v="North"/>
    <s v="Rani"/>
    <n v="3"/>
    <n v="45893"/>
    <n v="137679"/>
    <n v="137679"/>
  </r>
  <r>
    <n v="12581"/>
    <x v="308"/>
    <x v="0"/>
    <s v="South"/>
    <s v="Priya"/>
    <n v="3"/>
    <n v="15193"/>
    <n v="45579"/>
    <n v="45579"/>
  </r>
  <r>
    <n v="12582"/>
    <x v="364"/>
    <x v="2"/>
    <s v="East"/>
    <s v="Priya"/>
    <n v="13"/>
    <n v="34945"/>
    <n v="454285"/>
    <n v="454285"/>
  </r>
  <r>
    <n v="12583"/>
    <x v="189"/>
    <x v="3"/>
    <s v="South"/>
    <s v="Amit"/>
    <n v="9"/>
    <n v="56116"/>
    <n v="505044"/>
    <n v="505044"/>
  </r>
  <r>
    <n v="12584"/>
    <x v="44"/>
    <x v="1"/>
    <s v="East"/>
    <s v="Priya"/>
    <n v="20"/>
    <n v="5713"/>
    <n v="114260"/>
    <n v="114260"/>
  </r>
  <r>
    <n v="12585"/>
    <x v="339"/>
    <x v="2"/>
    <s v="East"/>
    <s v="Suman"/>
    <n v="15"/>
    <n v="2184"/>
    <n v="32760"/>
    <n v="32760"/>
  </r>
  <r>
    <n v="12586"/>
    <x v="315"/>
    <x v="4"/>
    <s v="South"/>
    <s v="Rani"/>
    <n v="11"/>
    <n v="39238"/>
    <n v="431618"/>
    <n v="431618"/>
  </r>
  <r>
    <n v="12587"/>
    <x v="309"/>
    <x v="6"/>
    <s v="East"/>
    <s v="Priya"/>
    <n v="13"/>
    <n v="33993"/>
    <n v="441909"/>
    <n v="441909"/>
  </r>
  <r>
    <n v="12588"/>
    <x v="247"/>
    <x v="2"/>
    <s v="North"/>
    <s v="Amit"/>
    <n v="14"/>
    <n v="44653"/>
    <n v="625142"/>
    <n v="625142"/>
  </r>
  <r>
    <n v="12589"/>
    <x v="142"/>
    <x v="1"/>
    <s v="West"/>
    <s v="Amit"/>
    <n v="12"/>
    <n v="30718"/>
    <n v="368616"/>
    <n v="368616"/>
  </r>
  <r>
    <n v="12590"/>
    <x v="36"/>
    <x v="4"/>
    <s v="West"/>
    <s v="Rani"/>
    <n v="19"/>
    <n v="21779"/>
    <n v="413801"/>
    <n v="413801"/>
  </r>
  <r>
    <n v="12591"/>
    <x v="204"/>
    <x v="2"/>
    <s v="North"/>
    <s v="Suman"/>
    <n v="19"/>
    <n v="54715"/>
    <n v="1039585"/>
    <n v="1039585"/>
  </r>
  <r>
    <n v="12592"/>
    <x v="80"/>
    <x v="2"/>
    <s v="North"/>
    <s v="Rani"/>
    <n v="15"/>
    <n v="25995"/>
    <n v="389925"/>
    <n v="389925"/>
  </r>
  <r>
    <n v="12593"/>
    <x v="38"/>
    <x v="2"/>
    <s v="South"/>
    <s v="Rahul"/>
    <n v="18"/>
    <n v="18892"/>
    <n v="340056"/>
    <n v="340056"/>
  </r>
  <r>
    <n v="12594"/>
    <x v="110"/>
    <x v="2"/>
    <s v="East"/>
    <s v="Suman"/>
    <n v="10"/>
    <n v="53176"/>
    <n v="531760"/>
    <n v="531760"/>
  </r>
  <r>
    <n v="12595"/>
    <x v="293"/>
    <x v="3"/>
    <s v="West"/>
    <s v="Rahul"/>
    <n v="2"/>
    <n v="52757"/>
    <n v="105514"/>
    <n v="105514"/>
  </r>
  <r>
    <n v="12596"/>
    <x v="343"/>
    <x v="3"/>
    <s v="East"/>
    <s v="Rani"/>
    <n v="18"/>
    <n v="13418"/>
    <n v="241524"/>
    <n v="241524"/>
  </r>
  <r>
    <n v="12597"/>
    <x v="150"/>
    <x v="6"/>
    <s v="East"/>
    <s v="Suman"/>
    <n v="13"/>
    <n v="28143"/>
    <n v="365859"/>
    <n v="365859"/>
  </r>
  <r>
    <n v="12598"/>
    <x v="346"/>
    <x v="1"/>
    <s v="East"/>
    <s v="Rani"/>
    <n v="7"/>
    <n v="22266"/>
    <n v="155862"/>
    <n v="155862"/>
  </r>
  <r>
    <n v="12599"/>
    <x v="304"/>
    <x v="0"/>
    <s v="North"/>
    <s v="Suman"/>
    <n v="1"/>
    <n v="7388"/>
    <n v="7388"/>
    <n v="7388"/>
  </r>
  <r>
    <n v="12600"/>
    <x v="125"/>
    <x v="2"/>
    <s v="South"/>
    <s v="Rahul"/>
    <n v="1"/>
    <n v="21699"/>
    <n v="21699"/>
    <n v="21699"/>
  </r>
  <r>
    <n v="12601"/>
    <x v="303"/>
    <x v="6"/>
    <s v="West"/>
    <s v="Suman"/>
    <n v="15"/>
    <n v="9856"/>
    <n v="147840"/>
    <n v="147840"/>
  </r>
  <r>
    <n v="12602"/>
    <x v="219"/>
    <x v="2"/>
    <s v="North"/>
    <s v="Anita"/>
    <n v="7"/>
    <n v="23582"/>
    <n v="165074"/>
    <n v="165074"/>
  </r>
  <r>
    <n v="12603"/>
    <x v="344"/>
    <x v="0"/>
    <s v="West"/>
    <s v="Priya"/>
    <n v="18"/>
    <n v="36336"/>
    <n v="654048"/>
    <n v="654048"/>
  </r>
  <r>
    <n v="12604"/>
    <x v="51"/>
    <x v="6"/>
    <s v="West"/>
    <s v="Rahul"/>
    <n v="20"/>
    <n v="44470"/>
    <n v="889400"/>
    <n v="889400"/>
  </r>
  <r>
    <n v="12605"/>
    <x v="105"/>
    <x v="2"/>
    <s v="East"/>
    <s v="Rani"/>
    <n v="6"/>
    <n v="48363"/>
    <n v="290178"/>
    <n v="290178"/>
  </r>
  <r>
    <n v="12606"/>
    <x v="198"/>
    <x v="3"/>
    <s v="East"/>
    <s v="Suman"/>
    <n v="11"/>
    <n v="7626"/>
    <n v="83886"/>
    <n v="83886"/>
  </r>
  <r>
    <n v="12607"/>
    <x v="180"/>
    <x v="0"/>
    <s v="West"/>
    <s v="Anita"/>
    <n v="9"/>
    <n v="49876"/>
    <n v="448884"/>
    <n v="448884"/>
  </r>
  <r>
    <n v="12608"/>
    <x v="260"/>
    <x v="1"/>
    <s v="South"/>
    <s v="Anita"/>
    <n v="12"/>
    <n v="3869"/>
    <n v="46428"/>
    <n v="46428"/>
  </r>
  <r>
    <n v="12609"/>
    <x v="76"/>
    <x v="3"/>
    <s v="East"/>
    <s v="Priya"/>
    <n v="17"/>
    <n v="43774"/>
    <n v="744158"/>
    <n v="744158"/>
  </r>
  <r>
    <n v="12610"/>
    <x v="334"/>
    <x v="1"/>
    <s v="East"/>
    <s v="Suman"/>
    <n v="2"/>
    <n v="29580"/>
    <n v="59160"/>
    <n v="59160"/>
  </r>
  <r>
    <n v="12611"/>
    <x v="46"/>
    <x v="5"/>
    <s v="East"/>
    <s v="Anita"/>
    <n v="16"/>
    <n v="51009"/>
    <n v="816144"/>
    <n v="816144"/>
  </r>
  <r>
    <n v="12612"/>
    <x v="280"/>
    <x v="5"/>
    <s v="West"/>
    <s v="Anita"/>
    <n v="3"/>
    <n v="6586"/>
    <n v="19758"/>
    <n v="19758"/>
  </r>
  <r>
    <n v="12613"/>
    <x v="71"/>
    <x v="2"/>
    <s v="South"/>
    <s v="Suman"/>
    <n v="9"/>
    <n v="17157"/>
    <n v="154413"/>
    <n v="154413"/>
  </r>
  <r>
    <n v="12614"/>
    <x v="121"/>
    <x v="1"/>
    <s v="North"/>
    <s v="Anita"/>
    <n v="17"/>
    <n v="57468"/>
    <n v="976956"/>
    <n v="976956"/>
  </r>
  <r>
    <n v="12615"/>
    <x v="287"/>
    <x v="0"/>
    <s v="West"/>
    <s v="Priya"/>
    <n v="6"/>
    <n v="40775"/>
    <n v="244650"/>
    <n v="244650"/>
  </r>
  <r>
    <n v="12616"/>
    <x v="27"/>
    <x v="1"/>
    <s v="South"/>
    <s v="Priya"/>
    <n v="6"/>
    <n v="44813"/>
    <n v="268878"/>
    <n v="268878"/>
  </r>
  <r>
    <n v="12617"/>
    <x v="267"/>
    <x v="1"/>
    <s v="West"/>
    <s v="Suman"/>
    <n v="10"/>
    <n v="12103"/>
    <n v="121030"/>
    <n v="121030"/>
  </r>
  <r>
    <n v="12618"/>
    <x v="205"/>
    <x v="6"/>
    <s v="East"/>
    <s v="Rahul"/>
    <n v="1"/>
    <n v="4983"/>
    <n v="4983"/>
    <n v="4983"/>
  </r>
  <r>
    <n v="12619"/>
    <x v="167"/>
    <x v="6"/>
    <s v="West"/>
    <s v="Priya"/>
    <n v="6"/>
    <n v="31043"/>
    <n v="186258"/>
    <n v="186258"/>
  </r>
  <r>
    <n v="12620"/>
    <x v="269"/>
    <x v="0"/>
    <s v="South"/>
    <s v="Priya"/>
    <n v="4"/>
    <n v="34768"/>
    <n v="139072"/>
    <n v="139072"/>
  </r>
  <r>
    <n v="12621"/>
    <x v="46"/>
    <x v="2"/>
    <s v="South"/>
    <s v="Rahul"/>
    <n v="16"/>
    <n v="24866"/>
    <n v="397856"/>
    <n v="397856"/>
  </r>
  <r>
    <n v="12622"/>
    <x v="42"/>
    <x v="6"/>
    <s v="North"/>
    <s v="Rani"/>
    <n v="15"/>
    <n v="54573"/>
    <n v="818595"/>
    <n v="818595"/>
  </r>
  <r>
    <n v="12623"/>
    <x v="88"/>
    <x v="6"/>
    <s v="South"/>
    <s v="Anita"/>
    <n v="4"/>
    <n v="598"/>
    <n v="2392"/>
    <n v="2392"/>
  </r>
  <r>
    <n v="12624"/>
    <x v="269"/>
    <x v="2"/>
    <s v="East"/>
    <s v="Priya"/>
    <n v="10"/>
    <n v="18348"/>
    <n v="183480"/>
    <n v="183480"/>
  </r>
  <r>
    <n v="12625"/>
    <x v="115"/>
    <x v="0"/>
    <s v="North"/>
    <s v="Suman"/>
    <n v="17"/>
    <n v="12401"/>
    <n v="210817"/>
    <n v="210817"/>
  </r>
  <r>
    <n v="12626"/>
    <x v="195"/>
    <x v="5"/>
    <s v="North"/>
    <s v="Rani"/>
    <n v="16"/>
    <n v="25826"/>
    <n v="413216"/>
    <n v="413216"/>
  </r>
  <r>
    <n v="12627"/>
    <x v="38"/>
    <x v="3"/>
    <s v="East"/>
    <s v="Rahul"/>
    <n v="4"/>
    <n v="18943"/>
    <n v="75772"/>
    <n v="75772"/>
  </r>
  <r>
    <n v="12628"/>
    <x v="360"/>
    <x v="3"/>
    <s v="South"/>
    <s v="Amit"/>
    <n v="19"/>
    <n v="17868"/>
    <n v="339492"/>
    <n v="339492"/>
  </r>
  <r>
    <n v="12629"/>
    <x v="363"/>
    <x v="5"/>
    <s v="South"/>
    <s v="Rahul"/>
    <n v="19"/>
    <n v="7854"/>
    <n v="149226"/>
    <n v="149226"/>
  </r>
  <r>
    <n v="12630"/>
    <x v="122"/>
    <x v="2"/>
    <s v="West"/>
    <s v="Priya"/>
    <n v="19"/>
    <n v="11290"/>
    <n v="214510"/>
    <n v="214510"/>
  </r>
  <r>
    <n v="12631"/>
    <x v="180"/>
    <x v="1"/>
    <s v="North"/>
    <s v="Anita"/>
    <n v="20"/>
    <n v="44535"/>
    <n v="890700"/>
    <n v="890700"/>
  </r>
  <r>
    <n v="12632"/>
    <x v="103"/>
    <x v="6"/>
    <s v="West"/>
    <s v="Rani"/>
    <n v="19"/>
    <n v="8456"/>
    <n v="160664"/>
    <n v="160664"/>
  </r>
  <r>
    <n v="12633"/>
    <x v="173"/>
    <x v="5"/>
    <s v="East"/>
    <s v="Rahul"/>
    <n v="1"/>
    <n v="5110"/>
    <n v="5110"/>
    <n v="5110"/>
  </r>
  <r>
    <n v="12634"/>
    <x v="246"/>
    <x v="5"/>
    <s v="South"/>
    <s v="Rani"/>
    <n v="17"/>
    <n v="31414"/>
    <n v="534038"/>
    <n v="534038"/>
  </r>
  <r>
    <n v="12635"/>
    <x v="186"/>
    <x v="6"/>
    <s v="East"/>
    <s v="Priya"/>
    <n v="5"/>
    <n v="25931"/>
    <n v="129655"/>
    <n v="129655"/>
  </r>
  <r>
    <n v="12636"/>
    <x v="217"/>
    <x v="0"/>
    <s v="South"/>
    <s v="Rahul"/>
    <n v="7"/>
    <n v="1403"/>
    <n v="9821"/>
    <n v="9821"/>
  </r>
  <r>
    <n v="12637"/>
    <x v="8"/>
    <x v="5"/>
    <s v="North"/>
    <s v="Amit"/>
    <n v="13"/>
    <n v="28180"/>
    <n v="366340"/>
    <n v="366340"/>
  </r>
  <r>
    <n v="12638"/>
    <x v="83"/>
    <x v="5"/>
    <s v="South"/>
    <s v="Amit"/>
    <n v="3"/>
    <n v="49270"/>
    <n v="147810"/>
    <n v="147810"/>
  </r>
  <r>
    <n v="12639"/>
    <x v="261"/>
    <x v="4"/>
    <s v="North"/>
    <s v="Rani"/>
    <n v="2"/>
    <n v="2127"/>
    <n v="4254"/>
    <n v="4254"/>
  </r>
  <r>
    <n v="12640"/>
    <x v="280"/>
    <x v="3"/>
    <s v="East"/>
    <s v="Suman"/>
    <n v="12"/>
    <n v="8658"/>
    <n v="103896"/>
    <n v="103896"/>
  </r>
  <r>
    <n v="12641"/>
    <x v="212"/>
    <x v="2"/>
    <s v="South"/>
    <s v="Priya"/>
    <n v="3"/>
    <n v="19819"/>
    <n v="59457"/>
    <n v="59457"/>
  </r>
  <r>
    <n v="12642"/>
    <x v="319"/>
    <x v="4"/>
    <s v="South"/>
    <s v="Suman"/>
    <n v="7"/>
    <n v="22774"/>
    <n v="159418"/>
    <n v="159418"/>
  </r>
  <r>
    <n v="12643"/>
    <x v="46"/>
    <x v="6"/>
    <s v="East"/>
    <s v="Suman"/>
    <n v="10"/>
    <n v="13821"/>
    <n v="138210"/>
    <n v="138210"/>
  </r>
  <r>
    <n v="12644"/>
    <x v="287"/>
    <x v="5"/>
    <s v="North"/>
    <s v="Suman"/>
    <n v="10"/>
    <n v="9620"/>
    <n v="96200"/>
    <n v="96200"/>
  </r>
  <r>
    <n v="12645"/>
    <x v="130"/>
    <x v="4"/>
    <s v="North"/>
    <s v="Anita"/>
    <n v="10"/>
    <n v="22557"/>
    <n v="225570"/>
    <n v="225570"/>
  </r>
  <r>
    <n v="12646"/>
    <x v="211"/>
    <x v="6"/>
    <s v="North"/>
    <s v="Priya"/>
    <n v="17"/>
    <n v="13937"/>
    <n v="236929"/>
    <n v="236929"/>
  </r>
  <r>
    <n v="12647"/>
    <x v="244"/>
    <x v="1"/>
    <s v="South"/>
    <s v="Rani"/>
    <n v="8"/>
    <n v="1551"/>
    <n v="12408"/>
    <n v="12408"/>
  </r>
  <r>
    <n v="12648"/>
    <x v="222"/>
    <x v="2"/>
    <s v="South"/>
    <s v="Rahul"/>
    <n v="8"/>
    <n v="6466"/>
    <n v="51728"/>
    <n v="51728"/>
  </r>
  <r>
    <n v="12649"/>
    <x v="116"/>
    <x v="0"/>
    <s v="North"/>
    <s v="Anita"/>
    <n v="11"/>
    <n v="50677"/>
    <n v="557447"/>
    <n v="557447"/>
  </r>
  <r>
    <n v="12650"/>
    <x v="220"/>
    <x v="3"/>
    <s v="East"/>
    <s v="Anita"/>
    <n v="2"/>
    <n v="18071"/>
    <n v="36142"/>
    <n v="36142"/>
  </r>
  <r>
    <n v="12651"/>
    <x v="319"/>
    <x v="1"/>
    <s v="South"/>
    <s v="Anita"/>
    <n v="18"/>
    <n v="12491"/>
    <n v="224838"/>
    <n v="224838"/>
  </r>
  <r>
    <n v="12652"/>
    <x v="69"/>
    <x v="4"/>
    <s v="South"/>
    <s v="Anita"/>
    <n v="4"/>
    <n v="59596"/>
    <n v="238384"/>
    <n v="238384"/>
  </r>
  <r>
    <n v="12653"/>
    <x v="10"/>
    <x v="6"/>
    <s v="West"/>
    <s v="Amit"/>
    <n v="14"/>
    <n v="9088"/>
    <n v="127232"/>
    <n v="127232"/>
  </r>
  <r>
    <n v="12654"/>
    <x v="132"/>
    <x v="4"/>
    <s v="South"/>
    <s v="Rani"/>
    <n v="3"/>
    <n v="25095"/>
    <n v="75285"/>
    <n v="75285"/>
  </r>
  <r>
    <n v="12655"/>
    <x v="238"/>
    <x v="0"/>
    <s v="South"/>
    <s v="Amit"/>
    <n v="12"/>
    <n v="15364"/>
    <n v="184368"/>
    <n v="184368"/>
  </r>
  <r>
    <n v="12656"/>
    <x v="323"/>
    <x v="2"/>
    <s v="East"/>
    <s v="Rahul"/>
    <n v="1"/>
    <n v="45813"/>
    <n v="45813"/>
    <n v="45813"/>
  </r>
  <r>
    <n v="12657"/>
    <x v="87"/>
    <x v="5"/>
    <s v="East"/>
    <s v="Suman"/>
    <n v="17"/>
    <n v="55383"/>
    <n v="941511"/>
    <n v="941511"/>
  </r>
  <r>
    <n v="12658"/>
    <x v="83"/>
    <x v="0"/>
    <s v="West"/>
    <s v="Amit"/>
    <n v="5"/>
    <n v="17675"/>
    <n v="88375"/>
    <n v="88375"/>
  </r>
  <r>
    <n v="12659"/>
    <x v="288"/>
    <x v="1"/>
    <s v="South"/>
    <s v="Rani"/>
    <n v="9"/>
    <n v="7381"/>
    <n v="66429"/>
    <n v="66429"/>
  </r>
  <r>
    <n v="12660"/>
    <x v="227"/>
    <x v="5"/>
    <s v="North"/>
    <s v="Priya"/>
    <n v="4"/>
    <n v="32212"/>
    <n v="128848"/>
    <n v="128848"/>
  </r>
  <r>
    <n v="12661"/>
    <x v="347"/>
    <x v="5"/>
    <s v="West"/>
    <s v="Suman"/>
    <n v="5"/>
    <n v="45699"/>
    <n v="228495"/>
    <n v="228495"/>
  </r>
  <r>
    <n v="12662"/>
    <x v="91"/>
    <x v="5"/>
    <s v="South"/>
    <s v="Rani"/>
    <n v="14"/>
    <n v="12877"/>
    <n v="180278"/>
    <n v="180278"/>
  </r>
  <r>
    <n v="12663"/>
    <x v="113"/>
    <x v="3"/>
    <s v="North"/>
    <s v="Anita"/>
    <n v="4"/>
    <n v="12060"/>
    <n v="48240"/>
    <n v="48240"/>
  </r>
  <r>
    <n v="12664"/>
    <x v="150"/>
    <x v="2"/>
    <s v="South"/>
    <s v="Rani"/>
    <n v="1"/>
    <n v="57465"/>
    <n v="57465"/>
    <n v="57465"/>
  </r>
  <r>
    <n v="12665"/>
    <x v="63"/>
    <x v="5"/>
    <s v="West"/>
    <s v="Suman"/>
    <n v="16"/>
    <n v="48916"/>
    <n v="782656"/>
    <n v="782656"/>
  </r>
  <r>
    <n v="12666"/>
    <x v="70"/>
    <x v="5"/>
    <s v="East"/>
    <s v="Anita"/>
    <n v="13"/>
    <n v="53244"/>
    <n v="692172"/>
    <n v="692172"/>
  </r>
  <r>
    <n v="12667"/>
    <x v="282"/>
    <x v="1"/>
    <s v="East"/>
    <s v="Suman"/>
    <n v="10"/>
    <n v="5265"/>
    <n v="52650"/>
    <n v="52650"/>
  </r>
  <r>
    <n v="12668"/>
    <x v="335"/>
    <x v="3"/>
    <s v="North"/>
    <s v="Anita"/>
    <n v="1"/>
    <n v="52968"/>
    <n v="52968"/>
    <n v="52968"/>
  </r>
  <r>
    <n v="12669"/>
    <x v="175"/>
    <x v="1"/>
    <s v="West"/>
    <s v="Rahul"/>
    <n v="3"/>
    <n v="54416"/>
    <n v="163248"/>
    <n v="163248"/>
  </r>
  <r>
    <n v="12670"/>
    <x v="57"/>
    <x v="6"/>
    <s v="West"/>
    <s v="Suman"/>
    <n v="12"/>
    <n v="9933"/>
    <n v="119196"/>
    <n v="119196"/>
  </r>
  <r>
    <n v="12671"/>
    <x v="239"/>
    <x v="6"/>
    <s v="South"/>
    <s v="Priya"/>
    <n v="18"/>
    <n v="46894"/>
    <n v="844092"/>
    <n v="844092"/>
  </r>
  <r>
    <n v="12672"/>
    <x v="184"/>
    <x v="3"/>
    <s v="South"/>
    <s v="Rahul"/>
    <n v="4"/>
    <n v="53222"/>
    <n v="212888"/>
    <n v="212888"/>
  </r>
  <r>
    <n v="12673"/>
    <x v="113"/>
    <x v="5"/>
    <s v="East"/>
    <s v="Amit"/>
    <n v="18"/>
    <n v="21563"/>
    <n v="388134"/>
    <n v="388134"/>
  </r>
  <r>
    <n v="12674"/>
    <x v="120"/>
    <x v="3"/>
    <s v="West"/>
    <s v="Priya"/>
    <n v="8"/>
    <n v="53993"/>
    <n v="431944"/>
    <n v="431944"/>
  </r>
  <r>
    <n v="12675"/>
    <x v="288"/>
    <x v="4"/>
    <s v="East"/>
    <s v="Priya"/>
    <n v="9"/>
    <n v="4014"/>
    <n v="36126"/>
    <n v="36126"/>
  </r>
  <r>
    <n v="12676"/>
    <x v="255"/>
    <x v="0"/>
    <s v="South"/>
    <s v="Amit"/>
    <n v="1"/>
    <n v="41550"/>
    <n v="41550"/>
    <n v="41550"/>
  </r>
  <r>
    <n v="12677"/>
    <x v="38"/>
    <x v="0"/>
    <s v="West"/>
    <s v="Rahul"/>
    <n v="11"/>
    <n v="4504"/>
    <n v="49544"/>
    <n v="49544"/>
  </r>
  <r>
    <n v="12678"/>
    <x v="211"/>
    <x v="1"/>
    <s v="North"/>
    <s v="Priya"/>
    <n v="13"/>
    <n v="45129"/>
    <n v="586677"/>
    <n v="586677"/>
  </r>
  <r>
    <n v="12679"/>
    <x v="170"/>
    <x v="6"/>
    <s v="North"/>
    <s v="Suman"/>
    <n v="10"/>
    <n v="53144"/>
    <n v="531440"/>
    <n v="531440"/>
  </r>
  <r>
    <n v="12680"/>
    <x v="127"/>
    <x v="4"/>
    <s v="North"/>
    <s v="Rahul"/>
    <n v="7"/>
    <n v="22888"/>
    <n v="160216"/>
    <n v="160216"/>
  </r>
  <r>
    <n v="12681"/>
    <x v="265"/>
    <x v="1"/>
    <s v="North"/>
    <s v="Rahul"/>
    <n v="7"/>
    <n v="20192"/>
    <n v="141344"/>
    <n v="141344"/>
  </r>
  <r>
    <n v="12682"/>
    <x v="145"/>
    <x v="5"/>
    <s v="West"/>
    <s v="Suman"/>
    <n v="14"/>
    <n v="37249"/>
    <n v="521486"/>
    <n v="521486"/>
  </r>
  <r>
    <n v="12683"/>
    <x v="169"/>
    <x v="6"/>
    <s v="East"/>
    <s v="Suman"/>
    <n v="1"/>
    <n v="33514"/>
    <n v="33514"/>
    <n v="33514"/>
  </r>
  <r>
    <n v="12684"/>
    <x v="335"/>
    <x v="6"/>
    <s v="West"/>
    <s v="Anita"/>
    <n v="4"/>
    <n v="36889"/>
    <n v="147556"/>
    <n v="147556"/>
  </r>
  <r>
    <n v="12685"/>
    <x v="0"/>
    <x v="3"/>
    <s v="East"/>
    <s v="Anita"/>
    <n v="5"/>
    <n v="52123"/>
    <n v="260615"/>
    <n v="260615"/>
  </r>
  <r>
    <n v="12686"/>
    <x v="27"/>
    <x v="4"/>
    <s v="South"/>
    <s v="Rahul"/>
    <n v="13"/>
    <n v="26550"/>
    <n v="345150"/>
    <n v="345150"/>
  </r>
  <r>
    <n v="12687"/>
    <x v="184"/>
    <x v="0"/>
    <s v="East"/>
    <s v="Rahul"/>
    <n v="19"/>
    <n v="43139"/>
    <n v="819641"/>
    <n v="819641"/>
  </r>
  <r>
    <n v="12688"/>
    <x v="309"/>
    <x v="1"/>
    <s v="East"/>
    <s v="Rahul"/>
    <n v="3"/>
    <n v="23473"/>
    <n v="70419"/>
    <n v="70419"/>
  </r>
  <r>
    <n v="12689"/>
    <x v="24"/>
    <x v="4"/>
    <s v="East"/>
    <s v="Anita"/>
    <n v="6"/>
    <n v="18903"/>
    <n v="113418"/>
    <n v="113418"/>
  </r>
  <r>
    <n v="12690"/>
    <x v="359"/>
    <x v="1"/>
    <s v="East"/>
    <s v="Rahul"/>
    <n v="12"/>
    <n v="40914"/>
    <n v="490968"/>
    <n v="490968"/>
  </r>
  <r>
    <n v="12691"/>
    <x v="162"/>
    <x v="2"/>
    <s v="East"/>
    <s v="Suman"/>
    <n v="13"/>
    <n v="39851"/>
    <n v="518063"/>
    <n v="518063"/>
  </r>
  <r>
    <n v="12692"/>
    <x v="67"/>
    <x v="6"/>
    <s v="East"/>
    <s v="Amit"/>
    <n v="8"/>
    <n v="32473"/>
    <n v="259784"/>
    <n v="259784"/>
  </r>
  <r>
    <n v="12693"/>
    <x v="53"/>
    <x v="5"/>
    <s v="North"/>
    <s v="Amit"/>
    <n v="5"/>
    <n v="27838"/>
    <n v="139190"/>
    <n v="139190"/>
  </r>
  <r>
    <n v="12694"/>
    <x v="41"/>
    <x v="2"/>
    <s v="East"/>
    <s v="Rahul"/>
    <n v="1"/>
    <n v="19022"/>
    <n v="19022"/>
    <n v="19022"/>
  </r>
  <r>
    <n v="12695"/>
    <x v="354"/>
    <x v="1"/>
    <s v="South"/>
    <s v="Anita"/>
    <n v="17"/>
    <n v="11767"/>
    <n v="200039"/>
    <n v="200039"/>
  </r>
  <r>
    <n v="12696"/>
    <x v="2"/>
    <x v="5"/>
    <s v="East"/>
    <s v="Suman"/>
    <n v="8"/>
    <n v="50902"/>
    <n v="407216"/>
    <n v="407216"/>
  </r>
  <r>
    <n v="12697"/>
    <x v="23"/>
    <x v="1"/>
    <s v="South"/>
    <s v="Rani"/>
    <n v="6"/>
    <n v="11421"/>
    <n v="68526"/>
    <n v="68526"/>
  </r>
  <r>
    <n v="12698"/>
    <x v="70"/>
    <x v="4"/>
    <s v="South"/>
    <s v="Suman"/>
    <n v="9"/>
    <n v="59353"/>
    <n v="534177"/>
    <n v="534177"/>
  </r>
  <r>
    <n v="12699"/>
    <x v="92"/>
    <x v="3"/>
    <s v="South"/>
    <s v="Suman"/>
    <n v="20"/>
    <n v="2088"/>
    <n v="41760"/>
    <n v="41760"/>
  </r>
  <r>
    <n v="12700"/>
    <x v="162"/>
    <x v="2"/>
    <s v="East"/>
    <s v="Suman"/>
    <n v="1"/>
    <n v="23012"/>
    <n v="23012"/>
    <n v="23012"/>
  </r>
  <r>
    <n v="12701"/>
    <x v="105"/>
    <x v="1"/>
    <s v="North"/>
    <s v="Anita"/>
    <n v="15"/>
    <n v="25452"/>
    <n v="381780"/>
    <n v="381780"/>
  </r>
  <r>
    <n v="12702"/>
    <x v="234"/>
    <x v="1"/>
    <s v="South"/>
    <s v="Priya"/>
    <n v="3"/>
    <n v="42817"/>
    <n v="128451"/>
    <n v="128451"/>
  </r>
  <r>
    <n v="12703"/>
    <x v="305"/>
    <x v="6"/>
    <s v="East"/>
    <s v="Priya"/>
    <n v="9"/>
    <n v="42462"/>
    <n v="382158"/>
    <n v="382158"/>
  </r>
  <r>
    <n v="12704"/>
    <x v="296"/>
    <x v="1"/>
    <s v="South"/>
    <s v="Suman"/>
    <n v="10"/>
    <n v="21122"/>
    <n v="211220"/>
    <n v="211220"/>
  </r>
  <r>
    <n v="12705"/>
    <x v="92"/>
    <x v="6"/>
    <s v="North"/>
    <s v="Amit"/>
    <n v="10"/>
    <n v="8555"/>
    <n v="85550"/>
    <n v="85550"/>
  </r>
  <r>
    <n v="12706"/>
    <x v="173"/>
    <x v="5"/>
    <s v="West"/>
    <s v="Anita"/>
    <n v="1"/>
    <n v="50870"/>
    <n v="50870"/>
    <n v="50870"/>
  </r>
  <r>
    <n v="12707"/>
    <x v="284"/>
    <x v="3"/>
    <s v="East"/>
    <s v="Rani"/>
    <n v="14"/>
    <n v="27332"/>
    <n v="382648"/>
    <n v="382648"/>
  </r>
  <r>
    <n v="12708"/>
    <x v="150"/>
    <x v="3"/>
    <s v="West"/>
    <s v="Suman"/>
    <n v="12"/>
    <n v="46564"/>
    <n v="558768"/>
    <n v="558768"/>
  </r>
  <r>
    <n v="12709"/>
    <x v="6"/>
    <x v="5"/>
    <s v="North"/>
    <s v="Rahul"/>
    <n v="19"/>
    <n v="45470"/>
    <n v="863930"/>
    <n v="863930"/>
  </r>
  <r>
    <n v="12710"/>
    <x v="239"/>
    <x v="5"/>
    <s v="South"/>
    <s v="Rani"/>
    <n v="18"/>
    <n v="1045"/>
    <n v="18810"/>
    <n v="18810"/>
  </r>
  <r>
    <n v="12711"/>
    <x v="153"/>
    <x v="2"/>
    <s v="East"/>
    <s v="Anita"/>
    <n v="11"/>
    <n v="36478"/>
    <n v="401258"/>
    <n v="401258"/>
  </r>
  <r>
    <n v="12712"/>
    <x v="57"/>
    <x v="5"/>
    <s v="North"/>
    <s v="Anita"/>
    <n v="10"/>
    <n v="59127"/>
    <n v="591270"/>
    <n v="591270"/>
  </r>
  <r>
    <n v="12713"/>
    <x v="269"/>
    <x v="4"/>
    <s v="West"/>
    <s v="Rani"/>
    <n v="2"/>
    <n v="15296"/>
    <n v="30592"/>
    <n v="30592"/>
  </r>
  <r>
    <n v="12714"/>
    <x v="100"/>
    <x v="2"/>
    <s v="East"/>
    <s v="Amit"/>
    <n v="12"/>
    <n v="5505"/>
    <n v="66060"/>
    <n v="66060"/>
  </r>
  <r>
    <n v="12715"/>
    <x v="165"/>
    <x v="5"/>
    <s v="North"/>
    <s v="Amit"/>
    <n v="20"/>
    <n v="12120"/>
    <n v="242400"/>
    <n v="242400"/>
  </r>
  <r>
    <n v="12716"/>
    <x v="360"/>
    <x v="6"/>
    <s v="South"/>
    <s v="Rahul"/>
    <n v="3"/>
    <n v="45471"/>
    <n v="136413"/>
    <n v="136413"/>
  </r>
  <r>
    <n v="12717"/>
    <x v="38"/>
    <x v="3"/>
    <s v="West"/>
    <s v="Priya"/>
    <n v="10"/>
    <n v="9046"/>
    <n v="90460"/>
    <n v="90460"/>
  </r>
  <r>
    <n v="12718"/>
    <x v="243"/>
    <x v="3"/>
    <s v="West"/>
    <s v="Amit"/>
    <n v="7"/>
    <n v="9060"/>
    <n v="63420"/>
    <n v="63420"/>
  </r>
  <r>
    <n v="12719"/>
    <x v="66"/>
    <x v="2"/>
    <s v="South"/>
    <s v="Rani"/>
    <n v="10"/>
    <n v="50537"/>
    <n v="505370"/>
    <n v="505370"/>
  </r>
  <r>
    <n v="12720"/>
    <x v="258"/>
    <x v="0"/>
    <s v="West"/>
    <s v="Rahul"/>
    <n v="10"/>
    <n v="57982"/>
    <n v="579820"/>
    <n v="579820"/>
  </r>
  <r>
    <n v="12721"/>
    <x v="93"/>
    <x v="5"/>
    <s v="East"/>
    <s v="Anita"/>
    <n v="18"/>
    <n v="23192"/>
    <n v="417456"/>
    <n v="417456"/>
  </r>
  <r>
    <n v="12722"/>
    <x v="291"/>
    <x v="5"/>
    <s v="South"/>
    <s v="Priya"/>
    <n v="7"/>
    <n v="18344"/>
    <n v="128408"/>
    <n v="128408"/>
  </r>
  <r>
    <n v="12723"/>
    <x v="209"/>
    <x v="5"/>
    <s v="North"/>
    <s v="Rani"/>
    <n v="13"/>
    <n v="8839"/>
    <n v="114907"/>
    <n v="114907"/>
  </r>
  <r>
    <n v="12724"/>
    <x v="92"/>
    <x v="1"/>
    <s v="South"/>
    <s v="Rani"/>
    <n v="12"/>
    <n v="38720"/>
    <n v="464640"/>
    <n v="464640"/>
  </r>
  <r>
    <n v="12725"/>
    <x v="92"/>
    <x v="0"/>
    <s v="North"/>
    <s v="Rahul"/>
    <n v="2"/>
    <n v="21955"/>
    <n v="43910"/>
    <n v="43910"/>
  </r>
  <r>
    <n v="12726"/>
    <x v="202"/>
    <x v="6"/>
    <s v="South"/>
    <s v="Priya"/>
    <n v="17"/>
    <n v="12770"/>
    <n v="217090"/>
    <n v="217090"/>
  </r>
  <r>
    <n v="12727"/>
    <x v="348"/>
    <x v="5"/>
    <s v="South"/>
    <s v="Amit"/>
    <n v="7"/>
    <n v="52773"/>
    <n v="369411"/>
    <n v="369411"/>
  </r>
  <r>
    <n v="12728"/>
    <x v="308"/>
    <x v="1"/>
    <s v="South"/>
    <s v="Priya"/>
    <n v="2"/>
    <n v="22392"/>
    <n v="44784"/>
    <n v="44784"/>
  </r>
  <r>
    <n v="12729"/>
    <x v="285"/>
    <x v="4"/>
    <s v="West"/>
    <s v="Suman"/>
    <n v="20"/>
    <n v="13425"/>
    <n v="268500"/>
    <n v="268500"/>
  </r>
  <r>
    <n v="12730"/>
    <x v="108"/>
    <x v="0"/>
    <s v="South"/>
    <s v="Suman"/>
    <n v="3"/>
    <n v="37310"/>
    <n v="111930"/>
    <n v="111930"/>
  </r>
  <r>
    <n v="12731"/>
    <x v="97"/>
    <x v="3"/>
    <s v="South"/>
    <s v="Rani"/>
    <n v="4"/>
    <n v="46558"/>
    <n v="186232"/>
    <n v="186232"/>
  </r>
  <r>
    <n v="12732"/>
    <x v="131"/>
    <x v="5"/>
    <s v="North"/>
    <s v="Suman"/>
    <n v="19"/>
    <n v="59240"/>
    <n v="1125560"/>
    <n v="1125560"/>
  </r>
  <r>
    <n v="12733"/>
    <x v="76"/>
    <x v="1"/>
    <s v="South"/>
    <s v="Anita"/>
    <n v="9"/>
    <n v="5611"/>
    <n v="50499"/>
    <n v="50499"/>
  </r>
  <r>
    <n v="12734"/>
    <x v="360"/>
    <x v="1"/>
    <s v="East"/>
    <s v="Amit"/>
    <n v="11"/>
    <n v="41493"/>
    <n v="456423"/>
    <n v="456423"/>
  </r>
  <r>
    <n v="12735"/>
    <x v="10"/>
    <x v="2"/>
    <s v="South"/>
    <s v="Rahul"/>
    <n v="8"/>
    <n v="11013"/>
    <n v="88104"/>
    <n v="88104"/>
  </r>
  <r>
    <n v="12736"/>
    <x v="84"/>
    <x v="0"/>
    <s v="North"/>
    <s v="Anita"/>
    <n v="7"/>
    <n v="43806"/>
    <n v="306642"/>
    <n v="306642"/>
  </r>
  <r>
    <n v="12737"/>
    <x v="333"/>
    <x v="3"/>
    <s v="North"/>
    <s v="Suman"/>
    <n v="7"/>
    <n v="52070"/>
    <n v="364490"/>
    <n v="364490"/>
  </r>
  <r>
    <n v="12738"/>
    <x v="5"/>
    <x v="1"/>
    <s v="East"/>
    <s v="Rani"/>
    <n v="7"/>
    <n v="10098"/>
    <n v="70686"/>
    <n v="70686"/>
  </r>
  <r>
    <n v="12739"/>
    <x v="324"/>
    <x v="6"/>
    <s v="North"/>
    <s v="Amit"/>
    <n v="13"/>
    <n v="30387"/>
    <n v="395031"/>
    <n v="395031"/>
  </r>
  <r>
    <n v="12740"/>
    <x v="365"/>
    <x v="6"/>
    <s v="East"/>
    <s v="Anita"/>
    <n v="16"/>
    <n v="24341"/>
    <n v="389456"/>
    <n v="389456"/>
  </r>
  <r>
    <n v="12741"/>
    <x v="0"/>
    <x v="4"/>
    <s v="East"/>
    <s v="Rahul"/>
    <n v="20"/>
    <n v="19225"/>
    <n v="384500"/>
    <n v="384500"/>
  </r>
  <r>
    <n v="12742"/>
    <x v="131"/>
    <x v="4"/>
    <s v="South"/>
    <s v="Anita"/>
    <n v="7"/>
    <n v="55452"/>
    <n v="388164"/>
    <n v="388164"/>
  </r>
  <r>
    <n v="12743"/>
    <x v="327"/>
    <x v="5"/>
    <s v="West"/>
    <s v="Rahul"/>
    <n v="2"/>
    <n v="31089"/>
    <n v="62178"/>
    <n v="62178"/>
  </r>
  <r>
    <n v="12744"/>
    <x v="217"/>
    <x v="3"/>
    <s v="East"/>
    <s v="Anita"/>
    <n v="4"/>
    <n v="51866"/>
    <n v="207464"/>
    <n v="207464"/>
  </r>
  <r>
    <n v="12745"/>
    <x v="158"/>
    <x v="3"/>
    <s v="East"/>
    <s v="Anita"/>
    <n v="6"/>
    <n v="12825"/>
    <n v="76950"/>
    <n v="76950"/>
  </r>
  <r>
    <n v="12746"/>
    <x v="249"/>
    <x v="6"/>
    <s v="North"/>
    <s v="Rani"/>
    <n v="20"/>
    <n v="4501"/>
    <n v="90020"/>
    <n v="90020"/>
  </r>
  <r>
    <n v="12747"/>
    <x v="109"/>
    <x v="6"/>
    <s v="North"/>
    <s v="Amit"/>
    <n v="18"/>
    <n v="22034"/>
    <n v="396612"/>
    <n v="396612"/>
  </r>
  <r>
    <n v="12748"/>
    <x v="338"/>
    <x v="6"/>
    <s v="West"/>
    <s v="Suman"/>
    <n v="9"/>
    <n v="34839"/>
    <n v="313551"/>
    <n v="313551"/>
  </r>
  <r>
    <n v="12749"/>
    <x v="215"/>
    <x v="6"/>
    <s v="North"/>
    <s v="Rahul"/>
    <n v="19"/>
    <n v="12023"/>
    <n v="228437"/>
    <n v="228437"/>
  </r>
  <r>
    <n v="12750"/>
    <x v="89"/>
    <x v="1"/>
    <s v="West"/>
    <s v="Anita"/>
    <n v="5"/>
    <n v="43575"/>
    <n v="217875"/>
    <n v="217875"/>
  </r>
  <r>
    <n v="12751"/>
    <x v="52"/>
    <x v="6"/>
    <s v="South"/>
    <s v="Rahul"/>
    <n v="10"/>
    <n v="28451"/>
    <n v="284510"/>
    <n v="284510"/>
  </r>
  <r>
    <n v="12752"/>
    <x v="335"/>
    <x v="2"/>
    <s v="South"/>
    <s v="Amit"/>
    <n v="8"/>
    <n v="30398"/>
    <n v="243184"/>
    <n v="243184"/>
  </r>
  <r>
    <n v="12753"/>
    <x v="127"/>
    <x v="4"/>
    <s v="North"/>
    <s v="Suman"/>
    <n v="20"/>
    <n v="46734"/>
    <n v="934680"/>
    <n v="934680"/>
  </r>
  <r>
    <n v="12754"/>
    <x v="337"/>
    <x v="0"/>
    <s v="East"/>
    <s v="Priya"/>
    <n v="4"/>
    <n v="55996"/>
    <n v="223984"/>
    <n v="223984"/>
  </r>
  <r>
    <n v="12755"/>
    <x v="94"/>
    <x v="2"/>
    <s v="West"/>
    <s v="Priya"/>
    <n v="1"/>
    <n v="46225"/>
    <n v="46225"/>
    <n v="46225"/>
  </r>
  <r>
    <n v="12756"/>
    <x v="161"/>
    <x v="3"/>
    <s v="West"/>
    <s v="Anita"/>
    <n v="14"/>
    <n v="46792"/>
    <n v="655088"/>
    <n v="655088"/>
  </r>
  <r>
    <n v="12757"/>
    <x v="313"/>
    <x v="4"/>
    <s v="South"/>
    <s v="Suman"/>
    <n v="8"/>
    <n v="36626"/>
    <n v="293008"/>
    <n v="293008"/>
  </r>
  <r>
    <n v="12758"/>
    <x v="197"/>
    <x v="5"/>
    <s v="East"/>
    <s v="Amit"/>
    <n v="18"/>
    <n v="26985"/>
    <n v="485730"/>
    <n v="485730"/>
  </r>
  <r>
    <n v="12759"/>
    <x v="290"/>
    <x v="3"/>
    <s v="North"/>
    <s v="Priya"/>
    <n v="18"/>
    <n v="31264"/>
    <n v="562752"/>
    <n v="562752"/>
  </r>
  <r>
    <n v="12760"/>
    <x v="303"/>
    <x v="1"/>
    <s v="South"/>
    <s v="Priya"/>
    <n v="5"/>
    <n v="22781"/>
    <n v="113905"/>
    <n v="113905"/>
  </r>
  <r>
    <n v="12761"/>
    <x v="32"/>
    <x v="3"/>
    <s v="East"/>
    <s v="Anita"/>
    <n v="14"/>
    <n v="45266"/>
    <n v="633724"/>
    <n v="633724"/>
  </r>
  <r>
    <n v="12762"/>
    <x v="321"/>
    <x v="3"/>
    <s v="East"/>
    <s v="Priya"/>
    <n v="15"/>
    <n v="32726"/>
    <n v="490890"/>
    <n v="490890"/>
  </r>
  <r>
    <n v="12763"/>
    <x v="89"/>
    <x v="6"/>
    <s v="North"/>
    <s v="Rani"/>
    <n v="20"/>
    <n v="42018"/>
    <n v="840360"/>
    <n v="840360"/>
  </r>
  <r>
    <n v="12764"/>
    <x v="325"/>
    <x v="5"/>
    <s v="South"/>
    <s v="Rani"/>
    <n v="6"/>
    <n v="23151"/>
    <n v="138906"/>
    <n v="138906"/>
  </r>
  <r>
    <n v="12765"/>
    <x v="298"/>
    <x v="5"/>
    <s v="South"/>
    <s v="Amit"/>
    <n v="8"/>
    <n v="49029"/>
    <n v="392232"/>
    <n v="392232"/>
  </r>
  <r>
    <n v="12766"/>
    <x v="16"/>
    <x v="2"/>
    <s v="East"/>
    <s v="Rani"/>
    <n v="4"/>
    <n v="54450"/>
    <n v="217800"/>
    <n v="217800"/>
  </r>
  <r>
    <n v="12767"/>
    <x v="169"/>
    <x v="1"/>
    <s v="North"/>
    <s v="Rani"/>
    <n v="17"/>
    <n v="28344"/>
    <n v="481848"/>
    <n v="481848"/>
  </r>
  <r>
    <n v="12768"/>
    <x v="185"/>
    <x v="1"/>
    <s v="South"/>
    <s v="Suman"/>
    <n v="20"/>
    <n v="38359"/>
    <n v="767180"/>
    <n v="767180"/>
  </r>
  <r>
    <n v="12769"/>
    <x v="303"/>
    <x v="6"/>
    <s v="North"/>
    <s v="Suman"/>
    <n v="5"/>
    <n v="47542"/>
    <n v="237710"/>
    <n v="237710"/>
  </r>
  <r>
    <n v="12770"/>
    <x v="0"/>
    <x v="3"/>
    <s v="West"/>
    <s v="Rani"/>
    <n v="6"/>
    <n v="53579"/>
    <n v="321474"/>
    <n v="321474"/>
  </r>
  <r>
    <n v="12771"/>
    <x v="176"/>
    <x v="1"/>
    <s v="South"/>
    <s v="Anita"/>
    <n v="20"/>
    <n v="44808"/>
    <n v="896160"/>
    <n v="896160"/>
  </r>
  <r>
    <n v="12772"/>
    <x v="284"/>
    <x v="1"/>
    <s v="East"/>
    <s v="Anita"/>
    <n v="12"/>
    <n v="18122"/>
    <n v="217464"/>
    <n v="217464"/>
  </r>
  <r>
    <n v="12773"/>
    <x v="209"/>
    <x v="6"/>
    <s v="South"/>
    <s v="Priya"/>
    <n v="19"/>
    <n v="23572"/>
    <n v="447868"/>
    <n v="447868"/>
  </r>
  <r>
    <n v="12774"/>
    <x v="102"/>
    <x v="3"/>
    <s v="East"/>
    <s v="Amit"/>
    <n v="8"/>
    <n v="2673"/>
    <n v="21384"/>
    <n v="21384"/>
  </r>
  <r>
    <n v="12775"/>
    <x v="247"/>
    <x v="6"/>
    <s v="East"/>
    <s v="Amit"/>
    <n v="18"/>
    <n v="9429"/>
    <n v="169722"/>
    <n v="169722"/>
  </r>
  <r>
    <n v="12776"/>
    <x v="15"/>
    <x v="5"/>
    <s v="North"/>
    <s v="Rahul"/>
    <n v="10"/>
    <n v="49278"/>
    <n v="492780"/>
    <n v="492780"/>
  </r>
  <r>
    <n v="12777"/>
    <x v="34"/>
    <x v="4"/>
    <s v="North"/>
    <s v="Rahul"/>
    <n v="13"/>
    <n v="36189"/>
    <n v="470457"/>
    <n v="470457"/>
  </r>
  <r>
    <n v="12778"/>
    <x v="109"/>
    <x v="0"/>
    <s v="East"/>
    <s v="Rani"/>
    <n v="12"/>
    <n v="7729"/>
    <n v="92748"/>
    <n v="92748"/>
  </r>
  <r>
    <n v="12779"/>
    <x v="283"/>
    <x v="0"/>
    <s v="North"/>
    <s v="Rani"/>
    <n v="13"/>
    <n v="8643"/>
    <n v="112359"/>
    <n v="112359"/>
  </r>
  <r>
    <n v="12780"/>
    <x v="254"/>
    <x v="5"/>
    <s v="East"/>
    <s v="Rahul"/>
    <n v="16"/>
    <n v="25908"/>
    <n v="414528"/>
    <n v="414528"/>
  </r>
  <r>
    <n v="12781"/>
    <x v="231"/>
    <x v="5"/>
    <s v="North"/>
    <s v="Anita"/>
    <n v="12"/>
    <n v="13915"/>
    <n v="166980"/>
    <n v="166980"/>
  </r>
  <r>
    <n v="12782"/>
    <x v="224"/>
    <x v="1"/>
    <s v="West"/>
    <s v="Priya"/>
    <n v="12"/>
    <n v="3868"/>
    <n v="46416"/>
    <n v="46416"/>
  </r>
  <r>
    <n v="12783"/>
    <x v="301"/>
    <x v="3"/>
    <s v="North"/>
    <s v="Anita"/>
    <n v="18"/>
    <n v="35462"/>
    <n v="638316"/>
    <n v="638316"/>
  </r>
  <r>
    <n v="12784"/>
    <x v="243"/>
    <x v="1"/>
    <s v="North"/>
    <s v="Amit"/>
    <n v="8"/>
    <n v="58991"/>
    <n v="471928"/>
    <n v="471928"/>
  </r>
  <r>
    <n v="12785"/>
    <x v="344"/>
    <x v="6"/>
    <s v="West"/>
    <s v="Priya"/>
    <n v="7"/>
    <n v="37748"/>
    <n v="264236"/>
    <n v="264236"/>
  </r>
  <r>
    <n v="12786"/>
    <x v="116"/>
    <x v="5"/>
    <s v="North"/>
    <s v="Rani"/>
    <n v="11"/>
    <n v="57600"/>
    <n v="633600"/>
    <n v="633600"/>
  </r>
  <r>
    <n v="12787"/>
    <x v="293"/>
    <x v="6"/>
    <s v="West"/>
    <s v="Suman"/>
    <n v="14"/>
    <n v="53657"/>
    <n v="751198"/>
    <n v="751198"/>
  </r>
  <r>
    <n v="12788"/>
    <x v="308"/>
    <x v="3"/>
    <s v="North"/>
    <s v="Suman"/>
    <n v="18"/>
    <n v="30165"/>
    <n v="542970"/>
    <n v="542970"/>
  </r>
  <r>
    <n v="12789"/>
    <x v="340"/>
    <x v="2"/>
    <s v="North"/>
    <s v="Priya"/>
    <n v="19"/>
    <n v="13806"/>
    <n v="262314"/>
    <n v="262314"/>
  </r>
  <r>
    <n v="12790"/>
    <x v="148"/>
    <x v="5"/>
    <s v="West"/>
    <s v="Anita"/>
    <n v="5"/>
    <n v="5860"/>
    <n v="29300"/>
    <n v="29300"/>
  </r>
  <r>
    <n v="12791"/>
    <x v="316"/>
    <x v="5"/>
    <s v="East"/>
    <s v="Priya"/>
    <n v="7"/>
    <n v="51417"/>
    <n v="359919"/>
    <n v="359919"/>
  </r>
  <r>
    <n v="12792"/>
    <x v="209"/>
    <x v="5"/>
    <s v="South"/>
    <s v="Anita"/>
    <n v="12"/>
    <n v="43880"/>
    <n v="526560"/>
    <n v="526560"/>
  </r>
  <r>
    <n v="12793"/>
    <x v="311"/>
    <x v="2"/>
    <s v="North"/>
    <s v="Suman"/>
    <n v="12"/>
    <n v="15339"/>
    <n v="184068"/>
    <n v="184068"/>
  </r>
  <r>
    <n v="12794"/>
    <x v="164"/>
    <x v="2"/>
    <s v="North"/>
    <s v="Rahul"/>
    <n v="17"/>
    <n v="23007"/>
    <n v="391119"/>
    <n v="391119"/>
  </r>
  <r>
    <n v="12795"/>
    <x v="189"/>
    <x v="0"/>
    <s v="North"/>
    <s v="Amit"/>
    <n v="3"/>
    <n v="48455"/>
    <n v="145365"/>
    <n v="145365"/>
  </r>
  <r>
    <n v="12796"/>
    <x v="327"/>
    <x v="5"/>
    <s v="West"/>
    <s v="Suman"/>
    <n v="2"/>
    <n v="8099"/>
    <n v="16198"/>
    <n v="16198"/>
  </r>
  <r>
    <n v="12797"/>
    <x v="52"/>
    <x v="1"/>
    <s v="North"/>
    <s v="Amit"/>
    <n v="7"/>
    <n v="47882"/>
    <n v="335174"/>
    <n v="335174"/>
  </r>
  <r>
    <n v="12798"/>
    <x v="169"/>
    <x v="1"/>
    <s v="North"/>
    <s v="Rani"/>
    <n v="14"/>
    <n v="35115"/>
    <n v="491610"/>
    <n v="491610"/>
  </r>
  <r>
    <n v="12799"/>
    <x v="336"/>
    <x v="0"/>
    <s v="West"/>
    <s v="Rani"/>
    <n v="7"/>
    <n v="23178"/>
    <n v="162246"/>
    <n v="162246"/>
  </r>
  <r>
    <n v="12800"/>
    <x v="329"/>
    <x v="3"/>
    <s v="West"/>
    <s v="Suman"/>
    <n v="11"/>
    <n v="44020"/>
    <n v="484220"/>
    <n v="484220"/>
  </r>
  <r>
    <n v="12801"/>
    <x v="142"/>
    <x v="0"/>
    <s v="East"/>
    <s v="Rani"/>
    <n v="12"/>
    <n v="14937"/>
    <n v="179244"/>
    <n v="179244"/>
  </r>
  <r>
    <n v="12802"/>
    <x v="253"/>
    <x v="2"/>
    <s v="West"/>
    <s v="Amit"/>
    <n v="20"/>
    <n v="8110"/>
    <n v="162200"/>
    <n v="162200"/>
  </r>
  <r>
    <n v="12803"/>
    <x v="18"/>
    <x v="6"/>
    <s v="West"/>
    <s v="Amit"/>
    <n v="5"/>
    <n v="58184"/>
    <n v="290920"/>
    <n v="290920"/>
  </r>
  <r>
    <n v="12804"/>
    <x v="44"/>
    <x v="4"/>
    <s v="South"/>
    <s v="Priya"/>
    <n v="11"/>
    <n v="46573"/>
    <n v="512303"/>
    <n v="512303"/>
  </r>
  <r>
    <n v="12805"/>
    <x v="116"/>
    <x v="3"/>
    <s v="East"/>
    <s v="Rani"/>
    <n v="19"/>
    <n v="43711"/>
    <n v="830509"/>
    <n v="830509"/>
  </r>
  <r>
    <n v="12806"/>
    <x v="177"/>
    <x v="1"/>
    <s v="West"/>
    <s v="Suman"/>
    <n v="20"/>
    <n v="17788"/>
    <n v="355760"/>
    <n v="355760"/>
  </r>
  <r>
    <n v="12807"/>
    <x v="365"/>
    <x v="0"/>
    <s v="North"/>
    <s v="Rani"/>
    <n v="18"/>
    <n v="39288"/>
    <n v="707184"/>
    <n v="707184"/>
  </r>
  <r>
    <n v="12808"/>
    <x v="365"/>
    <x v="4"/>
    <s v="East"/>
    <s v="Suman"/>
    <n v="12"/>
    <n v="48654"/>
    <n v="583848"/>
    <n v="583848"/>
  </r>
  <r>
    <n v="12809"/>
    <x v="349"/>
    <x v="3"/>
    <s v="West"/>
    <s v="Suman"/>
    <n v="16"/>
    <n v="45781"/>
    <n v="732496"/>
    <n v="732496"/>
  </r>
  <r>
    <n v="12810"/>
    <x v="3"/>
    <x v="2"/>
    <s v="South"/>
    <s v="Amit"/>
    <n v="11"/>
    <n v="34447"/>
    <n v="378917"/>
    <n v="378917"/>
  </r>
  <r>
    <n v="12811"/>
    <x v="331"/>
    <x v="3"/>
    <s v="North"/>
    <s v="Anita"/>
    <n v="15"/>
    <n v="19581"/>
    <n v="293715"/>
    <n v="293715"/>
  </r>
  <r>
    <n v="12812"/>
    <x v="68"/>
    <x v="2"/>
    <s v="West"/>
    <s v="Anita"/>
    <n v="16"/>
    <n v="48095"/>
    <n v="769520"/>
    <n v="769520"/>
  </r>
  <r>
    <n v="12813"/>
    <x v="332"/>
    <x v="6"/>
    <s v="South"/>
    <s v="Rahul"/>
    <n v="3"/>
    <n v="42059"/>
    <n v="126177"/>
    <n v="126177"/>
  </r>
  <r>
    <n v="12814"/>
    <x v="281"/>
    <x v="1"/>
    <s v="East"/>
    <s v="Rani"/>
    <n v="20"/>
    <n v="56565"/>
    <n v="1131300"/>
    <n v="1131300"/>
  </r>
  <r>
    <n v="12815"/>
    <x v="164"/>
    <x v="6"/>
    <s v="South"/>
    <s v="Rani"/>
    <n v="13"/>
    <n v="31512"/>
    <n v="409656"/>
    <n v="409656"/>
  </r>
  <r>
    <n v="12816"/>
    <x v="284"/>
    <x v="1"/>
    <s v="West"/>
    <s v="Anita"/>
    <n v="12"/>
    <n v="20185"/>
    <n v="242220"/>
    <n v="242220"/>
  </r>
  <r>
    <n v="12817"/>
    <x v="135"/>
    <x v="4"/>
    <s v="North"/>
    <s v="Anita"/>
    <n v="11"/>
    <n v="55032"/>
    <n v="605352"/>
    <n v="605352"/>
  </r>
  <r>
    <n v="12818"/>
    <x v="67"/>
    <x v="4"/>
    <s v="West"/>
    <s v="Suman"/>
    <n v="12"/>
    <n v="41735"/>
    <n v="500820"/>
    <n v="500820"/>
  </r>
  <r>
    <n v="12819"/>
    <x v="106"/>
    <x v="3"/>
    <s v="West"/>
    <s v="Amit"/>
    <n v="16"/>
    <n v="11434"/>
    <n v="182944"/>
    <n v="182944"/>
  </r>
  <r>
    <n v="12820"/>
    <x v="25"/>
    <x v="2"/>
    <s v="East"/>
    <s v="Suman"/>
    <n v="20"/>
    <n v="8963"/>
    <n v="179260"/>
    <n v="179260"/>
  </r>
  <r>
    <n v="12821"/>
    <x v="95"/>
    <x v="6"/>
    <s v="East"/>
    <s v="Amit"/>
    <n v="1"/>
    <n v="18528"/>
    <n v="18528"/>
    <n v="18528"/>
  </r>
  <r>
    <n v="12822"/>
    <x v="4"/>
    <x v="3"/>
    <s v="North"/>
    <s v="Rahul"/>
    <n v="9"/>
    <n v="57066"/>
    <n v="513594"/>
    <n v="513594"/>
  </r>
  <r>
    <n v="12823"/>
    <x v="142"/>
    <x v="4"/>
    <s v="South"/>
    <s v="Anita"/>
    <n v="4"/>
    <n v="17146"/>
    <n v="68584"/>
    <n v="68584"/>
  </r>
  <r>
    <n v="12824"/>
    <x v="126"/>
    <x v="3"/>
    <s v="North"/>
    <s v="Priya"/>
    <n v="4"/>
    <n v="17945"/>
    <n v="71780"/>
    <n v="71780"/>
  </r>
  <r>
    <n v="12825"/>
    <x v="24"/>
    <x v="0"/>
    <s v="West"/>
    <s v="Amit"/>
    <n v="5"/>
    <n v="25220"/>
    <n v="126100"/>
    <n v="126100"/>
  </r>
  <r>
    <n v="12826"/>
    <x v="163"/>
    <x v="6"/>
    <s v="West"/>
    <s v="Suman"/>
    <n v="8"/>
    <n v="16394"/>
    <n v="131152"/>
    <n v="131152"/>
  </r>
  <r>
    <n v="12827"/>
    <x v="348"/>
    <x v="4"/>
    <s v="West"/>
    <s v="Amit"/>
    <n v="20"/>
    <n v="36594"/>
    <n v="731880"/>
    <n v="731880"/>
  </r>
  <r>
    <n v="12828"/>
    <x v="218"/>
    <x v="1"/>
    <s v="West"/>
    <s v="Rani"/>
    <n v="5"/>
    <n v="42198"/>
    <n v="210990"/>
    <n v="210990"/>
  </r>
  <r>
    <n v="12829"/>
    <x v="174"/>
    <x v="4"/>
    <s v="North"/>
    <s v="Suman"/>
    <n v="9"/>
    <n v="7817"/>
    <n v="70353"/>
    <n v="70353"/>
  </r>
  <r>
    <n v="12830"/>
    <x v="34"/>
    <x v="3"/>
    <s v="North"/>
    <s v="Anita"/>
    <n v="2"/>
    <n v="42997"/>
    <n v="85994"/>
    <n v="85994"/>
  </r>
  <r>
    <n v="12831"/>
    <x v="112"/>
    <x v="3"/>
    <s v="North"/>
    <s v="Priya"/>
    <n v="6"/>
    <n v="56235"/>
    <n v="337410"/>
    <n v="337410"/>
  </r>
  <r>
    <n v="12832"/>
    <x v="124"/>
    <x v="3"/>
    <s v="West"/>
    <s v="Suman"/>
    <n v="11"/>
    <n v="14104"/>
    <n v="155144"/>
    <n v="155144"/>
  </r>
  <r>
    <n v="12833"/>
    <x v="30"/>
    <x v="5"/>
    <s v="North"/>
    <s v="Suman"/>
    <n v="8"/>
    <n v="13133"/>
    <n v="105064"/>
    <n v="105064"/>
  </r>
  <r>
    <n v="12834"/>
    <x v="358"/>
    <x v="4"/>
    <s v="South"/>
    <s v="Rani"/>
    <n v="15"/>
    <n v="47706"/>
    <n v="715590"/>
    <n v="715590"/>
  </r>
  <r>
    <n v="12835"/>
    <x v="5"/>
    <x v="1"/>
    <s v="East"/>
    <s v="Anita"/>
    <n v="19"/>
    <n v="37726"/>
    <n v="716794"/>
    <n v="716794"/>
  </r>
  <r>
    <n v="12836"/>
    <x v="323"/>
    <x v="0"/>
    <s v="North"/>
    <s v="Priya"/>
    <n v="6"/>
    <n v="501"/>
    <n v="3006"/>
    <n v="3006"/>
  </r>
  <r>
    <n v="12837"/>
    <x v="253"/>
    <x v="3"/>
    <s v="South"/>
    <s v="Rahul"/>
    <n v="9"/>
    <n v="18128"/>
    <n v="163152"/>
    <n v="163152"/>
  </r>
  <r>
    <n v="12838"/>
    <x v="164"/>
    <x v="4"/>
    <s v="North"/>
    <s v="Amit"/>
    <n v="2"/>
    <n v="14867"/>
    <n v="29734"/>
    <n v="29734"/>
  </r>
  <r>
    <n v="12839"/>
    <x v="209"/>
    <x v="3"/>
    <s v="North"/>
    <s v="Suman"/>
    <n v="12"/>
    <n v="9698"/>
    <n v="116376"/>
    <n v="116376"/>
  </r>
  <r>
    <n v="12840"/>
    <x v="286"/>
    <x v="1"/>
    <s v="North"/>
    <s v="Amit"/>
    <n v="4"/>
    <n v="51973"/>
    <n v="207892"/>
    <n v="207892"/>
  </r>
  <r>
    <n v="12841"/>
    <x v="24"/>
    <x v="3"/>
    <s v="East"/>
    <s v="Amit"/>
    <n v="19"/>
    <n v="29185"/>
    <n v="554515"/>
    <n v="554515"/>
  </r>
  <r>
    <n v="12842"/>
    <x v="357"/>
    <x v="2"/>
    <s v="West"/>
    <s v="Rani"/>
    <n v="5"/>
    <n v="54655"/>
    <n v="273275"/>
    <n v="273275"/>
  </r>
  <r>
    <n v="12843"/>
    <x v="201"/>
    <x v="4"/>
    <s v="East"/>
    <s v="Amit"/>
    <n v="8"/>
    <n v="45132"/>
    <n v="361056"/>
    <n v="361056"/>
  </r>
  <r>
    <n v="12844"/>
    <x v="195"/>
    <x v="3"/>
    <s v="South"/>
    <s v="Anita"/>
    <n v="3"/>
    <n v="5183"/>
    <n v="15549"/>
    <n v="15549"/>
  </r>
  <r>
    <n v="12845"/>
    <x v="218"/>
    <x v="0"/>
    <s v="North"/>
    <s v="Amit"/>
    <n v="4"/>
    <n v="21682"/>
    <n v="86728"/>
    <n v="86728"/>
  </r>
  <r>
    <n v="12846"/>
    <x v="267"/>
    <x v="0"/>
    <s v="North"/>
    <s v="Suman"/>
    <n v="14"/>
    <n v="14492"/>
    <n v="202888"/>
    <n v="202888"/>
  </r>
  <r>
    <n v="12847"/>
    <x v="75"/>
    <x v="6"/>
    <s v="South"/>
    <s v="Rani"/>
    <n v="15"/>
    <n v="49541"/>
    <n v="743115"/>
    <n v="743115"/>
  </r>
  <r>
    <n v="12848"/>
    <x v="77"/>
    <x v="0"/>
    <s v="East"/>
    <s v="Priya"/>
    <n v="5"/>
    <n v="48621"/>
    <n v="243105"/>
    <n v="243105"/>
  </r>
  <r>
    <n v="12849"/>
    <x v="120"/>
    <x v="4"/>
    <s v="East"/>
    <s v="Anita"/>
    <n v="4"/>
    <n v="33938"/>
    <n v="135752"/>
    <n v="135752"/>
  </r>
  <r>
    <n v="12850"/>
    <x v="311"/>
    <x v="0"/>
    <s v="North"/>
    <s v="Amit"/>
    <n v="3"/>
    <n v="7552"/>
    <n v="22656"/>
    <n v="22656"/>
  </r>
  <r>
    <n v="12851"/>
    <x v="167"/>
    <x v="6"/>
    <s v="East"/>
    <s v="Rani"/>
    <n v="17"/>
    <n v="44203"/>
    <n v="751451"/>
    <n v="751451"/>
  </r>
  <r>
    <n v="12852"/>
    <x v="223"/>
    <x v="6"/>
    <s v="East"/>
    <s v="Amit"/>
    <n v="5"/>
    <n v="30275"/>
    <n v="151375"/>
    <n v="151375"/>
  </r>
  <r>
    <n v="12853"/>
    <x v="33"/>
    <x v="4"/>
    <s v="South"/>
    <s v="Suman"/>
    <n v="8"/>
    <n v="46176"/>
    <n v="369408"/>
    <n v="369408"/>
  </r>
  <r>
    <n v="12854"/>
    <x v="3"/>
    <x v="3"/>
    <s v="East"/>
    <s v="Anita"/>
    <n v="11"/>
    <n v="39607"/>
    <n v="435677"/>
    <n v="435677"/>
  </r>
  <r>
    <n v="12855"/>
    <x v="25"/>
    <x v="1"/>
    <s v="South"/>
    <s v="Amit"/>
    <n v="2"/>
    <n v="29989"/>
    <n v="59978"/>
    <n v="59978"/>
  </r>
  <r>
    <n v="12856"/>
    <x v="77"/>
    <x v="0"/>
    <s v="North"/>
    <s v="Amit"/>
    <n v="7"/>
    <n v="3726"/>
    <n v="26082"/>
    <n v="26082"/>
  </r>
  <r>
    <n v="12857"/>
    <x v="301"/>
    <x v="1"/>
    <s v="East"/>
    <s v="Anita"/>
    <n v="18"/>
    <n v="25385"/>
    <n v="456930"/>
    <n v="456930"/>
  </r>
  <r>
    <n v="12858"/>
    <x v="178"/>
    <x v="2"/>
    <s v="West"/>
    <s v="Amit"/>
    <n v="3"/>
    <n v="2987"/>
    <n v="8961"/>
    <n v="8961"/>
  </r>
  <r>
    <n v="12859"/>
    <x v="165"/>
    <x v="0"/>
    <s v="South"/>
    <s v="Rahul"/>
    <n v="4"/>
    <n v="24668"/>
    <n v="98672"/>
    <n v="98672"/>
  </r>
  <r>
    <n v="12860"/>
    <x v="319"/>
    <x v="5"/>
    <s v="South"/>
    <s v="Rahul"/>
    <n v="2"/>
    <n v="31705"/>
    <n v="63410"/>
    <n v="63410"/>
  </r>
  <r>
    <n v="12861"/>
    <x v="39"/>
    <x v="6"/>
    <s v="South"/>
    <s v="Rani"/>
    <n v="4"/>
    <n v="19214"/>
    <n v="76856"/>
    <n v="76856"/>
  </r>
  <r>
    <n v="12862"/>
    <x v="290"/>
    <x v="0"/>
    <s v="South"/>
    <s v="Anita"/>
    <n v="16"/>
    <n v="16198"/>
    <n v="259168"/>
    <n v="259168"/>
  </r>
  <r>
    <n v="12863"/>
    <x v="93"/>
    <x v="1"/>
    <s v="West"/>
    <s v="Suman"/>
    <n v="20"/>
    <n v="17776"/>
    <n v="355520"/>
    <n v="355520"/>
  </r>
  <r>
    <n v="12864"/>
    <x v="348"/>
    <x v="1"/>
    <s v="West"/>
    <s v="Rani"/>
    <n v="5"/>
    <n v="10522"/>
    <n v="52610"/>
    <n v="52610"/>
  </r>
  <r>
    <n v="12865"/>
    <x v="155"/>
    <x v="0"/>
    <s v="North"/>
    <s v="Priya"/>
    <n v="15"/>
    <n v="42824"/>
    <n v="642360"/>
    <n v="642360"/>
  </r>
  <r>
    <n v="12866"/>
    <x v="290"/>
    <x v="1"/>
    <s v="East"/>
    <s v="Rani"/>
    <n v="19"/>
    <n v="38670"/>
    <n v="734730"/>
    <n v="734730"/>
  </r>
  <r>
    <n v="12867"/>
    <x v="266"/>
    <x v="6"/>
    <s v="South"/>
    <s v="Anita"/>
    <n v="6"/>
    <n v="39202"/>
    <n v="235212"/>
    <n v="235212"/>
  </r>
  <r>
    <n v="12868"/>
    <x v="43"/>
    <x v="5"/>
    <s v="West"/>
    <s v="Rani"/>
    <n v="6"/>
    <n v="30990"/>
    <n v="185940"/>
    <n v="185940"/>
  </r>
  <r>
    <n v="12869"/>
    <x v="333"/>
    <x v="3"/>
    <s v="South"/>
    <s v="Suman"/>
    <n v="19"/>
    <n v="21208"/>
    <n v="402952"/>
    <n v="402952"/>
  </r>
  <r>
    <n v="12870"/>
    <x v="11"/>
    <x v="6"/>
    <s v="South"/>
    <s v="Priya"/>
    <n v="13"/>
    <n v="7552"/>
    <n v="98176"/>
    <n v="98176"/>
  </r>
  <r>
    <n v="12871"/>
    <x v="17"/>
    <x v="3"/>
    <s v="South"/>
    <s v="Rani"/>
    <n v="4"/>
    <n v="59875"/>
    <n v="239500"/>
    <n v="239500"/>
  </r>
  <r>
    <n v="12872"/>
    <x v="179"/>
    <x v="6"/>
    <s v="South"/>
    <s v="Rani"/>
    <n v="3"/>
    <n v="59655"/>
    <n v="178965"/>
    <n v="178965"/>
  </r>
  <r>
    <n v="12873"/>
    <x v="41"/>
    <x v="0"/>
    <s v="South"/>
    <s v="Priya"/>
    <n v="1"/>
    <n v="59205"/>
    <n v="59205"/>
    <n v="59205"/>
  </r>
  <r>
    <n v="12874"/>
    <x v="221"/>
    <x v="4"/>
    <s v="North"/>
    <s v="Rahul"/>
    <n v="11"/>
    <n v="44837"/>
    <n v="493207"/>
    <n v="493207"/>
  </r>
  <r>
    <n v="12875"/>
    <x v="360"/>
    <x v="2"/>
    <s v="East"/>
    <s v="Amit"/>
    <n v="19"/>
    <n v="22244"/>
    <n v="422636"/>
    <n v="422636"/>
  </r>
  <r>
    <n v="12876"/>
    <x v="186"/>
    <x v="6"/>
    <s v="East"/>
    <s v="Anita"/>
    <n v="10"/>
    <n v="20662"/>
    <n v="206620"/>
    <n v="206620"/>
  </r>
  <r>
    <n v="12877"/>
    <x v="32"/>
    <x v="5"/>
    <s v="South"/>
    <s v="Priya"/>
    <n v="11"/>
    <n v="32145"/>
    <n v="353595"/>
    <n v="353595"/>
  </r>
  <r>
    <n v="12878"/>
    <x v="142"/>
    <x v="6"/>
    <s v="North"/>
    <s v="Suman"/>
    <n v="10"/>
    <n v="59831"/>
    <n v="598310"/>
    <n v="598310"/>
  </r>
  <r>
    <n v="12879"/>
    <x v="330"/>
    <x v="6"/>
    <s v="South"/>
    <s v="Priya"/>
    <n v="19"/>
    <n v="46153"/>
    <n v="876907"/>
    <n v="876907"/>
  </r>
  <r>
    <n v="12880"/>
    <x v="70"/>
    <x v="6"/>
    <s v="East"/>
    <s v="Suman"/>
    <n v="11"/>
    <n v="48965"/>
    <n v="538615"/>
    <n v="538615"/>
  </r>
  <r>
    <n v="12881"/>
    <x v="74"/>
    <x v="1"/>
    <s v="South"/>
    <s v="Suman"/>
    <n v="19"/>
    <n v="2177"/>
    <n v="41363"/>
    <n v="41363"/>
  </r>
  <r>
    <n v="12882"/>
    <x v="318"/>
    <x v="3"/>
    <s v="West"/>
    <s v="Rahul"/>
    <n v="3"/>
    <n v="44751"/>
    <n v="134253"/>
    <n v="134253"/>
  </r>
  <r>
    <n v="12883"/>
    <x v="29"/>
    <x v="4"/>
    <s v="West"/>
    <s v="Amit"/>
    <n v="3"/>
    <n v="8792"/>
    <n v="26376"/>
    <n v="26376"/>
  </r>
  <r>
    <n v="12884"/>
    <x v="263"/>
    <x v="1"/>
    <s v="East"/>
    <s v="Rani"/>
    <n v="5"/>
    <n v="47540"/>
    <n v="237700"/>
    <n v="237700"/>
  </r>
  <r>
    <n v="12885"/>
    <x v="31"/>
    <x v="1"/>
    <s v="East"/>
    <s v="Amit"/>
    <n v="15"/>
    <n v="9200"/>
    <n v="138000"/>
    <n v="138000"/>
  </r>
  <r>
    <n v="12886"/>
    <x v="327"/>
    <x v="0"/>
    <s v="South"/>
    <s v="Suman"/>
    <n v="5"/>
    <n v="51790"/>
    <n v="258950"/>
    <n v="258950"/>
  </r>
  <r>
    <n v="12887"/>
    <x v="329"/>
    <x v="3"/>
    <s v="South"/>
    <s v="Priya"/>
    <n v="14"/>
    <n v="11635"/>
    <n v="162890"/>
    <n v="162890"/>
  </r>
  <r>
    <n v="12888"/>
    <x v="214"/>
    <x v="4"/>
    <s v="West"/>
    <s v="Suman"/>
    <n v="7"/>
    <n v="50435"/>
    <n v="353045"/>
    <n v="353045"/>
  </r>
  <r>
    <n v="12889"/>
    <x v="16"/>
    <x v="1"/>
    <s v="South"/>
    <s v="Anita"/>
    <n v="18"/>
    <n v="45884"/>
    <n v="825912"/>
    <n v="825912"/>
  </r>
  <r>
    <n v="12890"/>
    <x v="19"/>
    <x v="4"/>
    <s v="East"/>
    <s v="Anita"/>
    <n v="8"/>
    <n v="11698"/>
    <n v="93584"/>
    <n v="93584"/>
  </r>
  <r>
    <n v="12891"/>
    <x v="246"/>
    <x v="4"/>
    <s v="West"/>
    <s v="Priya"/>
    <n v="11"/>
    <n v="27703"/>
    <n v="304733"/>
    <n v="304733"/>
  </r>
  <r>
    <n v="12892"/>
    <x v="59"/>
    <x v="1"/>
    <s v="West"/>
    <s v="Rani"/>
    <n v="7"/>
    <n v="24636"/>
    <n v="172452"/>
    <n v="172452"/>
  </r>
  <r>
    <n v="12893"/>
    <x v="354"/>
    <x v="0"/>
    <s v="East"/>
    <s v="Priya"/>
    <n v="15"/>
    <n v="17248"/>
    <n v="258720"/>
    <n v="258720"/>
  </r>
  <r>
    <n v="12894"/>
    <x v="174"/>
    <x v="1"/>
    <s v="East"/>
    <s v="Rani"/>
    <n v="2"/>
    <n v="8573"/>
    <n v="17146"/>
    <n v="17146"/>
  </r>
  <r>
    <n v="12895"/>
    <x v="259"/>
    <x v="1"/>
    <s v="North"/>
    <s v="Rahul"/>
    <n v="4"/>
    <n v="48195"/>
    <n v="192780"/>
    <n v="192780"/>
  </r>
  <r>
    <n v="12896"/>
    <x v="354"/>
    <x v="6"/>
    <s v="East"/>
    <s v="Rahul"/>
    <n v="19"/>
    <n v="13233"/>
    <n v="251427"/>
    <n v="251427"/>
  </r>
  <r>
    <n v="12897"/>
    <x v="270"/>
    <x v="2"/>
    <s v="North"/>
    <s v="Suman"/>
    <n v="14"/>
    <n v="12697"/>
    <n v="177758"/>
    <n v="177758"/>
  </r>
  <r>
    <n v="12898"/>
    <x v="350"/>
    <x v="4"/>
    <s v="South"/>
    <s v="Rani"/>
    <n v="20"/>
    <n v="10808"/>
    <n v="216160"/>
    <n v="216160"/>
  </r>
  <r>
    <n v="12899"/>
    <x v="13"/>
    <x v="3"/>
    <s v="North"/>
    <s v="Anita"/>
    <n v="3"/>
    <n v="5957"/>
    <n v="17871"/>
    <n v="17871"/>
  </r>
  <r>
    <n v="12900"/>
    <x v="319"/>
    <x v="1"/>
    <s v="West"/>
    <s v="Priya"/>
    <n v="8"/>
    <n v="35744"/>
    <n v="285952"/>
    <n v="285952"/>
  </r>
  <r>
    <n v="12901"/>
    <x v="329"/>
    <x v="5"/>
    <s v="South"/>
    <s v="Priya"/>
    <n v="3"/>
    <n v="3752"/>
    <n v="11256"/>
    <n v="11256"/>
  </r>
  <r>
    <n v="12902"/>
    <x v="305"/>
    <x v="6"/>
    <s v="South"/>
    <s v="Rani"/>
    <n v="20"/>
    <n v="24431"/>
    <n v="488620"/>
    <n v="488620"/>
  </r>
  <r>
    <n v="12903"/>
    <x v="259"/>
    <x v="3"/>
    <s v="South"/>
    <s v="Rahul"/>
    <n v="11"/>
    <n v="38582"/>
    <n v="424402"/>
    <n v="424402"/>
  </r>
  <r>
    <n v="12904"/>
    <x v="181"/>
    <x v="0"/>
    <s v="North"/>
    <s v="Priya"/>
    <n v="12"/>
    <n v="3931"/>
    <n v="47172"/>
    <n v="47172"/>
  </r>
  <r>
    <n v="12905"/>
    <x v="333"/>
    <x v="2"/>
    <s v="North"/>
    <s v="Amit"/>
    <n v="9"/>
    <n v="941"/>
    <n v="8469"/>
    <n v="8469"/>
  </r>
  <r>
    <n v="12906"/>
    <x v="123"/>
    <x v="1"/>
    <s v="South"/>
    <s v="Amit"/>
    <n v="1"/>
    <n v="46797"/>
    <n v="46797"/>
    <n v="46797"/>
  </r>
  <r>
    <n v="12907"/>
    <x v="7"/>
    <x v="0"/>
    <s v="West"/>
    <s v="Rani"/>
    <n v="16"/>
    <n v="12101"/>
    <n v="193616"/>
    <n v="193616"/>
  </r>
  <r>
    <n v="12908"/>
    <x v="255"/>
    <x v="4"/>
    <s v="North"/>
    <s v="Rani"/>
    <n v="7"/>
    <n v="18169"/>
    <n v="127183"/>
    <n v="127183"/>
  </r>
  <r>
    <n v="12909"/>
    <x v="136"/>
    <x v="0"/>
    <s v="North"/>
    <s v="Anita"/>
    <n v="7"/>
    <n v="42188"/>
    <n v="295316"/>
    <n v="295316"/>
  </r>
  <r>
    <n v="12910"/>
    <x v="245"/>
    <x v="1"/>
    <s v="West"/>
    <s v="Priya"/>
    <n v="2"/>
    <n v="23020"/>
    <n v="46040"/>
    <n v="46040"/>
  </r>
  <r>
    <n v="12911"/>
    <x v="110"/>
    <x v="4"/>
    <s v="East"/>
    <s v="Amit"/>
    <n v="10"/>
    <n v="14163"/>
    <n v="141630"/>
    <n v="141630"/>
  </r>
  <r>
    <n v="12912"/>
    <x v="199"/>
    <x v="5"/>
    <s v="East"/>
    <s v="Amit"/>
    <n v="19"/>
    <n v="19482"/>
    <n v="370158"/>
    <n v="370158"/>
  </r>
  <r>
    <n v="12913"/>
    <x v="218"/>
    <x v="5"/>
    <s v="East"/>
    <s v="Anita"/>
    <n v="16"/>
    <n v="27522"/>
    <n v="440352"/>
    <n v="440352"/>
  </r>
  <r>
    <n v="12914"/>
    <x v="244"/>
    <x v="4"/>
    <s v="West"/>
    <s v="Rahul"/>
    <n v="16"/>
    <n v="50750"/>
    <n v="812000"/>
    <n v="812000"/>
  </r>
  <r>
    <n v="12915"/>
    <x v="113"/>
    <x v="0"/>
    <s v="North"/>
    <s v="Amit"/>
    <n v="2"/>
    <n v="40886"/>
    <n v="81772"/>
    <n v="81772"/>
  </r>
  <r>
    <n v="12916"/>
    <x v="261"/>
    <x v="5"/>
    <s v="West"/>
    <s v="Priya"/>
    <n v="3"/>
    <n v="23725"/>
    <n v="71175"/>
    <n v="71175"/>
  </r>
  <r>
    <n v="12917"/>
    <x v="128"/>
    <x v="2"/>
    <s v="West"/>
    <s v="Rani"/>
    <n v="9"/>
    <n v="44368"/>
    <n v="399312"/>
    <n v="399312"/>
  </r>
  <r>
    <n v="12918"/>
    <x v="196"/>
    <x v="4"/>
    <s v="West"/>
    <s v="Rani"/>
    <n v="14"/>
    <n v="32432"/>
    <n v="454048"/>
    <n v="454048"/>
  </r>
  <r>
    <n v="12919"/>
    <x v="144"/>
    <x v="0"/>
    <s v="East"/>
    <s v="Anita"/>
    <n v="15"/>
    <n v="12911"/>
    <n v="193665"/>
    <n v="193665"/>
  </r>
  <r>
    <n v="12920"/>
    <x v="117"/>
    <x v="2"/>
    <s v="South"/>
    <s v="Anita"/>
    <n v="1"/>
    <n v="28486"/>
    <n v="28486"/>
    <n v="28486"/>
  </r>
  <r>
    <n v="12921"/>
    <x v="157"/>
    <x v="3"/>
    <s v="West"/>
    <s v="Rahul"/>
    <n v="13"/>
    <n v="39497"/>
    <n v="513461"/>
    <n v="513461"/>
  </r>
  <r>
    <n v="12922"/>
    <x v="7"/>
    <x v="5"/>
    <s v="South"/>
    <s v="Anita"/>
    <n v="6"/>
    <n v="44430"/>
    <n v="266580"/>
    <n v="266580"/>
  </r>
  <r>
    <n v="12923"/>
    <x v="195"/>
    <x v="2"/>
    <s v="East"/>
    <s v="Priya"/>
    <n v="14"/>
    <n v="55760"/>
    <n v="780640"/>
    <n v="780640"/>
  </r>
  <r>
    <n v="12924"/>
    <x v="125"/>
    <x v="5"/>
    <s v="North"/>
    <s v="Priya"/>
    <n v="12"/>
    <n v="18785"/>
    <n v="225420"/>
    <n v="225420"/>
  </r>
  <r>
    <n v="12925"/>
    <x v="199"/>
    <x v="2"/>
    <s v="South"/>
    <s v="Rani"/>
    <n v="7"/>
    <n v="41808"/>
    <n v="292656"/>
    <n v="292656"/>
  </r>
  <r>
    <n v="12926"/>
    <x v="162"/>
    <x v="1"/>
    <s v="South"/>
    <s v="Priya"/>
    <n v="4"/>
    <n v="30869"/>
    <n v="123476"/>
    <n v="123476"/>
  </r>
  <r>
    <n v="12927"/>
    <x v="51"/>
    <x v="3"/>
    <s v="North"/>
    <s v="Rani"/>
    <n v="15"/>
    <n v="41948"/>
    <n v="629220"/>
    <n v="629220"/>
  </r>
  <r>
    <n v="12928"/>
    <x v="21"/>
    <x v="0"/>
    <s v="North"/>
    <s v="Rani"/>
    <n v="6"/>
    <n v="49513"/>
    <n v="297078"/>
    <n v="297078"/>
  </r>
  <r>
    <n v="12929"/>
    <x v="86"/>
    <x v="3"/>
    <s v="South"/>
    <s v="Suman"/>
    <n v="7"/>
    <n v="29889"/>
    <n v="209223"/>
    <n v="209223"/>
  </r>
  <r>
    <n v="12930"/>
    <x v="13"/>
    <x v="4"/>
    <s v="East"/>
    <s v="Rani"/>
    <n v="7"/>
    <n v="2568"/>
    <n v="17976"/>
    <n v="17976"/>
  </r>
  <r>
    <n v="12931"/>
    <x v="309"/>
    <x v="5"/>
    <s v="North"/>
    <s v="Rani"/>
    <n v="4"/>
    <n v="32651"/>
    <n v="130604"/>
    <n v="130604"/>
  </r>
  <r>
    <n v="12932"/>
    <x v="43"/>
    <x v="1"/>
    <s v="South"/>
    <s v="Anita"/>
    <n v="18"/>
    <n v="19799"/>
    <n v="356382"/>
    <n v="356382"/>
  </r>
  <r>
    <n v="12933"/>
    <x v="48"/>
    <x v="1"/>
    <s v="North"/>
    <s v="Rahul"/>
    <n v="1"/>
    <n v="1650"/>
    <n v="1650"/>
    <n v="1650"/>
  </r>
  <r>
    <n v="12934"/>
    <x v="87"/>
    <x v="4"/>
    <s v="West"/>
    <s v="Rahul"/>
    <n v="2"/>
    <n v="15116"/>
    <n v="30232"/>
    <n v="30232"/>
  </r>
  <r>
    <n v="12935"/>
    <x v="151"/>
    <x v="3"/>
    <s v="West"/>
    <s v="Priya"/>
    <n v="15"/>
    <n v="39564"/>
    <n v="593460"/>
    <n v="593460"/>
  </r>
  <r>
    <n v="12936"/>
    <x v="329"/>
    <x v="6"/>
    <s v="North"/>
    <s v="Amit"/>
    <n v="6"/>
    <n v="57255"/>
    <n v="343530"/>
    <n v="343530"/>
  </r>
  <r>
    <n v="12937"/>
    <x v="297"/>
    <x v="3"/>
    <s v="South"/>
    <s v="Anita"/>
    <n v="3"/>
    <n v="42124"/>
    <n v="126372"/>
    <n v="126372"/>
  </r>
  <r>
    <n v="12938"/>
    <x v="308"/>
    <x v="6"/>
    <s v="East"/>
    <s v="Priya"/>
    <n v="2"/>
    <n v="796"/>
    <n v="1592"/>
    <n v="1592"/>
  </r>
  <r>
    <n v="12939"/>
    <x v="115"/>
    <x v="4"/>
    <s v="East"/>
    <s v="Amit"/>
    <n v="3"/>
    <n v="35543"/>
    <n v="106629"/>
    <n v="106629"/>
  </r>
  <r>
    <n v="12940"/>
    <x v="325"/>
    <x v="3"/>
    <s v="South"/>
    <s v="Rani"/>
    <n v="1"/>
    <n v="39492"/>
    <n v="39492"/>
    <n v="39492"/>
  </r>
  <r>
    <n v="12941"/>
    <x v="114"/>
    <x v="3"/>
    <s v="North"/>
    <s v="Suman"/>
    <n v="1"/>
    <n v="1697"/>
    <n v="1697"/>
    <n v="1697"/>
  </r>
  <r>
    <n v="12942"/>
    <x v="135"/>
    <x v="6"/>
    <s v="South"/>
    <s v="Rahul"/>
    <n v="5"/>
    <n v="32096"/>
    <n v="160480"/>
    <n v="160480"/>
  </r>
  <r>
    <n v="12943"/>
    <x v="3"/>
    <x v="1"/>
    <s v="North"/>
    <s v="Anita"/>
    <n v="2"/>
    <n v="49735"/>
    <n v="99470"/>
    <n v="99470"/>
  </r>
  <r>
    <n v="12944"/>
    <x v="333"/>
    <x v="6"/>
    <s v="West"/>
    <s v="Amit"/>
    <n v="8"/>
    <n v="30050"/>
    <n v="240400"/>
    <n v="240400"/>
  </r>
  <r>
    <n v="12945"/>
    <x v="244"/>
    <x v="4"/>
    <s v="North"/>
    <s v="Suman"/>
    <n v="4"/>
    <n v="10812"/>
    <n v="43248"/>
    <n v="43248"/>
  </r>
  <r>
    <n v="12946"/>
    <x v="209"/>
    <x v="6"/>
    <s v="West"/>
    <s v="Rani"/>
    <n v="12"/>
    <n v="44871"/>
    <n v="538452"/>
    <n v="538452"/>
  </r>
  <r>
    <n v="12947"/>
    <x v="329"/>
    <x v="4"/>
    <s v="West"/>
    <s v="Amit"/>
    <n v="13"/>
    <n v="25455"/>
    <n v="330915"/>
    <n v="330915"/>
  </r>
  <r>
    <n v="12948"/>
    <x v="80"/>
    <x v="2"/>
    <s v="West"/>
    <s v="Rahul"/>
    <n v="5"/>
    <n v="55437"/>
    <n v="277185"/>
    <n v="277185"/>
  </r>
  <r>
    <n v="12949"/>
    <x v="83"/>
    <x v="2"/>
    <s v="South"/>
    <s v="Rahul"/>
    <n v="3"/>
    <n v="29397"/>
    <n v="88191"/>
    <n v="88191"/>
  </r>
  <r>
    <n v="12950"/>
    <x v="10"/>
    <x v="3"/>
    <s v="East"/>
    <s v="Priya"/>
    <n v="1"/>
    <n v="56756"/>
    <n v="56756"/>
    <n v="56756"/>
  </r>
  <r>
    <n v="12951"/>
    <x v="42"/>
    <x v="3"/>
    <s v="West"/>
    <s v="Amit"/>
    <n v="9"/>
    <n v="17447"/>
    <n v="157023"/>
    <n v="157023"/>
  </r>
  <r>
    <n v="12952"/>
    <x v="351"/>
    <x v="3"/>
    <s v="South"/>
    <s v="Anita"/>
    <n v="19"/>
    <n v="36035"/>
    <n v="684665"/>
    <n v="684665"/>
  </r>
  <r>
    <n v="12953"/>
    <x v="86"/>
    <x v="3"/>
    <s v="East"/>
    <s v="Suman"/>
    <n v="20"/>
    <n v="30253"/>
    <n v="605060"/>
    <n v="605060"/>
  </r>
  <r>
    <n v="12954"/>
    <x v="33"/>
    <x v="2"/>
    <s v="East"/>
    <s v="Priya"/>
    <n v="4"/>
    <n v="31214"/>
    <n v="124856"/>
    <n v="124856"/>
  </r>
  <r>
    <n v="12955"/>
    <x v="285"/>
    <x v="3"/>
    <s v="East"/>
    <s v="Suman"/>
    <n v="3"/>
    <n v="55646"/>
    <n v="166938"/>
    <n v="166938"/>
  </r>
  <r>
    <n v="12956"/>
    <x v="240"/>
    <x v="5"/>
    <s v="North"/>
    <s v="Priya"/>
    <n v="6"/>
    <n v="42607"/>
    <n v="255642"/>
    <n v="255642"/>
  </r>
  <r>
    <n v="12957"/>
    <x v="359"/>
    <x v="2"/>
    <s v="East"/>
    <s v="Priya"/>
    <n v="17"/>
    <n v="46748"/>
    <n v="794716"/>
    <n v="794716"/>
  </r>
  <r>
    <n v="12958"/>
    <x v="246"/>
    <x v="6"/>
    <s v="East"/>
    <s v="Priya"/>
    <n v="4"/>
    <n v="16456"/>
    <n v="65824"/>
    <n v="65824"/>
  </r>
  <r>
    <n v="12959"/>
    <x v="209"/>
    <x v="2"/>
    <s v="South"/>
    <s v="Anita"/>
    <n v="19"/>
    <n v="53611"/>
    <n v="1018609"/>
    <n v="1018609"/>
  </r>
  <r>
    <n v="12960"/>
    <x v="141"/>
    <x v="0"/>
    <s v="East"/>
    <s v="Anita"/>
    <n v="19"/>
    <n v="27942"/>
    <n v="530898"/>
    <n v="530898"/>
  </r>
  <r>
    <n v="12961"/>
    <x v="23"/>
    <x v="5"/>
    <s v="East"/>
    <s v="Rahul"/>
    <n v="18"/>
    <n v="53050"/>
    <n v="954900"/>
    <n v="954900"/>
  </r>
  <r>
    <n v="12962"/>
    <x v="198"/>
    <x v="5"/>
    <s v="North"/>
    <s v="Amit"/>
    <n v="15"/>
    <n v="35199"/>
    <n v="527985"/>
    <n v="527985"/>
  </r>
  <r>
    <n v="12963"/>
    <x v="289"/>
    <x v="5"/>
    <s v="North"/>
    <s v="Amit"/>
    <n v="19"/>
    <n v="26790"/>
    <n v="509010"/>
    <n v="509010"/>
  </r>
  <r>
    <n v="12964"/>
    <x v="219"/>
    <x v="1"/>
    <s v="North"/>
    <s v="Amit"/>
    <n v="5"/>
    <n v="37647"/>
    <n v="188235"/>
    <n v="188235"/>
  </r>
  <r>
    <n v="12965"/>
    <x v="361"/>
    <x v="4"/>
    <s v="North"/>
    <s v="Anita"/>
    <n v="18"/>
    <n v="23015"/>
    <n v="414270"/>
    <n v="414270"/>
  </r>
  <r>
    <n v="12966"/>
    <x v="133"/>
    <x v="2"/>
    <s v="East"/>
    <s v="Rahul"/>
    <n v="15"/>
    <n v="29976"/>
    <n v="449640"/>
    <n v="449640"/>
  </r>
  <r>
    <n v="12967"/>
    <x v="182"/>
    <x v="2"/>
    <s v="South"/>
    <s v="Rahul"/>
    <n v="18"/>
    <n v="24485"/>
    <n v="440730"/>
    <n v="440730"/>
  </r>
  <r>
    <n v="12968"/>
    <x v="157"/>
    <x v="2"/>
    <s v="South"/>
    <s v="Amit"/>
    <n v="13"/>
    <n v="51636"/>
    <n v="671268"/>
    <n v="671268"/>
  </r>
  <r>
    <n v="12969"/>
    <x v="261"/>
    <x v="4"/>
    <s v="North"/>
    <s v="Rahul"/>
    <n v="6"/>
    <n v="46477"/>
    <n v="278862"/>
    <n v="278862"/>
  </r>
  <r>
    <n v="12970"/>
    <x v="242"/>
    <x v="2"/>
    <s v="South"/>
    <s v="Priya"/>
    <n v="2"/>
    <n v="42512"/>
    <n v="85024"/>
    <n v="85024"/>
  </r>
  <r>
    <n v="12971"/>
    <x v="298"/>
    <x v="6"/>
    <s v="West"/>
    <s v="Amit"/>
    <n v="14"/>
    <n v="14616"/>
    <n v="204624"/>
    <n v="204624"/>
  </r>
  <r>
    <n v="12972"/>
    <x v="214"/>
    <x v="6"/>
    <s v="West"/>
    <s v="Anita"/>
    <n v="10"/>
    <n v="19088"/>
    <n v="190880"/>
    <n v="190880"/>
  </r>
  <r>
    <n v="12973"/>
    <x v="317"/>
    <x v="5"/>
    <s v="North"/>
    <s v="Rani"/>
    <n v="13"/>
    <n v="55561"/>
    <n v="722293"/>
    <n v="722293"/>
  </r>
  <r>
    <n v="12974"/>
    <x v="205"/>
    <x v="0"/>
    <s v="East"/>
    <s v="Amit"/>
    <n v="14"/>
    <n v="9164"/>
    <n v="128296"/>
    <n v="128296"/>
  </r>
  <r>
    <n v="12975"/>
    <x v="319"/>
    <x v="1"/>
    <s v="West"/>
    <s v="Priya"/>
    <n v="14"/>
    <n v="59617"/>
    <n v="834638"/>
    <n v="834638"/>
  </r>
  <r>
    <n v="12976"/>
    <x v="330"/>
    <x v="5"/>
    <s v="South"/>
    <s v="Suman"/>
    <n v="6"/>
    <n v="33643"/>
    <n v="201858"/>
    <n v="201858"/>
  </r>
  <r>
    <n v="12977"/>
    <x v="281"/>
    <x v="2"/>
    <s v="East"/>
    <s v="Amit"/>
    <n v="7"/>
    <n v="9609"/>
    <n v="67263"/>
    <n v="67263"/>
  </r>
  <r>
    <n v="12978"/>
    <x v="129"/>
    <x v="1"/>
    <s v="South"/>
    <s v="Suman"/>
    <n v="19"/>
    <n v="34404"/>
    <n v="653676"/>
    <n v="653676"/>
  </r>
  <r>
    <n v="12979"/>
    <x v="76"/>
    <x v="0"/>
    <s v="West"/>
    <s v="Anita"/>
    <n v="9"/>
    <n v="44929"/>
    <n v="404361"/>
    <n v="404361"/>
  </r>
  <r>
    <n v="12980"/>
    <x v="315"/>
    <x v="5"/>
    <s v="West"/>
    <s v="Rani"/>
    <n v="20"/>
    <n v="29966"/>
    <n v="599320"/>
    <n v="599320"/>
  </r>
  <r>
    <n v="12981"/>
    <x v="325"/>
    <x v="2"/>
    <s v="West"/>
    <s v="Anita"/>
    <n v="15"/>
    <n v="21500"/>
    <n v="322500"/>
    <n v="322500"/>
  </r>
  <r>
    <n v="12982"/>
    <x v="156"/>
    <x v="5"/>
    <s v="East"/>
    <s v="Suman"/>
    <n v="2"/>
    <n v="6763"/>
    <n v="13526"/>
    <n v="13526"/>
  </r>
  <r>
    <n v="12983"/>
    <x v="280"/>
    <x v="5"/>
    <s v="East"/>
    <s v="Anita"/>
    <n v="1"/>
    <n v="58047"/>
    <n v="58047"/>
    <n v="58047"/>
  </r>
  <r>
    <n v="12984"/>
    <x v="344"/>
    <x v="3"/>
    <s v="West"/>
    <s v="Rahul"/>
    <n v="8"/>
    <n v="33125"/>
    <n v="265000"/>
    <n v="265000"/>
  </r>
  <r>
    <n v="12985"/>
    <x v="361"/>
    <x v="6"/>
    <s v="North"/>
    <s v="Rahul"/>
    <n v="14"/>
    <n v="51677"/>
    <n v="723478"/>
    <n v="723478"/>
  </r>
  <r>
    <n v="12986"/>
    <x v="360"/>
    <x v="2"/>
    <s v="South"/>
    <s v="Suman"/>
    <n v="14"/>
    <n v="13723"/>
    <n v="192122"/>
    <n v="192122"/>
  </r>
  <r>
    <n v="12987"/>
    <x v="325"/>
    <x v="0"/>
    <s v="North"/>
    <s v="Rani"/>
    <n v="12"/>
    <n v="7893"/>
    <n v="94716"/>
    <n v="94716"/>
  </r>
  <r>
    <n v="12988"/>
    <x v="111"/>
    <x v="3"/>
    <s v="North"/>
    <s v="Rani"/>
    <n v="20"/>
    <n v="27049"/>
    <n v="540980"/>
    <n v="540980"/>
  </r>
  <r>
    <n v="12989"/>
    <x v="242"/>
    <x v="4"/>
    <s v="South"/>
    <s v="Priya"/>
    <n v="16"/>
    <n v="53762"/>
    <n v="860192"/>
    <n v="860192"/>
  </r>
  <r>
    <n v="12990"/>
    <x v="222"/>
    <x v="0"/>
    <s v="West"/>
    <s v="Anita"/>
    <n v="16"/>
    <n v="41994"/>
    <n v="671904"/>
    <n v="671904"/>
  </r>
  <r>
    <n v="12991"/>
    <x v="128"/>
    <x v="2"/>
    <s v="East"/>
    <s v="Suman"/>
    <n v="17"/>
    <n v="44846"/>
    <n v="762382"/>
    <n v="762382"/>
  </r>
  <r>
    <n v="12992"/>
    <x v="336"/>
    <x v="2"/>
    <s v="West"/>
    <s v="Rani"/>
    <n v="15"/>
    <n v="23785"/>
    <n v="356775"/>
    <n v="356775"/>
  </r>
  <r>
    <n v="12993"/>
    <x v="315"/>
    <x v="5"/>
    <s v="South"/>
    <s v="Suman"/>
    <n v="1"/>
    <n v="40788"/>
    <n v="40788"/>
    <n v="40788"/>
  </r>
  <r>
    <n v="12994"/>
    <x v="58"/>
    <x v="2"/>
    <s v="East"/>
    <s v="Rahul"/>
    <n v="4"/>
    <n v="12006"/>
    <n v="48024"/>
    <n v="48024"/>
  </r>
  <r>
    <n v="12995"/>
    <x v="93"/>
    <x v="2"/>
    <s v="West"/>
    <s v="Anita"/>
    <n v="19"/>
    <n v="14675"/>
    <n v="278825"/>
    <n v="278825"/>
  </r>
  <r>
    <n v="12996"/>
    <x v="281"/>
    <x v="1"/>
    <s v="North"/>
    <s v="Rahul"/>
    <n v="13"/>
    <n v="48434"/>
    <n v="629642"/>
    <n v="629642"/>
  </r>
  <r>
    <n v="12997"/>
    <x v="86"/>
    <x v="1"/>
    <s v="East"/>
    <s v="Suman"/>
    <n v="11"/>
    <n v="14784"/>
    <n v="162624"/>
    <n v="162624"/>
  </r>
  <r>
    <n v="12998"/>
    <x v="280"/>
    <x v="2"/>
    <s v="South"/>
    <s v="Rani"/>
    <n v="7"/>
    <n v="46095"/>
    <n v="322665"/>
    <n v="322665"/>
  </r>
  <r>
    <n v="12999"/>
    <x v="78"/>
    <x v="1"/>
    <s v="South"/>
    <s v="Rahul"/>
    <n v="6"/>
    <n v="18479"/>
    <n v="110874"/>
    <n v="110874"/>
  </r>
  <r>
    <n v="13000"/>
    <x v="44"/>
    <x v="6"/>
    <s v="West"/>
    <s v="Rani"/>
    <n v="16"/>
    <n v="51215"/>
    <n v="819440"/>
    <n v="819440"/>
  </r>
  <r>
    <m/>
    <x v="366"/>
    <x v="7"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n v="10001"/>
    <d v="2023-08-02T00:00:00"/>
    <x v="0"/>
    <x v="0"/>
    <x v="0"/>
    <n v="2"/>
    <n v="28065"/>
    <n v="56130"/>
    <n v="56130"/>
  </r>
  <r>
    <n v="10002"/>
    <d v="2023-08-03T00:00:00"/>
    <x v="1"/>
    <x v="1"/>
    <x v="1"/>
    <n v="13"/>
    <n v="31447"/>
    <n v="408811"/>
    <n v="408811"/>
  </r>
  <r>
    <n v="10003"/>
    <d v="2023-08-16T00:00:00"/>
    <x v="0"/>
    <x v="1"/>
    <x v="0"/>
    <n v="17"/>
    <n v="15964"/>
    <n v="271388"/>
    <n v="271388"/>
  </r>
  <r>
    <n v="10004"/>
    <d v="2023-10-13T00:00:00"/>
    <x v="2"/>
    <x v="1"/>
    <x v="1"/>
    <n v="1"/>
    <n v="7998"/>
    <n v="7998"/>
    <n v="7998"/>
  </r>
  <r>
    <n v="10005"/>
    <d v="2023-03-14T00:00:00"/>
    <x v="2"/>
    <x v="2"/>
    <x v="1"/>
    <n v="15"/>
    <n v="24427"/>
    <n v="366405"/>
    <n v="366405"/>
  </r>
  <r>
    <n v="10006"/>
    <d v="2023-04-22T00:00:00"/>
    <x v="3"/>
    <x v="0"/>
    <x v="0"/>
    <n v="18"/>
    <n v="29506"/>
    <n v="531108"/>
    <n v="531108"/>
  </r>
  <r>
    <n v="10007"/>
    <d v="2023-01-09T00:00:00"/>
    <x v="0"/>
    <x v="3"/>
    <x v="2"/>
    <n v="11"/>
    <n v="27450"/>
    <n v="301950"/>
    <n v="301950"/>
  </r>
  <r>
    <n v="10008"/>
    <d v="2023-02-04T00:00:00"/>
    <x v="4"/>
    <x v="1"/>
    <x v="0"/>
    <n v="17"/>
    <n v="47146"/>
    <n v="801482"/>
    <n v="801482"/>
  </r>
  <r>
    <n v="10009"/>
    <d v="2023-03-01T00:00:00"/>
    <x v="4"/>
    <x v="3"/>
    <x v="2"/>
    <n v="1"/>
    <n v="32413"/>
    <n v="32413"/>
    <n v="32413"/>
  </r>
  <r>
    <n v="10010"/>
    <d v="2023-01-28T00:00:00"/>
    <x v="2"/>
    <x v="0"/>
    <x v="3"/>
    <n v="15"/>
    <n v="49247"/>
    <n v="738705"/>
    <n v="738705"/>
  </r>
  <r>
    <n v="10011"/>
    <d v="2023-09-19T00:00:00"/>
    <x v="2"/>
    <x v="3"/>
    <x v="3"/>
    <n v="3"/>
    <n v="4699"/>
    <n v="14097"/>
    <n v="14097"/>
  </r>
  <r>
    <n v="10012"/>
    <d v="2023-06-14T00:00:00"/>
    <x v="3"/>
    <x v="3"/>
    <x v="2"/>
    <n v="15"/>
    <n v="42072"/>
    <n v="631080"/>
    <n v="631080"/>
  </r>
  <r>
    <n v="10013"/>
    <d v="2023-11-01T00:00:00"/>
    <x v="2"/>
    <x v="2"/>
    <x v="2"/>
    <n v="12"/>
    <n v="39654"/>
    <n v="475848"/>
    <n v="475848"/>
  </r>
  <r>
    <n v="10014"/>
    <d v="2023-04-25T00:00:00"/>
    <x v="3"/>
    <x v="0"/>
    <x v="3"/>
    <n v="6"/>
    <n v="52534"/>
    <n v="315204"/>
    <n v="315204"/>
  </r>
  <r>
    <n v="10015"/>
    <d v="2023-02-21T00:00:00"/>
    <x v="2"/>
    <x v="0"/>
    <x v="4"/>
    <n v="5"/>
    <n v="52669"/>
    <n v="263345"/>
    <n v="263345"/>
  </r>
  <r>
    <n v="10016"/>
    <d v="2023-08-09T00:00:00"/>
    <x v="0"/>
    <x v="3"/>
    <x v="4"/>
    <n v="1"/>
    <n v="29501"/>
    <n v="29501"/>
    <n v="29501"/>
  </r>
  <r>
    <n v="10017"/>
    <d v="2023-05-07T00:00:00"/>
    <x v="4"/>
    <x v="1"/>
    <x v="2"/>
    <n v="3"/>
    <n v="1059"/>
    <n v="3177"/>
    <n v="3177"/>
  </r>
  <r>
    <n v="10018"/>
    <d v="2023-06-12T00:00:00"/>
    <x v="1"/>
    <x v="3"/>
    <x v="1"/>
    <n v="12"/>
    <n v="39102"/>
    <n v="469224"/>
    <n v="469224"/>
  </r>
  <r>
    <n v="10019"/>
    <d v="2023-07-01T00:00:00"/>
    <x v="0"/>
    <x v="0"/>
    <x v="5"/>
    <n v="6"/>
    <n v="3115"/>
    <n v="18690"/>
    <n v="18690"/>
  </r>
  <r>
    <n v="10020"/>
    <d v="2023-03-28T00:00:00"/>
    <x v="5"/>
    <x v="0"/>
    <x v="5"/>
    <n v="14"/>
    <n v="6317"/>
    <n v="88438"/>
    <n v="88438"/>
  </r>
  <r>
    <n v="10021"/>
    <d v="2023-10-05T00:00:00"/>
    <x v="1"/>
    <x v="3"/>
    <x v="2"/>
    <n v="14"/>
    <n v="9167"/>
    <n v="128338"/>
    <n v="128338"/>
  </r>
  <r>
    <n v="10022"/>
    <d v="2023-07-18T00:00:00"/>
    <x v="6"/>
    <x v="1"/>
    <x v="5"/>
    <n v="1"/>
    <n v="3469"/>
    <n v="3469"/>
    <n v="3469"/>
  </r>
  <r>
    <n v="10023"/>
    <d v="2023-07-14T00:00:00"/>
    <x v="1"/>
    <x v="2"/>
    <x v="3"/>
    <n v="3"/>
    <n v="10394"/>
    <n v="31182"/>
    <n v="31182"/>
  </r>
  <r>
    <n v="10024"/>
    <d v="2023-03-24T00:00:00"/>
    <x v="5"/>
    <x v="3"/>
    <x v="5"/>
    <n v="1"/>
    <n v="54444"/>
    <n v="54444"/>
    <n v="54444"/>
  </r>
  <r>
    <n v="10025"/>
    <d v="2023-07-04T00:00:00"/>
    <x v="1"/>
    <x v="2"/>
    <x v="4"/>
    <n v="3"/>
    <n v="4960"/>
    <n v="14880"/>
    <n v="14880"/>
  </r>
  <r>
    <n v="10026"/>
    <d v="2023-02-19T00:00:00"/>
    <x v="4"/>
    <x v="1"/>
    <x v="3"/>
    <n v="2"/>
    <n v="20055"/>
    <n v="40110"/>
    <n v="40110"/>
  </r>
  <r>
    <n v="10027"/>
    <d v="2023-12-21T00:00:00"/>
    <x v="6"/>
    <x v="0"/>
    <x v="4"/>
    <n v="11"/>
    <n v="16483"/>
    <n v="181313"/>
    <n v="181313"/>
  </r>
  <r>
    <n v="10028"/>
    <d v="2023-05-09T00:00:00"/>
    <x v="2"/>
    <x v="0"/>
    <x v="1"/>
    <n v="17"/>
    <n v="49017"/>
    <n v="833289"/>
    <n v="833289"/>
  </r>
  <r>
    <n v="10029"/>
    <d v="2023-01-02T00:00:00"/>
    <x v="1"/>
    <x v="0"/>
    <x v="5"/>
    <n v="19"/>
    <n v="6254"/>
    <n v="118826"/>
    <n v="118826"/>
  </r>
  <r>
    <n v="10030"/>
    <d v="2023-01-25T00:00:00"/>
    <x v="0"/>
    <x v="1"/>
    <x v="3"/>
    <n v="19"/>
    <n v="45051"/>
    <n v="855969"/>
    <n v="855969"/>
  </r>
  <r>
    <n v="10031"/>
    <d v="2023-05-02T00:00:00"/>
    <x v="3"/>
    <x v="3"/>
    <x v="3"/>
    <n v="5"/>
    <n v="37913"/>
    <n v="189565"/>
    <n v="189565"/>
  </r>
  <r>
    <n v="10032"/>
    <d v="2023-06-19T00:00:00"/>
    <x v="5"/>
    <x v="3"/>
    <x v="5"/>
    <n v="4"/>
    <n v="52918"/>
    <n v="211672"/>
    <n v="211672"/>
  </r>
  <r>
    <n v="10033"/>
    <d v="2023-01-25T00:00:00"/>
    <x v="6"/>
    <x v="0"/>
    <x v="5"/>
    <n v="13"/>
    <n v="56619"/>
    <n v="736047"/>
    <n v="736047"/>
  </r>
  <r>
    <n v="10034"/>
    <d v="2023-08-21T00:00:00"/>
    <x v="0"/>
    <x v="3"/>
    <x v="4"/>
    <n v="11"/>
    <n v="23308"/>
    <n v="256388"/>
    <n v="256388"/>
  </r>
  <r>
    <n v="10035"/>
    <d v="2023-04-19T00:00:00"/>
    <x v="5"/>
    <x v="1"/>
    <x v="2"/>
    <n v="1"/>
    <n v="34892"/>
    <n v="34892"/>
    <n v="34892"/>
  </r>
  <r>
    <n v="10036"/>
    <d v="2023-06-19T00:00:00"/>
    <x v="0"/>
    <x v="1"/>
    <x v="0"/>
    <n v="11"/>
    <n v="25019"/>
    <n v="275209"/>
    <n v="275209"/>
  </r>
  <r>
    <n v="10037"/>
    <d v="2023-12-12T00:00:00"/>
    <x v="4"/>
    <x v="3"/>
    <x v="2"/>
    <n v="15"/>
    <n v="38315"/>
    <n v="574725"/>
    <n v="574725"/>
  </r>
  <r>
    <n v="10038"/>
    <d v="2023-05-15T00:00:00"/>
    <x v="3"/>
    <x v="1"/>
    <x v="0"/>
    <n v="16"/>
    <n v="32544"/>
    <n v="520704"/>
    <n v="520704"/>
  </r>
  <r>
    <n v="10039"/>
    <d v="2023-09-21T00:00:00"/>
    <x v="2"/>
    <x v="1"/>
    <x v="5"/>
    <n v="9"/>
    <n v="46063"/>
    <n v="414567"/>
    <n v="414567"/>
  </r>
  <r>
    <n v="10040"/>
    <d v="2023-11-07T00:00:00"/>
    <x v="4"/>
    <x v="1"/>
    <x v="5"/>
    <n v="8"/>
    <n v="8487"/>
    <n v="67896"/>
    <n v="67896"/>
  </r>
  <r>
    <n v="10041"/>
    <d v="2023-04-12T00:00:00"/>
    <x v="1"/>
    <x v="3"/>
    <x v="4"/>
    <n v="18"/>
    <n v="45642"/>
    <n v="821556"/>
    <n v="821556"/>
  </r>
  <r>
    <n v="10042"/>
    <d v="2023-10-30T00:00:00"/>
    <x v="2"/>
    <x v="3"/>
    <x v="1"/>
    <n v="19"/>
    <n v="41951"/>
    <n v="797069"/>
    <n v="797069"/>
  </r>
  <r>
    <n v="10043"/>
    <d v="2023-04-11T00:00:00"/>
    <x v="3"/>
    <x v="1"/>
    <x v="2"/>
    <n v="3"/>
    <n v="2518"/>
    <n v="7554"/>
    <n v="7554"/>
  </r>
  <r>
    <n v="10044"/>
    <d v="2023-11-04T00:00:00"/>
    <x v="5"/>
    <x v="0"/>
    <x v="0"/>
    <n v="11"/>
    <n v="22345"/>
    <n v="245795"/>
    <n v="245795"/>
  </r>
  <r>
    <n v="10045"/>
    <d v="2023-10-23T00:00:00"/>
    <x v="5"/>
    <x v="1"/>
    <x v="0"/>
    <n v="7"/>
    <n v="55324"/>
    <n v="387268"/>
    <n v="387268"/>
  </r>
  <r>
    <n v="10046"/>
    <d v="2023-09-17T00:00:00"/>
    <x v="0"/>
    <x v="2"/>
    <x v="5"/>
    <n v="9"/>
    <n v="45592"/>
    <n v="410328"/>
    <n v="410328"/>
  </r>
  <r>
    <n v="10047"/>
    <d v="2023-06-21T00:00:00"/>
    <x v="5"/>
    <x v="0"/>
    <x v="3"/>
    <n v="4"/>
    <n v="34399"/>
    <n v="137596"/>
    <n v="137596"/>
  </r>
  <r>
    <n v="10048"/>
    <d v="2023-02-04T00:00:00"/>
    <x v="6"/>
    <x v="0"/>
    <x v="1"/>
    <n v="1"/>
    <n v="38681"/>
    <n v="38681"/>
    <n v="38681"/>
  </r>
  <r>
    <n v="10049"/>
    <d v="2023-02-01T00:00:00"/>
    <x v="1"/>
    <x v="2"/>
    <x v="3"/>
    <n v="3"/>
    <n v="55179"/>
    <n v="165537"/>
    <n v="165537"/>
  </r>
  <r>
    <n v="10050"/>
    <d v="2023-09-19T00:00:00"/>
    <x v="0"/>
    <x v="3"/>
    <x v="0"/>
    <n v="20"/>
    <n v="46182"/>
    <n v="923640"/>
    <n v="923640"/>
  </r>
  <r>
    <n v="10051"/>
    <d v="2023-06-30T00:00:00"/>
    <x v="5"/>
    <x v="1"/>
    <x v="3"/>
    <n v="10"/>
    <n v="16881"/>
    <n v="168810"/>
    <n v="168810"/>
  </r>
  <r>
    <n v="10052"/>
    <d v="2023-01-05T00:00:00"/>
    <x v="5"/>
    <x v="0"/>
    <x v="5"/>
    <n v="10"/>
    <n v="9338"/>
    <n v="93380"/>
    <n v="93380"/>
  </r>
  <r>
    <n v="10053"/>
    <d v="2023-07-10T00:00:00"/>
    <x v="1"/>
    <x v="1"/>
    <x v="0"/>
    <n v="10"/>
    <n v="53531"/>
    <n v="535310"/>
    <n v="535310"/>
  </r>
  <r>
    <n v="10054"/>
    <d v="2023-04-17T00:00:00"/>
    <x v="0"/>
    <x v="1"/>
    <x v="3"/>
    <n v="5"/>
    <n v="38770"/>
    <n v="193850"/>
    <n v="193850"/>
  </r>
  <r>
    <n v="10055"/>
    <d v="2023-10-09T00:00:00"/>
    <x v="2"/>
    <x v="2"/>
    <x v="2"/>
    <n v="15"/>
    <n v="45168"/>
    <n v="677520"/>
    <n v="677520"/>
  </r>
  <r>
    <n v="10056"/>
    <d v="2023-05-14T00:00:00"/>
    <x v="1"/>
    <x v="2"/>
    <x v="4"/>
    <n v="2"/>
    <n v="3989"/>
    <n v="7978"/>
    <n v="7978"/>
  </r>
  <r>
    <n v="10057"/>
    <d v="2023-10-30T00:00:00"/>
    <x v="4"/>
    <x v="3"/>
    <x v="3"/>
    <n v="20"/>
    <n v="2933"/>
    <n v="58660"/>
    <n v="58660"/>
  </r>
  <r>
    <n v="10058"/>
    <d v="2023-08-15T00:00:00"/>
    <x v="6"/>
    <x v="2"/>
    <x v="1"/>
    <n v="8"/>
    <n v="42271"/>
    <n v="338168"/>
    <n v="338168"/>
  </r>
  <r>
    <n v="10059"/>
    <d v="2023-11-14T00:00:00"/>
    <x v="5"/>
    <x v="3"/>
    <x v="1"/>
    <n v="2"/>
    <n v="37969"/>
    <n v="75938"/>
    <n v="75938"/>
  </r>
  <r>
    <n v="10060"/>
    <d v="2023-10-03T00:00:00"/>
    <x v="2"/>
    <x v="2"/>
    <x v="5"/>
    <n v="4"/>
    <n v="11562"/>
    <n v="46248"/>
    <n v="46248"/>
  </r>
  <r>
    <n v="10061"/>
    <d v="2023-06-11T00:00:00"/>
    <x v="0"/>
    <x v="2"/>
    <x v="4"/>
    <n v="4"/>
    <n v="38916"/>
    <n v="155664"/>
    <n v="155664"/>
  </r>
  <r>
    <n v="10062"/>
    <d v="2023-06-17T00:00:00"/>
    <x v="6"/>
    <x v="2"/>
    <x v="3"/>
    <n v="17"/>
    <n v="16199"/>
    <n v="275383"/>
    <n v="275383"/>
  </r>
  <r>
    <n v="10063"/>
    <d v="2023-07-07T00:00:00"/>
    <x v="0"/>
    <x v="0"/>
    <x v="0"/>
    <n v="8"/>
    <n v="20131"/>
    <n v="161048"/>
    <n v="161048"/>
  </r>
  <r>
    <n v="10064"/>
    <d v="2023-10-28T00:00:00"/>
    <x v="1"/>
    <x v="0"/>
    <x v="1"/>
    <n v="14"/>
    <n v="53868"/>
    <n v="754152"/>
    <n v="754152"/>
  </r>
  <r>
    <n v="10065"/>
    <d v="2023-03-29T00:00:00"/>
    <x v="1"/>
    <x v="1"/>
    <x v="3"/>
    <n v="11"/>
    <n v="20767"/>
    <n v="228437"/>
    <n v="228437"/>
  </r>
  <r>
    <n v="10066"/>
    <d v="2023-10-06T00:00:00"/>
    <x v="0"/>
    <x v="1"/>
    <x v="1"/>
    <n v="8"/>
    <n v="10541"/>
    <n v="84328"/>
    <n v="84328"/>
  </r>
  <r>
    <n v="10067"/>
    <d v="2023-06-12T00:00:00"/>
    <x v="1"/>
    <x v="0"/>
    <x v="4"/>
    <n v="16"/>
    <n v="58118"/>
    <n v="929888"/>
    <n v="929888"/>
  </r>
  <r>
    <n v="10068"/>
    <d v="2023-04-24T00:00:00"/>
    <x v="4"/>
    <x v="2"/>
    <x v="5"/>
    <n v="13"/>
    <n v="33508"/>
    <n v="435604"/>
    <n v="435604"/>
  </r>
  <r>
    <n v="10069"/>
    <d v="2023-06-08T00:00:00"/>
    <x v="4"/>
    <x v="1"/>
    <x v="3"/>
    <n v="11"/>
    <n v="41351"/>
    <n v="454861"/>
    <n v="454861"/>
  </r>
  <r>
    <n v="10070"/>
    <d v="2023-05-09T00:00:00"/>
    <x v="6"/>
    <x v="1"/>
    <x v="5"/>
    <n v="5"/>
    <n v="49278"/>
    <n v="246390"/>
    <n v="246390"/>
  </r>
  <r>
    <n v="10071"/>
    <d v="2023-05-09T00:00:00"/>
    <x v="4"/>
    <x v="3"/>
    <x v="1"/>
    <n v="20"/>
    <n v="48480"/>
    <n v="969600"/>
    <n v="969600"/>
  </r>
  <r>
    <n v="10072"/>
    <d v="2023-05-19T00:00:00"/>
    <x v="4"/>
    <x v="0"/>
    <x v="1"/>
    <n v="16"/>
    <n v="29629"/>
    <n v="474064"/>
    <n v="474064"/>
  </r>
  <r>
    <n v="10073"/>
    <d v="2023-12-28T00:00:00"/>
    <x v="5"/>
    <x v="1"/>
    <x v="3"/>
    <n v="2"/>
    <n v="18726"/>
    <n v="37452"/>
    <n v="37452"/>
  </r>
  <r>
    <n v="10074"/>
    <d v="2023-02-18T00:00:00"/>
    <x v="0"/>
    <x v="0"/>
    <x v="3"/>
    <n v="17"/>
    <n v="52706"/>
    <n v="896002"/>
    <n v="896002"/>
  </r>
  <r>
    <n v="10075"/>
    <d v="2023-09-14T00:00:00"/>
    <x v="4"/>
    <x v="2"/>
    <x v="0"/>
    <n v="3"/>
    <n v="56086"/>
    <n v="168258"/>
    <n v="168258"/>
  </r>
  <r>
    <n v="10076"/>
    <d v="2023-05-09T00:00:00"/>
    <x v="1"/>
    <x v="0"/>
    <x v="4"/>
    <n v="12"/>
    <n v="18331"/>
    <n v="219972"/>
    <n v="219972"/>
  </r>
  <r>
    <n v="10077"/>
    <d v="2023-12-06T00:00:00"/>
    <x v="3"/>
    <x v="0"/>
    <x v="1"/>
    <n v="4"/>
    <n v="38899"/>
    <n v="155596"/>
    <n v="155596"/>
  </r>
  <r>
    <n v="10078"/>
    <d v="2023-04-19T00:00:00"/>
    <x v="6"/>
    <x v="3"/>
    <x v="2"/>
    <n v="18"/>
    <n v="33512"/>
    <n v="603216"/>
    <n v="603216"/>
  </r>
  <r>
    <n v="10079"/>
    <d v="2023-11-29T00:00:00"/>
    <x v="4"/>
    <x v="2"/>
    <x v="5"/>
    <n v="18"/>
    <n v="22341"/>
    <n v="402138"/>
    <n v="402138"/>
  </r>
  <r>
    <n v="10080"/>
    <d v="2023-08-15T00:00:00"/>
    <x v="2"/>
    <x v="2"/>
    <x v="3"/>
    <n v="6"/>
    <n v="21374"/>
    <n v="128244"/>
    <n v="128244"/>
  </r>
  <r>
    <n v="10081"/>
    <d v="2023-09-10T00:00:00"/>
    <x v="1"/>
    <x v="3"/>
    <x v="4"/>
    <n v="14"/>
    <n v="16197"/>
    <n v="226758"/>
    <n v="226758"/>
  </r>
  <r>
    <n v="10082"/>
    <d v="2023-03-28T00:00:00"/>
    <x v="2"/>
    <x v="1"/>
    <x v="2"/>
    <n v="18"/>
    <n v="4924"/>
    <n v="88632"/>
    <n v="88632"/>
  </r>
  <r>
    <n v="10083"/>
    <d v="2023-04-29T00:00:00"/>
    <x v="3"/>
    <x v="1"/>
    <x v="2"/>
    <n v="15"/>
    <n v="58854"/>
    <n v="882810"/>
    <n v="882810"/>
  </r>
  <r>
    <n v="10084"/>
    <d v="2023-12-14T00:00:00"/>
    <x v="4"/>
    <x v="2"/>
    <x v="1"/>
    <n v="16"/>
    <n v="9283"/>
    <n v="148528"/>
    <n v="148528"/>
  </r>
  <r>
    <n v="10085"/>
    <d v="2023-11-23T00:00:00"/>
    <x v="1"/>
    <x v="3"/>
    <x v="1"/>
    <n v="5"/>
    <n v="2880"/>
    <n v="14400"/>
    <n v="14400"/>
  </r>
  <r>
    <n v="10086"/>
    <d v="2023-06-14T00:00:00"/>
    <x v="2"/>
    <x v="1"/>
    <x v="2"/>
    <n v="7"/>
    <n v="49723"/>
    <n v="348061"/>
    <n v="348061"/>
  </r>
  <r>
    <n v="10087"/>
    <d v="2023-11-26T00:00:00"/>
    <x v="6"/>
    <x v="2"/>
    <x v="4"/>
    <n v="8"/>
    <n v="30135"/>
    <n v="241080"/>
    <n v="241080"/>
  </r>
  <r>
    <n v="10088"/>
    <d v="2023-09-08T00:00:00"/>
    <x v="5"/>
    <x v="1"/>
    <x v="2"/>
    <n v="10"/>
    <n v="12227"/>
    <n v="122270"/>
    <n v="122270"/>
  </r>
  <r>
    <n v="10089"/>
    <d v="2023-07-13T00:00:00"/>
    <x v="2"/>
    <x v="3"/>
    <x v="0"/>
    <n v="2"/>
    <n v="37842"/>
    <n v="75684"/>
    <n v="75684"/>
  </r>
  <r>
    <n v="10090"/>
    <d v="2023-01-09T00:00:00"/>
    <x v="4"/>
    <x v="3"/>
    <x v="3"/>
    <n v="6"/>
    <n v="27781"/>
    <n v="166686"/>
    <n v="166686"/>
  </r>
  <r>
    <n v="10091"/>
    <d v="2023-01-06T00:00:00"/>
    <x v="3"/>
    <x v="3"/>
    <x v="5"/>
    <n v="17"/>
    <n v="53282"/>
    <n v="905794"/>
    <n v="905794"/>
  </r>
  <r>
    <n v="10092"/>
    <d v="2023-05-13T00:00:00"/>
    <x v="6"/>
    <x v="2"/>
    <x v="4"/>
    <n v="19"/>
    <n v="3066"/>
    <n v="58254"/>
    <n v="58254"/>
  </r>
  <r>
    <n v="10093"/>
    <d v="2023-04-09T00:00:00"/>
    <x v="1"/>
    <x v="3"/>
    <x v="4"/>
    <n v="8"/>
    <n v="22462"/>
    <n v="179696"/>
    <n v="179696"/>
  </r>
  <r>
    <n v="10094"/>
    <d v="2023-01-19T00:00:00"/>
    <x v="6"/>
    <x v="1"/>
    <x v="0"/>
    <n v="4"/>
    <n v="55835"/>
    <n v="223340"/>
    <n v="223340"/>
  </r>
  <r>
    <n v="10095"/>
    <d v="2023-06-19T00:00:00"/>
    <x v="4"/>
    <x v="1"/>
    <x v="5"/>
    <n v="16"/>
    <n v="3377"/>
    <n v="54032"/>
    <n v="54032"/>
  </r>
  <r>
    <n v="10096"/>
    <d v="2023-09-24T00:00:00"/>
    <x v="4"/>
    <x v="1"/>
    <x v="2"/>
    <n v="7"/>
    <n v="49619"/>
    <n v="347333"/>
    <n v="347333"/>
  </r>
  <r>
    <n v="10097"/>
    <d v="2023-05-25T00:00:00"/>
    <x v="3"/>
    <x v="0"/>
    <x v="4"/>
    <n v="4"/>
    <n v="2654"/>
    <n v="10616"/>
    <n v="10616"/>
  </r>
  <r>
    <n v="10098"/>
    <d v="2023-04-19T00:00:00"/>
    <x v="0"/>
    <x v="1"/>
    <x v="3"/>
    <n v="8"/>
    <n v="3297"/>
    <n v="26376"/>
    <n v="26376"/>
  </r>
  <r>
    <n v="10099"/>
    <d v="2023-03-22T00:00:00"/>
    <x v="1"/>
    <x v="3"/>
    <x v="4"/>
    <n v="11"/>
    <n v="43915"/>
    <n v="483065"/>
    <n v="483065"/>
  </r>
  <r>
    <n v="10100"/>
    <d v="2023-01-13T00:00:00"/>
    <x v="2"/>
    <x v="3"/>
    <x v="2"/>
    <n v="4"/>
    <n v="39710"/>
    <n v="158840"/>
    <n v="158840"/>
  </r>
  <r>
    <n v="10101"/>
    <d v="2023-01-09T00:00:00"/>
    <x v="5"/>
    <x v="0"/>
    <x v="1"/>
    <n v="13"/>
    <n v="56914"/>
    <n v="739882"/>
    <n v="739882"/>
  </r>
  <r>
    <n v="10102"/>
    <d v="2023-06-03T00:00:00"/>
    <x v="6"/>
    <x v="1"/>
    <x v="2"/>
    <n v="4"/>
    <n v="59888"/>
    <n v="239552"/>
    <n v="239552"/>
  </r>
  <r>
    <n v="10103"/>
    <d v="2023-11-17T00:00:00"/>
    <x v="5"/>
    <x v="2"/>
    <x v="1"/>
    <n v="9"/>
    <n v="11232"/>
    <n v="101088"/>
    <n v="101088"/>
  </r>
  <r>
    <n v="10104"/>
    <d v="2023-04-21T00:00:00"/>
    <x v="4"/>
    <x v="3"/>
    <x v="2"/>
    <n v="18"/>
    <n v="29097"/>
    <n v="523746"/>
    <n v="523746"/>
  </r>
  <r>
    <n v="10105"/>
    <d v="2023-12-12T00:00:00"/>
    <x v="6"/>
    <x v="1"/>
    <x v="5"/>
    <n v="7"/>
    <n v="1574"/>
    <n v="11018"/>
    <n v="11018"/>
  </r>
  <r>
    <n v="10106"/>
    <d v="2023-10-27T00:00:00"/>
    <x v="6"/>
    <x v="3"/>
    <x v="0"/>
    <n v="1"/>
    <n v="5229"/>
    <n v="5229"/>
    <n v="5229"/>
  </r>
  <r>
    <n v="10107"/>
    <d v="2023-08-23T00:00:00"/>
    <x v="1"/>
    <x v="1"/>
    <x v="2"/>
    <n v="4"/>
    <n v="42829"/>
    <n v="171316"/>
    <n v="171316"/>
  </r>
  <r>
    <n v="10108"/>
    <d v="2023-06-21T00:00:00"/>
    <x v="1"/>
    <x v="3"/>
    <x v="0"/>
    <n v="1"/>
    <n v="38744"/>
    <n v="38744"/>
    <n v="38744"/>
  </r>
  <r>
    <n v="10109"/>
    <d v="2023-06-29T00:00:00"/>
    <x v="3"/>
    <x v="3"/>
    <x v="0"/>
    <n v="6"/>
    <n v="11328"/>
    <n v="67968"/>
    <n v="67968"/>
  </r>
  <r>
    <n v="10110"/>
    <d v="2023-08-27T00:00:00"/>
    <x v="0"/>
    <x v="0"/>
    <x v="3"/>
    <n v="11"/>
    <n v="41427"/>
    <n v="455697"/>
    <n v="455697"/>
  </r>
  <r>
    <n v="10111"/>
    <d v="2023-06-29T00:00:00"/>
    <x v="6"/>
    <x v="3"/>
    <x v="1"/>
    <n v="6"/>
    <n v="28920"/>
    <n v="173520"/>
    <n v="173520"/>
  </r>
  <r>
    <n v="10112"/>
    <d v="2023-07-31T00:00:00"/>
    <x v="5"/>
    <x v="0"/>
    <x v="5"/>
    <n v="11"/>
    <n v="20033"/>
    <n v="220363"/>
    <n v="220363"/>
  </r>
  <r>
    <n v="10113"/>
    <d v="2023-02-23T00:00:00"/>
    <x v="0"/>
    <x v="1"/>
    <x v="3"/>
    <n v="12"/>
    <n v="44732"/>
    <n v="536784"/>
    <n v="536784"/>
  </r>
  <r>
    <n v="10114"/>
    <d v="2023-11-08T00:00:00"/>
    <x v="2"/>
    <x v="1"/>
    <x v="2"/>
    <n v="9"/>
    <n v="44568"/>
    <n v="401112"/>
    <n v="401112"/>
  </r>
  <r>
    <n v="10115"/>
    <d v="2023-10-04T00:00:00"/>
    <x v="3"/>
    <x v="0"/>
    <x v="1"/>
    <n v="12"/>
    <n v="26285"/>
    <n v="315420"/>
    <n v="315420"/>
  </r>
  <r>
    <n v="10116"/>
    <d v="2023-01-17T00:00:00"/>
    <x v="3"/>
    <x v="3"/>
    <x v="3"/>
    <n v="16"/>
    <n v="14203"/>
    <n v="227248"/>
    <n v="227248"/>
  </r>
  <r>
    <n v="10117"/>
    <d v="2023-06-28T00:00:00"/>
    <x v="2"/>
    <x v="1"/>
    <x v="1"/>
    <n v="14"/>
    <n v="40909"/>
    <n v="572726"/>
    <n v="572726"/>
  </r>
  <r>
    <n v="10118"/>
    <d v="2023-09-03T00:00:00"/>
    <x v="1"/>
    <x v="2"/>
    <x v="3"/>
    <n v="19"/>
    <n v="40284"/>
    <n v="765396"/>
    <n v="765396"/>
  </r>
  <r>
    <n v="10119"/>
    <d v="2023-07-12T00:00:00"/>
    <x v="5"/>
    <x v="1"/>
    <x v="5"/>
    <n v="2"/>
    <n v="733"/>
    <n v="1466"/>
    <n v="1466"/>
  </r>
  <r>
    <n v="10120"/>
    <d v="2023-12-17T00:00:00"/>
    <x v="5"/>
    <x v="1"/>
    <x v="2"/>
    <n v="4"/>
    <n v="51118"/>
    <n v="204472"/>
    <n v="204472"/>
  </r>
  <r>
    <n v="10121"/>
    <d v="2023-11-05T00:00:00"/>
    <x v="5"/>
    <x v="2"/>
    <x v="1"/>
    <n v="20"/>
    <n v="51954"/>
    <n v="1039080"/>
    <n v="1039080"/>
  </r>
  <r>
    <n v="10122"/>
    <d v="2023-08-04T00:00:00"/>
    <x v="6"/>
    <x v="1"/>
    <x v="4"/>
    <n v="7"/>
    <n v="17197"/>
    <n v="120379"/>
    <n v="120379"/>
  </r>
  <r>
    <n v="10123"/>
    <d v="2023-06-23T00:00:00"/>
    <x v="0"/>
    <x v="3"/>
    <x v="2"/>
    <n v="9"/>
    <n v="4635"/>
    <n v="41715"/>
    <n v="41715"/>
  </r>
  <r>
    <n v="10124"/>
    <d v="2023-08-23T00:00:00"/>
    <x v="1"/>
    <x v="1"/>
    <x v="4"/>
    <n v="16"/>
    <n v="43222"/>
    <n v="691552"/>
    <n v="691552"/>
  </r>
  <r>
    <n v="10125"/>
    <d v="2023-12-02T00:00:00"/>
    <x v="4"/>
    <x v="3"/>
    <x v="5"/>
    <n v="19"/>
    <n v="58931"/>
    <n v="1119689"/>
    <n v="1119689"/>
  </r>
  <r>
    <n v="10126"/>
    <d v="2023-05-09T00:00:00"/>
    <x v="1"/>
    <x v="3"/>
    <x v="2"/>
    <n v="20"/>
    <n v="58388"/>
    <n v="1167760"/>
    <n v="1167760"/>
  </r>
  <r>
    <n v="10127"/>
    <d v="2023-01-16T00:00:00"/>
    <x v="2"/>
    <x v="0"/>
    <x v="5"/>
    <n v="13"/>
    <n v="37700"/>
    <n v="490100"/>
    <n v="490100"/>
  </r>
  <r>
    <n v="10128"/>
    <d v="2023-04-25T00:00:00"/>
    <x v="2"/>
    <x v="3"/>
    <x v="5"/>
    <n v="16"/>
    <n v="57414"/>
    <n v="918624"/>
    <n v="918624"/>
  </r>
  <r>
    <n v="10129"/>
    <d v="2023-02-27T00:00:00"/>
    <x v="5"/>
    <x v="0"/>
    <x v="2"/>
    <n v="18"/>
    <n v="41119"/>
    <n v="740142"/>
    <n v="740142"/>
  </r>
  <r>
    <n v="10130"/>
    <d v="2023-10-02T00:00:00"/>
    <x v="2"/>
    <x v="1"/>
    <x v="0"/>
    <n v="8"/>
    <n v="50032"/>
    <n v="400256"/>
    <n v="400256"/>
  </r>
  <r>
    <n v="10131"/>
    <d v="2023-02-24T00:00:00"/>
    <x v="5"/>
    <x v="3"/>
    <x v="1"/>
    <n v="7"/>
    <n v="24874"/>
    <n v="174118"/>
    <n v="174118"/>
  </r>
  <r>
    <n v="10132"/>
    <d v="2023-04-12T00:00:00"/>
    <x v="4"/>
    <x v="1"/>
    <x v="3"/>
    <n v="6"/>
    <n v="33954"/>
    <n v="203724"/>
    <n v="203724"/>
  </r>
  <r>
    <n v="10133"/>
    <d v="2023-02-20T00:00:00"/>
    <x v="2"/>
    <x v="3"/>
    <x v="1"/>
    <n v="16"/>
    <n v="37546"/>
    <n v="600736"/>
    <n v="600736"/>
  </r>
  <r>
    <n v="10134"/>
    <d v="2023-11-10T00:00:00"/>
    <x v="1"/>
    <x v="2"/>
    <x v="3"/>
    <n v="14"/>
    <n v="43566"/>
    <n v="609924"/>
    <n v="609924"/>
  </r>
  <r>
    <n v="10135"/>
    <d v="2023-07-01T00:00:00"/>
    <x v="2"/>
    <x v="3"/>
    <x v="3"/>
    <n v="9"/>
    <n v="15374"/>
    <n v="138366"/>
    <n v="138366"/>
  </r>
  <r>
    <n v="10136"/>
    <d v="2023-09-30T00:00:00"/>
    <x v="0"/>
    <x v="1"/>
    <x v="0"/>
    <n v="20"/>
    <n v="37365"/>
    <n v="747300"/>
    <n v="747300"/>
  </r>
  <r>
    <n v="10137"/>
    <d v="2023-08-15T00:00:00"/>
    <x v="3"/>
    <x v="2"/>
    <x v="2"/>
    <n v="20"/>
    <n v="14189"/>
    <n v="283780"/>
    <n v="283780"/>
  </r>
  <r>
    <n v="10138"/>
    <d v="2023-05-12T00:00:00"/>
    <x v="1"/>
    <x v="3"/>
    <x v="1"/>
    <n v="9"/>
    <n v="37208"/>
    <n v="334872"/>
    <n v="334872"/>
  </r>
  <r>
    <n v="10139"/>
    <d v="2023-07-05T00:00:00"/>
    <x v="2"/>
    <x v="1"/>
    <x v="2"/>
    <n v="2"/>
    <n v="20879"/>
    <n v="41758"/>
    <n v="41758"/>
  </r>
  <r>
    <n v="10140"/>
    <d v="2023-04-02T00:00:00"/>
    <x v="0"/>
    <x v="0"/>
    <x v="4"/>
    <n v="6"/>
    <n v="7268"/>
    <n v="43608"/>
    <n v="43608"/>
  </r>
  <r>
    <n v="10141"/>
    <d v="2023-03-20T00:00:00"/>
    <x v="4"/>
    <x v="0"/>
    <x v="5"/>
    <n v="3"/>
    <n v="41877"/>
    <n v="125631"/>
    <n v="125631"/>
  </r>
  <r>
    <n v="10142"/>
    <d v="2023-03-16T00:00:00"/>
    <x v="5"/>
    <x v="3"/>
    <x v="3"/>
    <n v="10"/>
    <n v="9264"/>
    <n v="92640"/>
    <n v="92640"/>
  </r>
  <r>
    <n v="10143"/>
    <d v="2023-02-19T00:00:00"/>
    <x v="6"/>
    <x v="2"/>
    <x v="2"/>
    <n v="12"/>
    <n v="42669"/>
    <n v="512028"/>
    <n v="512028"/>
  </r>
  <r>
    <n v="10144"/>
    <d v="2023-11-26T00:00:00"/>
    <x v="3"/>
    <x v="0"/>
    <x v="2"/>
    <n v="6"/>
    <n v="4455"/>
    <n v="26730"/>
    <n v="26730"/>
  </r>
  <r>
    <n v="10145"/>
    <d v="2023-04-28T00:00:00"/>
    <x v="0"/>
    <x v="2"/>
    <x v="4"/>
    <n v="15"/>
    <n v="20830"/>
    <n v="312450"/>
    <n v="312450"/>
  </r>
  <r>
    <n v="10146"/>
    <d v="2023-12-28T00:00:00"/>
    <x v="6"/>
    <x v="2"/>
    <x v="3"/>
    <n v="3"/>
    <n v="27437"/>
    <n v="82311"/>
    <n v="82311"/>
  </r>
  <r>
    <n v="10147"/>
    <d v="2023-04-25T00:00:00"/>
    <x v="4"/>
    <x v="0"/>
    <x v="4"/>
    <n v="20"/>
    <n v="49087"/>
    <n v="981740"/>
    <n v="981740"/>
  </r>
  <r>
    <n v="10148"/>
    <d v="2023-08-15T00:00:00"/>
    <x v="6"/>
    <x v="1"/>
    <x v="2"/>
    <n v="20"/>
    <n v="54580"/>
    <n v="1091600"/>
    <n v="1091600"/>
  </r>
  <r>
    <n v="10149"/>
    <d v="2023-01-02T00:00:00"/>
    <x v="4"/>
    <x v="0"/>
    <x v="5"/>
    <n v="13"/>
    <n v="17822"/>
    <n v="231686"/>
    <n v="231686"/>
  </r>
  <r>
    <n v="10150"/>
    <d v="2023-01-07T00:00:00"/>
    <x v="1"/>
    <x v="3"/>
    <x v="4"/>
    <n v="6"/>
    <n v="51222"/>
    <n v="307332"/>
    <n v="307332"/>
  </r>
  <r>
    <n v="10151"/>
    <d v="2023-08-23T00:00:00"/>
    <x v="6"/>
    <x v="1"/>
    <x v="4"/>
    <n v="8"/>
    <n v="4645"/>
    <n v="37160"/>
    <n v="37160"/>
  </r>
  <r>
    <n v="10152"/>
    <d v="2023-11-01T00:00:00"/>
    <x v="4"/>
    <x v="0"/>
    <x v="5"/>
    <n v="1"/>
    <n v="16144"/>
    <n v="16144"/>
    <n v="16144"/>
  </r>
  <r>
    <n v="10153"/>
    <d v="2023-04-18T00:00:00"/>
    <x v="4"/>
    <x v="3"/>
    <x v="1"/>
    <n v="5"/>
    <n v="23012"/>
    <n v="115060"/>
    <n v="115060"/>
  </r>
  <r>
    <n v="10154"/>
    <d v="2023-08-31T00:00:00"/>
    <x v="1"/>
    <x v="2"/>
    <x v="4"/>
    <n v="7"/>
    <n v="3566"/>
    <n v="24962"/>
    <n v="24962"/>
  </r>
  <r>
    <n v="10155"/>
    <d v="2023-10-06T00:00:00"/>
    <x v="1"/>
    <x v="1"/>
    <x v="2"/>
    <n v="6"/>
    <n v="11287"/>
    <n v="67722"/>
    <n v="67722"/>
  </r>
  <r>
    <n v="10156"/>
    <d v="2023-10-15T00:00:00"/>
    <x v="4"/>
    <x v="0"/>
    <x v="4"/>
    <n v="1"/>
    <n v="35024"/>
    <n v="35024"/>
    <n v="35024"/>
  </r>
  <r>
    <n v="10157"/>
    <d v="2023-08-06T00:00:00"/>
    <x v="1"/>
    <x v="1"/>
    <x v="0"/>
    <n v="5"/>
    <n v="50091"/>
    <n v="250455"/>
    <n v="250455"/>
  </r>
  <r>
    <n v="10158"/>
    <d v="2023-04-13T00:00:00"/>
    <x v="1"/>
    <x v="2"/>
    <x v="4"/>
    <n v="1"/>
    <n v="17623"/>
    <n v="17623"/>
    <n v="17623"/>
  </r>
  <r>
    <n v="10159"/>
    <d v="2023-07-31T00:00:00"/>
    <x v="3"/>
    <x v="3"/>
    <x v="1"/>
    <n v="12"/>
    <n v="52586"/>
    <n v="631032"/>
    <n v="631032"/>
  </r>
  <r>
    <n v="10160"/>
    <d v="2023-09-23T00:00:00"/>
    <x v="4"/>
    <x v="3"/>
    <x v="4"/>
    <n v="17"/>
    <n v="35128"/>
    <n v="597176"/>
    <n v="597176"/>
  </r>
  <r>
    <n v="10161"/>
    <d v="2023-08-05T00:00:00"/>
    <x v="2"/>
    <x v="1"/>
    <x v="3"/>
    <n v="7"/>
    <n v="54658"/>
    <n v="382606"/>
    <n v="382606"/>
  </r>
  <r>
    <n v="10162"/>
    <d v="2023-10-26T00:00:00"/>
    <x v="4"/>
    <x v="1"/>
    <x v="1"/>
    <n v="18"/>
    <n v="41609"/>
    <n v="748962"/>
    <n v="748962"/>
  </r>
  <r>
    <n v="10163"/>
    <d v="2023-10-12T00:00:00"/>
    <x v="5"/>
    <x v="2"/>
    <x v="5"/>
    <n v="7"/>
    <n v="17956"/>
    <n v="125692"/>
    <n v="125692"/>
  </r>
  <r>
    <n v="10164"/>
    <d v="2023-03-29T00:00:00"/>
    <x v="3"/>
    <x v="0"/>
    <x v="5"/>
    <n v="18"/>
    <n v="31542"/>
    <n v="567756"/>
    <n v="567756"/>
  </r>
  <r>
    <n v="10165"/>
    <d v="2023-01-27T00:00:00"/>
    <x v="2"/>
    <x v="2"/>
    <x v="4"/>
    <n v="4"/>
    <n v="40666"/>
    <n v="162664"/>
    <n v="162664"/>
  </r>
  <r>
    <n v="10166"/>
    <d v="2023-06-21T00:00:00"/>
    <x v="3"/>
    <x v="0"/>
    <x v="0"/>
    <n v="18"/>
    <n v="39290"/>
    <n v="707220"/>
    <n v="707220"/>
  </r>
  <r>
    <n v="10167"/>
    <d v="2023-12-01T00:00:00"/>
    <x v="4"/>
    <x v="0"/>
    <x v="0"/>
    <n v="14"/>
    <n v="52534"/>
    <n v="735476"/>
    <n v="735476"/>
  </r>
  <r>
    <n v="10168"/>
    <d v="2023-06-25T00:00:00"/>
    <x v="0"/>
    <x v="2"/>
    <x v="3"/>
    <n v="8"/>
    <n v="10777"/>
    <n v="86216"/>
    <n v="86216"/>
  </r>
  <r>
    <n v="10169"/>
    <d v="2023-01-07T00:00:00"/>
    <x v="3"/>
    <x v="3"/>
    <x v="4"/>
    <n v="9"/>
    <n v="6445"/>
    <n v="58005"/>
    <n v="58005"/>
  </r>
  <r>
    <n v="10170"/>
    <d v="2023-09-17T00:00:00"/>
    <x v="5"/>
    <x v="1"/>
    <x v="0"/>
    <n v="9"/>
    <n v="11782"/>
    <n v="106038"/>
    <n v="106038"/>
  </r>
  <r>
    <n v="10171"/>
    <d v="2023-12-10T00:00:00"/>
    <x v="5"/>
    <x v="0"/>
    <x v="3"/>
    <n v="4"/>
    <n v="48383"/>
    <n v="193532"/>
    <n v="193532"/>
  </r>
  <r>
    <n v="10172"/>
    <d v="2023-09-01T00:00:00"/>
    <x v="5"/>
    <x v="1"/>
    <x v="2"/>
    <n v="5"/>
    <n v="49940"/>
    <n v="249700"/>
    <n v="249700"/>
  </r>
  <r>
    <n v="10173"/>
    <d v="2023-07-16T00:00:00"/>
    <x v="2"/>
    <x v="2"/>
    <x v="1"/>
    <n v="12"/>
    <n v="36829"/>
    <n v="441948"/>
    <n v="441948"/>
  </r>
  <r>
    <n v="10174"/>
    <d v="2023-05-28T00:00:00"/>
    <x v="1"/>
    <x v="1"/>
    <x v="2"/>
    <n v="7"/>
    <n v="24627"/>
    <n v="172389"/>
    <n v="172389"/>
  </r>
  <r>
    <n v="10175"/>
    <d v="2023-02-07T00:00:00"/>
    <x v="0"/>
    <x v="2"/>
    <x v="4"/>
    <n v="18"/>
    <n v="7816"/>
    <n v="140688"/>
    <n v="140688"/>
  </r>
  <r>
    <n v="10176"/>
    <d v="2023-07-16T00:00:00"/>
    <x v="3"/>
    <x v="0"/>
    <x v="0"/>
    <n v="8"/>
    <n v="6260"/>
    <n v="50080"/>
    <n v="50080"/>
  </r>
  <r>
    <n v="10177"/>
    <d v="2023-04-05T00:00:00"/>
    <x v="2"/>
    <x v="0"/>
    <x v="1"/>
    <n v="15"/>
    <n v="49245"/>
    <n v="738675"/>
    <n v="738675"/>
  </r>
  <r>
    <n v="10178"/>
    <d v="2023-04-09T00:00:00"/>
    <x v="3"/>
    <x v="0"/>
    <x v="3"/>
    <n v="19"/>
    <n v="54901"/>
    <n v="1043119"/>
    <n v="1043119"/>
  </r>
  <r>
    <n v="10179"/>
    <d v="2023-07-01T00:00:00"/>
    <x v="3"/>
    <x v="3"/>
    <x v="2"/>
    <n v="8"/>
    <n v="20977"/>
    <n v="167816"/>
    <n v="167816"/>
  </r>
  <r>
    <n v="10180"/>
    <d v="2023-09-29T00:00:00"/>
    <x v="4"/>
    <x v="0"/>
    <x v="2"/>
    <n v="6"/>
    <n v="14814"/>
    <n v="88884"/>
    <n v="88884"/>
  </r>
  <r>
    <n v="10181"/>
    <d v="2023-01-30T00:00:00"/>
    <x v="0"/>
    <x v="1"/>
    <x v="3"/>
    <n v="5"/>
    <n v="17975"/>
    <n v="89875"/>
    <n v="89875"/>
  </r>
  <r>
    <n v="10182"/>
    <d v="2023-09-17T00:00:00"/>
    <x v="5"/>
    <x v="1"/>
    <x v="3"/>
    <n v="13"/>
    <n v="45054"/>
    <n v="585702"/>
    <n v="585702"/>
  </r>
  <r>
    <n v="10183"/>
    <d v="2023-10-29T00:00:00"/>
    <x v="3"/>
    <x v="2"/>
    <x v="1"/>
    <n v="1"/>
    <n v="45600"/>
    <n v="45600"/>
    <n v="45600"/>
  </r>
  <r>
    <n v="10184"/>
    <d v="2023-03-16T00:00:00"/>
    <x v="4"/>
    <x v="2"/>
    <x v="1"/>
    <n v="4"/>
    <n v="21193"/>
    <n v="84772"/>
    <n v="84772"/>
  </r>
  <r>
    <n v="10185"/>
    <d v="2023-03-02T00:00:00"/>
    <x v="1"/>
    <x v="3"/>
    <x v="3"/>
    <n v="15"/>
    <n v="29144"/>
    <n v="437160"/>
    <n v="437160"/>
  </r>
  <r>
    <n v="10186"/>
    <d v="2023-12-11T00:00:00"/>
    <x v="4"/>
    <x v="2"/>
    <x v="3"/>
    <n v="1"/>
    <n v="12322"/>
    <n v="12322"/>
    <n v="12322"/>
  </r>
  <r>
    <n v="10187"/>
    <d v="2023-10-24T00:00:00"/>
    <x v="3"/>
    <x v="1"/>
    <x v="0"/>
    <n v="16"/>
    <n v="38730"/>
    <n v="619680"/>
    <n v="619680"/>
  </r>
  <r>
    <n v="10188"/>
    <d v="2023-11-16T00:00:00"/>
    <x v="3"/>
    <x v="2"/>
    <x v="3"/>
    <n v="16"/>
    <n v="57057"/>
    <n v="912912"/>
    <n v="912912"/>
  </r>
  <r>
    <n v="10189"/>
    <d v="2023-09-21T00:00:00"/>
    <x v="6"/>
    <x v="0"/>
    <x v="3"/>
    <n v="5"/>
    <n v="9630"/>
    <n v="48150"/>
    <n v="48150"/>
  </r>
  <r>
    <n v="10190"/>
    <d v="2023-07-31T00:00:00"/>
    <x v="4"/>
    <x v="3"/>
    <x v="1"/>
    <n v="19"/>
    <n v="32741"/>
    <n v="622079"/>
    <n v="622079"/>
  </r>
  <r>
    <n v="10191"/>
    <d v="2023-03-20T00:00:00"/>
    <x v="0"/>
    <x v="3"/>
    <x v="2"/>
    <n v="16"/>
    <n v="39726"/>
    <n v="635616"/>
    <n v="635616"/>
  </r>
  <r>
    <n v="10192"/>
    <d v="2023-02-03T00:00:00"/>
    <x v="3"/>
    <x v="2"/>
    <x v="5"/>
    <n v="18"/>
    <n v="21797"/>
    <n v="392346"/>
    <n v="392346"/>
  </r>
  <r>
    <n v="10193"/>
    <d v="2023-03-08T00:00:00"/>
    <x v="5"/>
    <x v="1"/>
    <x v="2"/>
    <n v="12"/>
    <n v="36719"/>
    <n v="440628"/>
    <n v="440628"/>
  </r>
  <r>
    <n v="10194"/>
    <d v="2023-07-01T00:00:00"/>
    <x v="0"/>
    <x v="3"/>
    <x v="3"/>
    <n v="19"/>
    <n v="49201"/>
    <n v="934819"/>
    <n v="934819"/>
  </r>
  <r>
    <n v="10195"/>
    <d v="2023-11-10T00:00:00"/>
    <x v="4"/>
    <x v="2"/>
    <x v="1"/>
    <n v="1"/>
    <n v="18457"/>
    <n v="18457"/>
    <n v="18457"/>
  </r>
  <r>
    <n v="10196"/>
    <d v="2023-01-02T00:00:00"/>
    <x v="2"/>
    <x v="3"/>
    <x v="4"/>
    <n v="18"/>
    <n v="10543"/>
    <n v="189774"/>
    <n v="189774"/>
  </r>
  <r>
    <n v="10197"/>
    <d v="2023-12-04T00:00:00"/>
    <x v="6"/>
    <x v="3"/>
    <x v="2"/>
    <n v="5"/>
    <n v="40619"/>
    <n v="203095"/>
    <n v="203095"/>
  </r>
  <r>
    <n v="10198"/>
    <d v="2023-11-06T00:00:00"/>
    <x v="2"/>
    <x v="0"/>
    <x v="0"/>
    <n v="18"/>
    <n v="26964"/>
    <n v="485352"/>
    <n v="485352"/>
  </r>
  <r>
    <n v="10199"/>
    <d v="2023-12-09T00:00:00"/>
    <x v="6"/>
    <x v="0"/>
    <x v="4"/>
    <n v="2"/>
    <n v="25988"/>
    <n v="51976"/>
    <n v="51976"/>
  </r>
  <r>
    <n v="10200"/>
    <d v="2023-08-13T00:00:00"/>
    <x v="0"/>
    <x v="1"/>
    <x v="4"/>
    <n v="19"/>
    <n v="7866"/>
    <n v="149454"/>
    <n v="149454"/>
  </r>
  <r>
    <n v="10201"/>
    <d v="2023-01-08T00:00:00"/>
    <x v="2"/>
    <x v="1"/>
    <x v="3"/>
    <n v="15"/>
    <n v="41755"/>
    <n v="626325"/>
    <n v="626325"/>
  </r>
  <r>
    <n v="10202"/>
    <d v="2023-06-17T00:00:00"/>
    <x v="2"/>
    <x v="2"/>
    <x v="0"/>
    <n v="18"/>
    <n v="35215"/>
    <n v="633870"/>
    <n v="633870"/>
  </r>
  <r>
    <n v="10203"/>
    <d v="2023-11-26T00:00:00"/>
    <x v="3"/>
    <x v="2"/>
    <x v="1"/>
    <n v="13"/>
    <n v="7421"/>
    <n v="96473"/>
    <n v="96473"/>
  </r>
  <r>
    <n v="10204"/>
    <d v="2023-09-05T00:00:00"/>
    <x v="1"/>
    <x v="0"/>
    <x v="2"/>
    <n v="16"/>
    <n v="6041"/>
    <n v="96656"/>
    <n v="96656"/>
  </r>
  <r>
    <n v="10205"/>
    <d v="2023-12-28T00:00:00"/>
    <x v="2"/>
    <x v="3"/>
    <x v="0"/>
    <n v="1"/>
    <n v="47142"/>
    <n v="47142"/>
    <n v="47142"/>
  </r>
  <r>
    <n v="10206"/>
    <d v="2023-03-18T00:00:00"/>
    <x v="5"/>
    <x v="1"/>
    <x v="5"/>
    <n v="15"/>
    <n v="35096"/>
    <n v="526440"/>
    <n v="526440"/>
  </r>
  <r>
    <n v="10207"/>
    <d v="2023-03-15T00:00:00"/>
    <x v="3"/>
    <x v="1"/>
    <x v="2"/>
    <n v="8"/>
    <n v="51583"/>
    <n v="412664"/>
    <n v="412664"/>
  </r>
  <r>
    <n v="10208"/>
    <d v="2023-11-18T00:00:00"/>
    <x v="1"/>
    <x v="0"/>
    <x v="4"/>
    <n v="5"/>
    <n v="44722"/>
    <n v="223610"/>
    <n v="223610"/>
  </r>
  <r>
    <n v="10209"/>
    <d v="2023-05-25T00:00:00"/>
    <x v="5"/>
    <x v="2"/>
    <x v="1"/>
    <n v="8"/>
    <n v="34615"/>
    <n v="276920"/>
    <n v="276920"/>
  </r>
  <r>
    <n v="10210"/>
    <d v="2023-10-15T00:00:00"/>
    <x v="3"/>
    <x v="0"/>
    <x v="2"/>
    <n v="1"/>
    <n v="20346"/>
    <n v="20346"/>
    <n v="20346"/>
  </r>
  <r>
    <n v="10211"/>
    <d v="2023-07-30T00:00:00"/>
    <x v="1"/>
    <x v="1"/>
    <x v="5"/>
    <n v="15"/>
    <n v="30912"/>
    <n v="463680"/>
    <n v="463680"/>
  </r>
  <r>
    <n v="10212"/>
    <d v="2023-05-07T00:00:00"/>
    <x v="6"/>
    <x v="3"/>
    <x v="0"/>
    <n v="15"/>
    <n v="51193"/>
    <n v="767895"/>
    <n v="767895"/>
  </r>
  <r>
    <n v="10213"/>
    <d v="2023-11-05T00:00:00"/>
    <x v="4"/>
    <x v="3"/>
    <x v="1"/>
    <n v="11"/>
    <n v="52205"/>
    <n v="574255"/>
    <n v="574255"/>
  </r>
  <r>
    <n v="10214"/>
    <d v="2023-08-31T00:00:00"/>
    <x v="3"/>
    <x v="0"/>
    <x v="3"/>
    <n v="14"/>
    <n v="14984"/>
    <n v="209776"/>
    <n v="209776"/>
  </r>
  <r>
    <n v="10215"/>
    <d v="2023-05-30T00:00:00"/>
    <x v="6"/>
    <x v="0"/>
    <x v="2"/>
    <n v="8"/>
    <n v="50369"/>
    <n v="402952"/>
    <n v="402952"/>
  </r>
  <r>
    <n v="10216"/>
    <d v="2023-11-11T00:00:00"/>
    <x v="0"/>
    <x v="0"/>
    <x v="4"/>
    <n v="6"/>
    <n v="30009"/>
    <n v="180054"/>
    <n v="180054"/>
  </r>
  <r>
    <n v="10217"/>
    <d v="2023-01-22T00:00:00"/>
    <x v="0"/>
    <x v="2"/>
    <x v="4"/>
    <n v="8"/>
    <n v="26855"/>
    <n v="214840"/>
    <n v="214840"/>
  </r>
  <r>
    <n v="10218"/>
    <d v="2023-05-02T00:00:00"/>
    <x v="3"/>
    <x v="2"/>
    <x v="5"/>
    <n v="5"/>
    <n v="41733"/>
    <n v="208665"/>
    <n v="208665"/>
  </r>
  <r>
    <n v="10219"/>
    <d v="2023-02-08T00:00:00"/>
    <x v="5"/>
    <x v="1"/>
    <x v="2"/>
    <n v="9"/>
    <n v="6730"/>
    <n v="60570"/>
    <n v="60570"/>
  </r>
  <r>
    <n v="10220"/>
    <d v="2023-01-23T00:00:00"/>
    <x v="6"/>
    <x v="3"/>
    <x v="0"/>
    <n v="9"/>
    <n v="29527"/>
    <n v="265743"/>
    <n v="265743"/>
  </r>
  <r>
    <n v="10221"/>
    <d v="2023-04-30T00:00:00"/>
    <x v="2"/>
    <x v="1"/>
    <x v="0"/>
    <n v="6"/>
    <n v="55071"/>
    <n v="330426"/>
    <n v="330426"/>
  </r>
  <r>
    <n v="10222"/>
    <d v="2023-11-01T00:00:00"/>
    <x v="5"/>
    <x v="2"/>
    <x v="0"/>
    <n v="5"/>
    <n v="10451"/>
    <n v="52255"/>
    <n v="52255"/>
  </r>
  <r>
    <n v="10223"/>
    <d v="2023-03-29T00:00:00"/>
    <x v="1"/>
    <x v="1"/>
    <x v="3"/>
    <n v="19"/>
    <n v="38036"/>
    <n v="722684"/>
    <n v="722684"/>
  </r>
  <r>
    <n v="10224"/>
    <d v="2023-01-09T00:00:00"/>
    <x v="1"/>
    <x v="0"/>
    <x v="4"/>
    <n v="3"/>
    <n v="17656"/>
    <n v="52968"/>
    <n v="52968"/>
  </r>
  <r>
    <n v="10225"/>
    <d v="2023-04-03T00:00:00"/>
    <x v="3"/>
    <x v="1"/>
    <x v="0"/>
    <n v="3"/>
    <n v="55008"/>
    <n v="165024"/>
    <n v="165024"/>
  </r>
  <r>
    <n v="10226"/>
    <d v="2023-05-04T00:00:00"/>
    <x v="3"/>
    <x v="3"/>
    <x v="2"/>
    <n v="19"/>
    <n v="16236"/>
    <n v="308484"/>
    <n v="308484"/>
  </r>
  <r>
    <n v="10227"/>
    <d v="2023-01-03T00:00:00"/>
    <x v="6"/>
    <x v="3"/>
    <x v="5"/>
    <n v="14"/>
    <n v="59790"/>
    <n v="837060"/>
    <n v="837060"/>
  </r>
  <r>
    <n v="10228"/>
    <d v="2023-11-16T00:00:00"/>
    <x v="5"/>
    <x v="3"/>
    <x v="2"/>
    <n v="8"/>
    <n v="54471"/>
    <n v="435768"/>
    <n v="435768"/>
  </r>
  <r>
    <n v="10229"/>
    <d v="2023-11-28T00:00:00"/>
    <x v="2"/>
    <x v="0"/>
    <x v="5"/>
    <n v="12"/>
    <n v="6528"/>
    <n v="78336"/>
    <n v="78336"/>
  </r>
  <r>
    <n v="10230"/>
    <d v="2023-11-12T00:00:00"/>
    <x v="3"/>
    <x v="2"/>
    <x v="0"/>
    <n v="13"/>
    <n v="34736"/>
    <n v="451568"/>
    <n v="451568"/>
  </r>
  <r>
    <n v="10231"/>
    <d v="2023-01-07T00:00:00"/>
    <x v="0"/>
    <x v="1"/>
    <x v="2"/>
    <n v="5"/>
    <n v="27153"/>
    <n v="135765"/>
    <n v="135765"/>
  </r>
  <r>
    <n v="10232"/>
    <d v="2023-04-30T00:00:00"/>
    <x v="2"/>
    <x v="1"/>
    <x v="4"/>
    <n v="4"/>
    <n v="20989"/>
    <n v="83956"/>
    <n v="83956"/>
  </r>
  <r>
    <n v="10233"/>
    <d v="2023-02-21T00:00:00"/>
    <x v="3"/>
    <x v="2"/>
    <x v="0"/>
    <n v="20"/>
    <n v="30342"/>
    <n v="606840"/>
    <n v="606840"/>
  </r>
  <r>
    <n v="10234"/>
    <d v="2023-05-07T00:00:00"/>
    <x v="6"/>
    <x v="2"/>
    <x v="4"/>
    <n v="13"/>
    <n v="51791"/>
    <n v="673283"/>
    <n v="673283"/>
  </r>
  <r>
    <n v="10235"/>
    <d v="2023-07-18T00:00:00"/>
    <x v="2"/>
    <x v="2"/>
    <x v="1"/>
    <n v="18"/>
    <n v="41002"/>
    <n v="738036"/>
    <n v="738036"/>
  </r>
  <r>
    <n v="10236"/>
    <d v="2023-04-05T00:00:00"/>
    <x v="4"/>
    <x v="3"/>
    <x v="0"/>
    <n v="17"/>
    <n v="18735"/>
    <n v="318495"/>
    <n v="318495"/>
  </r>
  <r>
    <n v="10237"/>
    <d v="2023-02-09T00:00:00"/>
    <x v="3"/>
    <x v="0"/>
    <x v="2"/>
    <n v="9"/>
    <n v="39512"/>
    <n v="355608"/>
    <n v="355608"/>
  </r>
  <r>
    <n v="10238"/>
    <d v="2023-12-26T00:00:00"/>
    <x v="0"/>
    <x v="1"/>
    <x v="1"/>
    <n v="18"/>
    <n v="51485"/>
    <n v="926730"/>
    <n v="926730"/>
  </r>
  <r>
    <n v="10239"/>
    <d v="2023-03-24T00:00:00"/>
    <x v="4"/>
    <x v="1"/>
    <x v="0"/>
    <n v="5"/>
    <n v="28579"/>
    <n v="142895"/>
    <n v="142895"/>
  </r>
  <r>
    <n v="10240"/>
    <d v="2023-07-21T00:00:00"/>
    <x v="0"/>
    <x v="2"/>
    <x v="4"/>
    <n v="1"/>
    <n v="17711"/>
    <n v="17711"/>
    <n v="17711"/>
  </r>
  <r>
    <n v="10241"/>
    <d v="2023-11-18T00:00:00"/>
    <x v="2"/>
    <x v="2"/>
    <x v="2"/>
    <n v="2"/>
    <n v="53612"/>
    <n v="107224"/>
    <n v="107224"/>
  </r>
  <r>
    <n v="10242"/>
    <d v="2023-01-10T00:00:00"/>
    <x v="4"/>
    <x v="2"/>
    <x v="4"/>
    <n v="14"/>
    <n v="16024"/>
    <n v="224336"/>
    <n v="224336"/>
  </r>
  <r>
    <n v="10243"/>
    <d v="2023-12-15T00:00:00"/>
    <x v="4"/>
    <x v="2"/>
    <x v="5"/>
    <n v="18"/>
    <n v="18883"/>
    <n v="339894"/>
    <n v="339894"/>
  </r>
  <r>
    <n v="10244"/>
    <d v="2023-05-21T00:00:00"/>
    <x v="4"/>
    <x v="0"/>
    <x v="0"/>
    <n v="12"/>
    <n v="45998"/>
    <n v="551976"/>
    <n v="551976"/>
  </r>
  <r>
    <n v="10245"/>
    <d v="2023-04-20T00:00:00"/>
    <x v="4"/>
    <x v="3"/>
    <x v="1"/>
    <n v="6"/>
    <n v="18242"/>
    <n v="109452"/>
    <n v="109452"/>
  </r>
  <r>
    <n v="10246"/>
    <d v="2023-04-17T00:00:00"/>
    <x v="6"/>
    <x v="1"/>
    <x v="2"/>
    <n v="8"/>
    <n v="8494"/>
    <n v="67952"/>
    <n v="67952"/>
  </r>
  <r>
    <n v="10247"/>
    <d v="2023-11-26T00:00:00"/>
    <x v="0"/>
    <x v="1"/>
    <x v="1"/>
    <n v="17"/>
    <n v="5163"/>
    <n v="87771"/>
    <n v="87771"/>
  </r>
  <r>
    <n v="10248"/>
    <d v="2023-09-27T00:00:00"/>
    <x v="5"/>
    <x v="1"/>
    <x v="1"/>
    <n v="2"/>
    <n v="41025"/>
    <n v="82050"/>
    <n v="82050"/>
  </r>
  <r>
    <n v="10249"/>
    <d v="2023-05-09T00:00:00"/>
    <x v="0"/>
    <x v="0"/>
    <x v="3"/>
    <n v="17"/>
    <n v="37238"/>
    <n v="633046"/>
    <n v="633046"/>
  </r>
  <r>
    <n v="10250"/>
    <d v="2023-01-24T00:00:00"/>
    <x v="6"/>
    <x v="1"/>
    <x v="0"/>
    <n v="10"/>
    <n v="15609"/>
    <n v="156090"/>
    <n v="156090"/>
  </r>
  <r>
    <n v="10251"/>
    <d v="2023-08-19T00:00:00"/>
    <x v="6"/>
    <x v="1"/>
    <x v="3"/>
    <n v="2"/>
    <n v="3002"/>
    <n v="6004"/>
    <n v="6004"/>
  </r>
  <r>
    <n v="10252"/>
    <d v="2023-06-01T00:00:00"/>
    <x v="6"/>
    <x v="2"/>
    <x v="4"/>
    <n v="9"/>
    <n v="13962"/>
    <n v="125658"/>
    <n v="125658"/>
  </r>
  <r>
    <n v="10253"/>
    <d v="2023-01-14T00:00:00"/>
    <x v="4"/>
    <x v="2"/>
    <x v="0"/>
    <n v="13"/>
    <n v="34488"/>
    <n v="448344"/>
    <n v="448344"/>
  </r>
  <r>
    <n v="10254"/>
    <d v="2023-01-26T00:00:00"/>
    <x v="0"/>
    <x v="0"/>
    <x v="4"/>
    <n v="6"/>
    <n v="52586"/>
    <n v="315516"/>
    <n v="315516"/>
  </r>
  <r>
    <n v="10255"/>
    <d v="2023-12-24T00:00:00"/>
    <x v="6"/>
    <x v="0"/>
    <x v="5"/>
    <n v="2"/>
    <n v="13355"/>
    <n v="26710"/>
    <n v="26710"/>
  </r>
  <r>
    <n v="10256"/>
    <d v="2023-03-13T00:00:00"/>
    <x v="2"/>
    <x v="0"/>
    <x v="4"/>
    <n v="17"/>
    <n v="984"/>
    <n v="16728"/>
    <n v="16728"/>
  </r>
  <r>
    <n v="10257"/>
    <d v="2023-01-12T00:00:00"/>
    <x v="2"/>
    <x v="2"/>
    <x v="4"/>
    <n v="20"/>
    <n v="11143"/>
    <n v="222860"/>
    <n v="222860"/>
  </r>
  <r>
    <n v="10258"/>
    <d v="2023-09-23T00:00:00"/>
    <x v="2"/>
    <x v="2"/>
    <x v="2"/>
    <n v="15"/>
    <n v="53428"/>
    <n v="801420"/>
    <n v="801420"/>
  </r>
  <r>
    <n v="10259"/>
    <d v="2023-04-26T00:00:00"/>
    <x v="4"/>
    <x v="3"/>
    <x v="2"/>
    <n v="16"/>
    <n v="11260"/>
    <n v="180160"/>
    <n v="180160"/>
  </r>
  <r>
    <n v="10260"/>
    <d v="2023-03-11T00:00:00"/>
    <x v="0"/>
    <x v="2"/>
    <x v="1"/>
    <n v="7"/>
    <n v="17276"/>
    <n v="120932"/>
    <n v="120932"/>
  </r>
  <r>
    <n v="10261"/>
    <d v="2023-08-03T00:00:00"/>
    <x v="1"/>
    <x v="0"/>
    <x v="1"/>
    <n v="2"/>
    <n v="10797"/>
    <n v="21594"/>
    <n v="21594"/>
  </r>
  <r>
    <n v="10262"/>
    <d v="2023-03-07T00:00:00"/>
    <x v="3"/>
    <x v="0"/>
    <x v="4"/>
    <n v="16"/>
    <n v="47302"/>
    <n v="756832"/>
    <n v="756832"/>
  </r>
  <r>
    <n v="10263"/>
    <d v="2023-12-18T00:00:00"/>
    <x v="5"/>
    <x v="1"/>
    <x v="2"/>
    <n v="7"/>
    <n v="11929"/>
    <n v="83503"/>
    <n v="83503"/>
  </r>
  <r>
    <n v="10264"/>
    <d v="2023-03-06T00:00:00"/>
    <x v="3"/>
    <x v="3"/>
    <x v="4"/>
    <n v="13"/>
    <n v="46217"/>
    <n v="600821"/>
    <n v="600821"/>
  </r>
  <r>
    <n v="10265"/>
    <d v="2023-05-26T00:00:00"/>
    <x v="3"/>
    <x v="0"/>
    <x v="1"/>
    <n v="18"/>
    <n v="18140"/>
    <n v="326520"/>
    <n v="326520"/>
  </r>
  <r>
    <n v="10266"/>
    <d v="2023-12-16T00:00:00"/>
    <x v="1"/>
    <x v="2"/>
    <x v="5"/>
    <n v="4"/>
    <n v="2361"/>
    <n v="9444"/>
    <n v="9444"/>
  </r>
  <r>
    <n v="10267"/>
    <d v="2023-05-11T00:00:00"/>
    <x v="6"/>
    <x v="2"/>
    <x v="1"/>
    <n v="13"/>
    <n v="4955"/>
    <n v="64415"/>
    <n v="64415"/>
  </r>
  <r>
    <n v="10268"/>
    <d v="2023-04-27T00:00:00"/>
    <x v="5"/>
    <x v="2"/>
    <x v="2"/>
    <n v="16"/>
    <n v="3414"/>
    <n v="54624"/>
    <n v="54624"/>
  </r>
  <r>
    <n v="10269"/>
    <d v="2023-03-07T00:00:00"/>
    <x v="1"/>
    <x v="3"/>
    <x v="4"/>
    <n v="9"/>
    <n v="30302"/>
    <n v="272718"/>
    <n v="272718"/>
  </r>
  <r>
    <n v="10270"/>
    <d v="2023-03-13T00:00:00"/>
    <x v="0"/>
    <x v="3"/>
    <x v="0"/>
    <n v="1"/>
    <n v="9985"/>
    <n v="9985"/>
    <n v="9985"/>
  </r>
  <r>
    <n v="10271"/>
    <d v="2023-10-07T00:00:00"/>
    <x v="6"/>
    <x v="3"/>
    <x v="1"/>
    <n v="9"/>
    <n v="38345"/>
    <n v="345105"/>
    <n v="345105"/>
  </r>
  <r>
    <n v="10272"/>
    <d v="2023-07-02T00:00:00"/>
    <x v="5"/>
    <x v="3"/>
    <x v="5"/>
    <n v="11"/>
    <n v="44136"/>
    <n v="485496"/>
    <n v="485496"/>
  </r>
  <r>
    <n v="10273"/>
    <d v="2023-09-26T00:00:00"/>
    <x v="6"/>
    <x v="0"/>
    <x v="0"/>
    <n v="20"/>
    <n v="53436"/>
    <n v="1068720"/>
    <n v="1068720"/>
  </r>
  <r>
    <n v="10274"/>
    <d v="2023-09-06T00:00:00"/>
    <x v="4"/>
    <x v="2"/>
    <x v="0"/>
    <n v="14"/>
    <n v="53953"/>
    <n v="755342"/>
    <n v="755342"/>
  </r>
  <r>
    <n v="10275"/>
    <d v="2023-07-05T00:00:00"/>
    <x v="2"/>
    <x v="0"/>
    <x v="4"/>
    <n v="16"/>
    <n v="4681"/>
    <n v="74896"/>
    <n v="74896"/>
  </r>
  <r>
    <n v="10276"/>
    <d v="2023-04-11T00:00:00"/>
    <x v="3"/>
    <x v="3"/>
    <x v="1"/>
    <n v="2"/>
    <n v="38571"/>
    <n v="77142"/>
    <n v="77142"/>
  </r>
  <r>
    <n v="10277"/>
    <d v="2023-01-15T00:00:00"/>
    <x v="6"/>
    <x v="2"/>
    <x v="4"/>
    <n v="15"/>
    <n v="18551"/>
    <n v="278265"/>
    <n v="278265"/>
  </r>
  <r>
    <n v="10278"/>
    <d v="2023-02-28T00:00:00"/>
    <x v="1"/>
    <x v="2"/>
    <x v="1"/>
    <n v="15"/>
    <n v="28753"/>
    <n v="431295"/>
    <n v="431295"/>
  </r>
  <r>
    <n v="10279"/>
    <d v="2023-04-30T00:00:00"/>
    <x v="4"/>
    <x v="0"/>
    <x v="3"/>
    <n v="18"/>
    <n v="28797"/>
    <n v="518346"/>
    <n v="518346"/>
  </r>
  <r>
    <n v="10280"/>
    <d v="2023-10-30T00:00:00"/>
    <x v="4"/>
    <x v="3"/>
    <x v="5"/>
    <n v="13"/>
    <n v="762"/>
    <n v="9906"/>
    <n v="9906"/>
  </r>
  <r>
    <n v="10281"/>
    <d v="2023-11-20T00:00:00"/>
    <x v="5"/>
    <x v="3"/>
    <x v="1"/>
    <n v="13"/>
    <n v="16775"/>
    <n v="218075"/>
    <n v="218075"/>
  </r>
  <r>
    <n v="10282"/>
    <d v="2023-10-14T00:00:00"/>
    <x v="1"/>
    <x v="1"/>
    <x v="5"/>
    <n v="10"/>
    <n v="5770"/>
    <n v="57700"/>
    <n v="57700"/>
  </r>
  <r>
    <n v="10283"/>
    <d v="2023-04-26T00:00:00"/>
    <x v="5"/>
    <x v="1"/>
    <x v="5"/>
    <n v="13"/>
    <n v="58186"/>
    <n v="756418"/>
    <n v="756418"/>
  </r>
  <r>
    <n v="10284"/>
    <d v="2023-12-19T00:00:00"/>
    <x v="6"/>
    <x v="3"/>
    <x v="1"/>
    <n v="16"/>
    <n v="46659"/>
    <n v="746544"/>
    <n v="746544"/>
  </r>
  <r>
    <n v="10285"/>
    <d v="2023-06-21T00:00:00"/>
    <x v="6"/>
    <x v="1"/>
    <x v="5"/>
    <n v="12"/>
    <n v="31431"/>
    <n v="377172"/>
    <n v="377172"/>
  </r>
  <r>
    <n v="10286"/>
    <d v="2023-10-07T00:00:00"/>
    <x v="3"/>
    <x v="0"/>
    <x v="0"/>
    <n v="8"/>
    <n v="29355"/>
    <n v="234840"/>
    <n v="234840"/>
  </r>
  <r>
    <n v="10287"/>
    <d v="2023-09-12T00:00:00"/>
    <x v="3"/>
    <x v="0"/>
    <x v="5"/>
    <n v="20"/>
    <n v="29068"/>
    <n v="581360"/>
    <n v="581360"/>
  </r>
  <r>
    <n v="10288"/>
    <d v="2023-09-10T00:00:00"/>
    <x v="5"/>
    <x v="3"/>
    <x v="0"/>
    <n v="11"/>
    <n v="5667"/>
    <n v="62337"/>
    <n v="62337"/>
  </r>
  <r>
    <n v="10289"/>
    <d v="2024-01-01T00:00:00"/>
    <x v="0"/>
    <x v="0"/>
    <x v="4"/>
    <n v="11"/>
    <n v="31428"/>
    <n v="345708"/>
    <n v="345708"/>
  </r>
  <r>
    <n v="10290"/>
    <d v="2023-07-08T00:00:00"/>
    <x v="0"/>
    <x v="2"/>
    <x v="4"/>
    <n v="20"/>
    <n v="48724"/>
    <n v="974480"/>
    <n v="974480"/>
  </r>
  <r>
    <n v="10291"/>
    <d v="2023-08-18T00:00:00"/>
    <x v="2"/>
    <x v="3"/>
    <x v="0"/>
    <n v="9"/>
    <n v="12415"/>
    <n v="111735"/>
    <n v="111735"/>
  </r>
  <r>
    <n v="10292"/>
    <d v="2023-11-17T00:00:00"/>
    <x v="4"/>
    <x v="1"/>
    <x v="0"/>
    <n v="6"/>
    <n v="6333"/>
    <n v="37998"/>
    <n v="37998"/>
  </r>
  <r>
    <n v="10293"/>
    <d v="2023-01-02T00:00:00"/>
    <x v="5"/>
    <x v="0"/>
    <x v="1"/>
    <n v="11"/>
    <n v="50762"/>
    <n v="558382"/>
    <n v="558382"/>
  </r>
  <r>
    <n v="10294"/>
    <d v="2023-11-19T00:00:00"/>
    <x v="0"/>
    <x v="0"/>
    <x v="3"/>
    <n v="1"/>
    <n v="36890"/>
    <n v="36890"/>
    <n v="36890"/>
  </r>
  <r>
    <n v="10295"/>
    <d v="2023-05-07T00:00:00"/>
    <x v="5"/>
    <x v="2"/>
    <x v="4"/>
    <n v="8"/>
    <n v="59766"/>
    <n v="478128"/>
    <n v="478128"/>
  </r>
  <r>
    <n v="10296"/>
    <d v="2023-08-04T00:00:00"/>
    <x v="2"/>
    <x v="2"/>
    <x v="0"/>
    <n v="6"/>
    <n v="40710"/>
    <n v="244260"/>
    <n v="244260"/>
  </r>
  <r>
    <n v="10297"/>
    <d v="2023-06-15T00:00:00"/>
    <x v="3"/>
    <x v="0"/>
    <x v="2"/>
    <n v="11"/>
    <n v="51617"/>
    <n v="567787"/>
    <n v="567787"/>
  </r>
  <r>
    <n v="10298"/>
    <d v="2023-02-06T00:00:00"/>
    <x v="4"/>
    <x v="2"/>
    <x v="0"/>
    <n v="1"/>
    <n v="32396"/>
    <n v="32396"/>
    <n v="32396"/>
  </r>
  <r>
    <n v="10299"/>
    <d v="2023-03-12T00:00:00"/>
    <x v="6"/>
    <x v="0"/>
    <x v="0"/>
    <n v="5"/>
    <n v="45922"/>
    <n v="229610"/>
    <n v="229610"/>
  </r>
  <r>
    <n v="10300"/>
    <d v="2023-01-30T00:00:00"/>
    <x v="6"/>
    <x v="2"/>
    <x v="4"/>
    <n v="20"/>
    <n v="39471"/>
    <n v="789420"/>
    <n v="789420"/>
  </r>
  <r>
    <n v="10301"/>
    <d v="2023-02-01T00:00:00"/>
    <x v="3"/>
    <x v="2"/>
    <x v="2"/>
    <n v="6"/>
    <n v="31022"/>
    <n v="186132"/>
    <n v="186132"/>
  </r>
  <r>
    <n v="10302"/>
    <d v="2023-08-04T00:00:00"/>
    <x v="5"/>
    <x v="3"/>
    <x v="4"/>
    <n v="11"/>
    <n v="30303"/>
    <n v="333333"/>
    <n v="333333"/>
  </r>
  <r>
    <n v="10303"/>
    <d v="2023-08-29T00:00:00"/>
    <x v="0"/>
    <x v="1"/>
    <x v="4"/>
    <n v="5"/>
    <n v="9754"/>
    <n v="48770"/>
    <n v="48770"/>
  </r>
  <r>
    <n v="10304"/>
    <d v="2023-08-13T00:00:00"/>
    <x v="1"/>
    <x v="0"/>
    <x v="1"/>
    <n v="6"/>
    <n v="40081"/>
    <n v="240486"/>
    <n v="240486"/>
  </r>
  <r>
    <n v="10305"/>
    <d v="2023-06-07T00:00:00"/>
    <x v="0"/>
    <x v="0"/>
    <x v="0"/>
    <n v="4"/>
    <n v="4060"/>
    <n v="16240"/>
    <n v="16240"/>
  </r>
  <r>
    <n v="10306"/>
    <d v="2023-08-01T00:00:00"/>
    <x v="4"/>
    <x v="1"/>
    <x v="0"/>
    <n v="13"/>
    <n v="1805"/>
    <n v="23465"/>
    <n v="23465"/>
  </r>
  <r>
    <n v="10307"/>
    <d v="2023-12-12T00:00:00"/>
    <x v="5"/>
    <x v="3"/>
    <x v="3"/>
    <n v="20"/>
    <n v="14445"/>
    <n v="288900"/>
    <n v="288900"/>
  </r>
  <r>
    <n v="10308"/>
    <d v="2023-10-02T00:00:00"/>
    <x v="4"/>
    <x v="0"/>
    <x v="2"/>
    <n v="5"/>
    <n v="51616"/>
    <n v="258080"/>
    <n v="258080"/>
  </r>
  <r>
    <n v="10309"/>
    <d v="2023-04-19T00:00:00"/>
    <x v="0"/>
    <x v="1"/>
    <x v="1"/>
    <n v="8"/>
    <n v="52638"/>
    <n v="421104"/>
    <n v="421104"/>
  </r>
  <r>
    <n v="10310"/>
    <d v="2023-09-11T00:00:00"/>
    <x v="1"/>
    <x v="1"/>
    <x v="4"/>
    <n v="5"/>
    <n v="53898"/>
    <n v="269490"/>
    <n v="269490"/>
  </r>
  <r>
    <n v="10311"/>
    <d v="2023-11-03T00:00:00"/>
    <x v="3"/>
    <x v="2"/>
    <x v="1"/>
    <n v="18"/>
    <n v="52618"/>
    <n v="947124"/>
    <n v="947124"/>
  </r>
  <r>
    <n v="10312"/>
    <d v="2023-03-10T00:00:00"/>
    <x v="0"/>
    <x v="3"/>
    <x v="5"/>
    <n v="14"/>
    <n v="3407"/>
    <n v="47698"/>
    <n v="47698"/>
  </r>
  <r>
    <n v="10313"/>
    <d v="2023-01-02T00:00:00"/>
    <x v="6"/>
    <x v="2"/>
    <x v="0"/>
    <n v="5"/>
    <n v="54369"/>
    <n v="271845"/>
    <n v="271845"/>
  </r>
  <r>
    <n v="10314"/>
    <d v="2023-05-14T00:00:00"/>
    <x v="0"/>
    <x v="2"/>
    <x v="5"/>
    <n v="4"/>
    <n v="38621"/>
    <n v="154484"/>
    <n v="154484"/>
  </r>
  <r>
    <n v="10315"/>
    <d v="2023-09-09T00:00:00"/>
    <x v="1"/>
    <x v="2"/>
    <x v="5"/>
    <n v="7"/>
    <n v="47758"/>
    <n v="334306"/>
    <n v="334306"/>
  </r>
  <r>
    <n v="10316"/>
    <d v="2023-09-14T00:00:00"/>
    <x v="2"/>
    <x v="0"/>
    <x v="5"/>
    <n v="7"/>
    <n v="11412"/>
    <n v="79884"/>
    <n v="79884"/>
  </r>
  <r>
    <n v="10317"/>
    <d v="2023-02-23T00:00:00"/>
    <x v="5"/>
    <x v="3"/>
    <x v="2"/>
    <n v="14"/>
    <n v="56302"/>
    <n v="788228"/>
    <n v="788228"/>
  </r>
  <r>
    <n v="10318"/>
    <d v="2023-07-23T00:00:00"/>
    <x v="0"/>
    <x v="2"/>
    <x v="3"/>
    <n v="8"/>
    <n v="11004"/>
    <n v="88032"/>
    <n v="88032"/>
  </r>
  <r>
    <n v="10319"/>
    <d v="2023-01-04T00:00:00"/>
    <x v="6"/>
    <x v="0"/>
    <x v="3"/>
    <n v="1"/>
    <n v="52306"/>
    <n v="52306"/>
    <n v="52306"/>
  </r>
  <r>
    <n v="10320"/>
    <d v="2023-03-13T00:00:00"/>
    <x v="6"/>
    <x v="2"/>
    <x v="2"/>
    <n v="19"/>
    <n v="18134"/>
    <n v="344546"/>
    <n v="344546"/>
  </r>
  <r>
    <n v="10321"/>
    <d v="2023-02-17T00:00:00"/>
    <x v="6"/>
    <x v="3"/>
    <x v="3"/>
    <n v="16"/>
    <n v="38952"/>
    <n v="623232"/>
    <n v="623232"/>
  </r>
  <r>
    <n v="10322"/>
    <d v="2023-05-07T00:00:00"/>
    <x v="1"/>
    <x v="2"/>
    <x v="0"/>
    <n v="1"/>
    <n v="37841"/>
    <n v="37841"/>
    <n v="37841"/>
  </r>
  <r>
    <n v="10323"/>
    <d v="2023-06-15T00:00:00"/>
    <x v="5"/>
    <x v="2"/>
    <x v="1"/>
    <n v="17"/>
    <n v="26686"/>
    <n v="453662"/>
    <n v="453662"/>
  </r>
  <r>
    <n v="10324"/>
    <d v="2023-05-03T00:00:00"/>
    <x v="3"/>
    <x v="0"/>
    <x v="0"/>
    <n v="10"/>
    <n v="12572"/>
    <n v="125720"/>
    <n v="125720"/>
  </r>
  <r>
    <n v="10325"/>
    <d v="2023-07-15T00:00:00"/>
    <x v="2"/>
    <x v="2"/>
    <x v="4"/>
    <n v="9"/>
    <n v="58449"/>
    <n v="526041"/>
    <n v="526041"/>
  </r>
  <r>
    <n v="10326"/>
    <d v="2023-11-19T00:00:00"/>
    <x v="3"/>
    <x v="1"/>
    <x v="1"/>
    <n v="9"/>
    <n v="12382"/>
    <n v="111438"/>
    <n v="111438"/>
  </r>
  <r>
    <n v="10327"/>
    <d v="2023-05-31T00:00:00"/>
    <x v="6"/>
    <x v="1"/>
    <x v="2"/>
    <n v="2"/>
    <n v="33612"/>
    <n v="67224"/>
    <n v="67224"/>
  </r>
  <r>
    <n v="10328"/>
    <d v="2023-04-03T00:00:00"/>
    <x v="6"/>
    <x v="2"/>
    <x v="5"/>
    <n v="14"/>
    <n v="8989"/>
    <n v="125846"/>
    <n v="125846"/>
  </r>
  <r>
    <n v="10329"/>
    <d v="2023-03-25T00:00:00"/>
    <x v="4"/>
    <x v="0"/>
    <x v="3"/>
    <n v="3"/>
    <n v="56994"/>
    <n v="170982"/>
    <n v="170982"/>
  </r>
  <r>
    <n v="10330"/>
    <d v="2023-07-25T00:00:00"/>
    <x v="4"/>
    <x v="0"/>
    <x v="5"/>
    <n v="6"/>
    <n v="8924"/>
    <n v="53544"/>
    <n v="53544"/>
  </r>
  <r>
    <n v="10331"/>
    <d v="2023-10-20T00:00:00"/>
    <x v="3"/>
    <x v="1"/>
    <x v="5"/>
    <n v="15"/>
    <n v="54790"/>
    <n v="821850"/>
    <n v="821850"/>
  </r>
  <r>
    <n v="10332"/>
    <d v="2023-04-17T00:00:00"/>
    <x v="3"/>
    <x v="0"/>
    <x v="0"/>
    <n v="16"/>
    <n v="7528"/>
    <n v="120448"/>
    <n v="120448"/>
  </r>
  <r>
    <n v="10333"/>
    <d v="2023-02-19T00:00:00"/>
    <x v="2"/>
    <x v="3"/>
    <x v="1"/>
    <n v="19"/>
    <n v="30562"/>
    <n v="580678"/>
    <n v="580678"/>
  </r>
  <r>
    <n v="10334"/>
    <d v="2023-03-12T00:00:00"/>
    <x v="2"/>
    <x v="0"/>
    <x v="5"/>
    <n v="11"/>
    <n v="57834"/>
    <n v="636174"/>
    <n v="636174"/>
  </r>
  <r>
    <n v="10335"/>
    <d v="2023-04-26T00:00:00"/>
    <x v="5"/>
    <x v="1"/>
    <x v="1"/>
    <n v="4"/>
    <n v="34827"/>
    <n v="139308"/>
    <n v="139308"/>
  </r>
  <r>
    <n v="10336"/>
    <d v="2023-11-18T00:00:00"/>
    <x v="2"/>
    <x v="2"/>
    <x v="3"/>
    <n v="19"/>
    <n v="27943"/>
    <n v="530917"/>
    <n v="530917"/>
  </r>
  <r>
    <n v="10337"/>
    <d v="2023-12-11T00:00:00"/>
    <x v="2"/>
    <x v="1"/>
    <x v="5"/>
    <n v="19"/>
    <n v="42002"/>
    <n v="798038"/>
    <n v="798038"/>
  </r>
  <r>
    <n v="10338"/>
    <d v="2023-04-17T00:00:00"/>
    <x v="3"/>
    <x v="2"/>
    <x v="5"/>
    <n v="20"/>
    <n v="34153"/>
    <n v="683060"/>
    <n v="683060"/>
  </r>
  <r>
    <n v="10339"/>
    <d v="2023-10-15T00:00:00"/>
    <x v="4"/>
    <x v="2"/>
    <x v="4"/>
    <n v="15"/>
    <n v="21509"/>
    <n v="322635"/>
    <n v="322635"/>
  </r>
  <r>
    <n v="10340"/>
    <d v="2023-12-08T00:00:00"/>
    <x v="5"/>
    <x v="2"/>
    <x v="2"/>
    <n v="2"/>
    <n v="27523"/>
    <n v="55046"/>
    <n v="55046"/>
  </r>
  <r>
    <n v="10341"/>
    <d v="2023-11-20T00:00:00"/>
    <x v="4"/>
    <x v="3"/>
    <x v="3"/>
    <n v="6"/>
    <n v="31674"/>
    <n v="190044"/>
    <n v="190044"/>
  </r>
  <r>
    <n v="10342"/>
    <d v="2023-04-28T00:00:00"/>
    <x v="4"/>
    <x v="1"/>
    <x v="4"/>
    <n v="1"/>
    <n v="24480"/>
    <n v="24480"/>
    <n v="24480"/>
  </r>
  <r>
    <n v="10343"/>
    <d v="2023-05-16T00:00:00"/>
    <x v="0"/>
    <x v="1"/>
    <x v="4"/>
    <n v="13"/>
    <n v="3398"/>
    <n v="44174"/>
    <n v="44174"/>
  </r>
  <r>
    <n v="10344"/>
    <d v="2023-03-11T00:00:00"/>
    <x v="1"/>
    <x v="0"/>
    <x v="5"/>
    <n v="12"/>
    <n v="34429"/>
    <n v="413148"/>
    <n v="413148"/>
  </r>
  <r>
    <n v="10345"/>
    <d v="2023-05-18T00:00:00"/>
    <x v="2"/>
    <x v="1"/>
    <x v="5"/>
    <n v="10"/>
    <n v="41602"/>
    <n v="416020"/>
    <n v="416020"/>
  </r>
  <r>
    <n v="10346"/>
    <d v="2023-07-23T00:00:00"/>
    <x v="5"/>
    <x v="2"/>
    <x v="4"/>
    <n v="2"/>
    <n v="57009"/>
    <n v="114018"/>
    <n v="114018"/>
  </r>
  <r>
    <n v="10347"/>
    <d v="2023-06-12T00:00:00"/>
    <x v="4"/>
    <x v="2"/>
    <x v="0"/>
    <n v="15"/>
    <n v="27707"/>
    <n v="415605"/>
    <n v="415605"/>
  </r>
  <r>
    <n v="10348"/>
    <d v="2023-06-27T00:00:00"/>
    <x v="3"/>
    <x v="3"/>
    <x v="2"/>
    <n v="3"/>
    <n v="30080"/>
    <n v="90240"/>
    <n v="90240"/>
  </r>
  <r>
    <n v="10349"/>
    <d v="2023-05-30T00:00:00"/>
    <x v="6"/>
    <x v="1"/>
    <x v="1"/>
    <n v="13"/>
    <n v="30079"/>
    <n v="391027"/>
    <n v="391027"/>
  </r>
  <r>
    <n v="10350"/>
    <d v="2023-12-17T00:00:00"/>
    <x v="1"/>
    <x v="3"/>
    <x v="3"/>
    <n v="17"/>
    <n v="17025"/>
    <n v="289425"/>
    <n v="289425"/>
  </r>
  <r>
    <n v="10351"/>
    <d v="2023-08-17T00:00:00"/>
    <x v="2"/>
    <x v="3"/>
    <x v="5"/>
    <n v="16"/>
    <n v="37453"/>
    <n v="599248"/>
    <n v="599248"/>
  </r>
  <r>
    <n v="10352"/>
    <d v="2023-05-03T00:00:00"/>
    <x v="0"/>
    <x v="3"/>
    <x v="1"/>
    <n v="14"/>
    <n v="24653"/>
    <n v="345142"/>
    <n v="345142"/>
  </r>
  <r>
    <n v="10353"/>
    <d v="2023-06-16T00:00:00"/>
    <x v="0"/>
    <x v="0"/>
    <x v="5"/>
    <n v="9"/>
    <n v="6968"/>
    <n v="62712"/>
    <n v="62712"/>
  </r>
  <r>
    <n v="10354"/>
    <d v="2023-12-13T00:00:00"/>
    <x v="0"/>
    <x v="2"/>
    <x v="4"/>
    <n v="11"/>
    <n v="57001"/>
    <n v="627011"/>
    <n v="627011"/>
  </r>
  <r>
    <n v="10355"/>
    <d v="2023-10-02T00:00:00"/>
    <x v="4"/>
    <x v="1"/>
    <x v="5"/>
    <n v="14"/>
    <n v="3054"/>
    <n v="42756"/>
    <n v="42756"/>
  </r>
  <r>
    <n v="10356"/>
    <d v="2023-10-15T00:00:00"/>
    <x v="5"/>
    <x v="3"/>
    <x v="3"/>
    <n v="18"/>
    <n v="22818"/>
    <n v="410724"/>
    <n v="410724"/>
  </r>
  <r>
    <n v="10357"/>
    <d v="2023-09-03T00:00:00"/>
    <x v="6"/>
    <x v="1"/>
    <x v="5"/>
    <n v="6"/>
    <n v="11064"/>
    <n v="66384"/>
    <n v="66384"/>
  </r>
  <r>
    <n v="10358"/>
    <d v="2023-04-22T00:00:00"/>
    <x v="2"/>
    <x v="2"/>
    <x v="4"/>
    <n v="17"/>
    <n v="31030"/>
    <n v="527510"/>
    <n v="527510"/>
  </r>
  <r>
    <n v="10359"/>
    <d v="2023-07-12T00:00:00"/>
    <x v="3"/>
    <x v="1"/>
    <x v="3"/>
    <n v="4"/>
    <n v="10912"/>
    <n v="43648"/>
    <n v="43648"/>
  </r>
  <r>
    <n v="10360"/>
    <d v="2023-09-14T00:00:00"/>
    <x v="5"/>
    <x v="3"/>
    <x v="5"/>
    <n v="6"/>
    <n v="23997"/>
    <n v="143982"/>
    <n v="143982"/>
  </r>
  <r>
    <n v="10361"/>
    <d v="2023-07-11T00:00:00"/>
    <x v="5"/>
    <x v="3"/>
    <x v="4"/>
    <n v="18"/>
    <n v="30103"/>
    <n v="541854"/>
    <n v="541854"/>
  </r>
  <r>
    <n v="10362"/>
    <d v="2023-10-14T00:00:00"/>
    <x v="2"/>
    <x v="0"/>
    <x v="4"/>
    <n v="7"/>
    <n v="25401"/>
    <n v="177807"/>
    <n v="177807"/>
  </r>
  <r>
    <n v="10363"/>
    <d v="2023-05-13T00:00:00"/>
    <x v="1"/>
    <x v="1"/>
    <x v="2"/>
    <n v="20"/>
    <n v="50760"/>
    <n v="1015200"/>
    <n v="1015200"/>
  </r>
  <r>
    <n v="10364"/>
    <d v="2023-08-28T00:00:00"/>
    <x v="0"/>
    <x v="0"/>
    <x v="1"/>
    <n v="11"/>
    <n v="26034"/>
    <n v="286374"/>
    <n v="286374"/>
  </r>
  <r>
    <n v="10365"/>
    <d v="2023-03-11T00:00:00"/>
    <x v="6"/>
    <x v="2"/>
    <x v="0"/>
    <n v="9"/>
    <n v="5309"/>
    <n v="47781"/>
    <n v="47781"/>
  </r>
  <r>
    <n v="10366"/>
    <d v="2023-09-14T00:00:00"/>
    <x v="1"/>
    <x v="1"/>
    <x v="0"/>
    <n v="6"/>
    <n v="5789"/>
    <n v="34734"/>
    <n v="34734"/>
  </r>
  <r>
    <n v="10367"/>
    <d v="2023-04-29T00:00:00"/>
    <x v="0"/>
    <x v="3"/>
    <x v="0"/>
    <n v="3"/>
    <n v="50761"/>
    <n v="152283"/>
    <n v="152283"/>
  </r>
  <r>
    <n v="10368"/>
    <d v="2023-07-31T00:00:00"/>
    <x v="2"/>
    <x v="0"/>
    <x v="3"/>
    <n v="2"/>
    <n v="33408"/>
    <n v="66816"/>
    <n v="66816"/>
  </r>
  <r>
    <n v="10369"/>
    <d v="2023-08-22T00:00:00"/>
    <x v="6"/>
    <x v="2"/>
    <x v="0"/>
    <n v="10"/>
    <n v="27432"/>
    <n v="274320"/>
    <n v="274320"/>
  </r>
  <r>
    <n v="10370"/>
    <d v="2023-03-20T00:00:00"/>
    <x v="0"/>
    <x v="1"/>
    <x v="2"/>
    <n v="3"/>
    <n v="53652"/>
    <n v="160956"/>
    <n v="160956"/>
  </r>
  <r>
    <n v="10371"/>
    <d v="2023-01-16T00:00:00"/>
    <x v="0"/>
    <x v="1"/>
    <x v="4"/>
    <n v="8"/>
    <n v="14022"/>
    <n v="112176"/>
    <n v="112176"/>
  </r>
  <r>
    <n v="10372"/>
    <d v="2023-08-20T00:00:00"/>
    <x v="3"/>
    <x v="2"/>
    <x v="2"/>
    <n v="11"/>
    <n v="53700"/>
    <n v="590700"/>
    <n v="590700"/>
  </r>
  <r>
    <n v="10373"/>
    <d v="2023-05-11T00:00:00"/>
    <x v="1"/>
    <x v="1"/>
    <x v="0"/>
    <n v="8"/>
    <n v="23698"/>
    <n v="189584"/>
    <n v="189584"/>
  </r>
  <r>
    <n v="10374"/>
    <d v="2023-08-29T00:00:00"/>
    <x v="1"/>
    <x v="0"/>
    <x v="1"/>
    <n v="4"/>
    <n v="15626"/>
    <n v="62504"/>
    <n v="62504"/>
  </r>
  <r>
    <n v="10375"/>
    <d v="2023-06-06T00:00:00"/>
    <x v="4"/>
    <x v="2"/>
    <x v="3"/>
    <n v="13"/>
    <n v="40000"/>
    <n v="520000"/>
    <n v="520000"/>
  </r>
  <r>
    <n v="10376"/>
    <d v="2023-12-29T00:00:00"/>
    <x v="6"/>
    <x v="0"/>
    <x v="2"/>
    <n v="13"/>
    <n v="12448"/>
    <n v="161824"/>
    <n v="161824"/>
  </r>
  <r>
    <n v="10377"/>
    <d v="2023-03-28T00:00:00"/>
    <x v="0"/>
    <x v="2"/>
    <x v="2"/>
    <n v="5"/>
    <n v="18172"/>
    <n v="90860"/>
    <n v="90860"/>
  </r>
  <r>
    <n v="10378"/>
    <d v="2023-06-04T00:00:00"/>
    <x v="1"/>
    <x v="3"/>
    <x v="1"/>
    <n v="11"/>
    <n v="58477"/>
    <n v="643247"/>
    <n v="643247"/>
  </r>
  <r>
    <n v="10379"/>
    <d v="2023-07-28T00:00:00"/>
    <x v="1"/>
    <x v="3"/>
    <x v="1"/>
    <n v="17"/>
    <n v="15657"/>
    <n v="266169"/>
    <n v="266169"/>
  </r>
  <r>
    <n v="10380"/>
    <d v="2023-10-09T00:00:00"/>
    <x v="4"/>
    <x v="0"/>
    <x v="0"/>
    <n v="12"/>
    <n v="19883"/>
    <n v="238596"/>
    <n v="238596"/>
  </r>
  <r>
    <n v="10381"/>
    <d v="2023-11-13T00:00:00"/>
    <x v="1"/>
    <x v="2"/>
    <x v="4"/>
    <n v="3"/>
    <n v="2000"/>
    <n v="6000"/>
    <n v="6000"/>
  </r>
  <r>
    <n v="10382"/>
    <d v="2023-06-11T00:00:00"/>
    <x v="6"/>
    <x v="2"/>
    <x v="5"/>
    <n v="5"/>
    <n v="24813"/>
    <n v="124065"/>
    <n v="124065"/>
  </r>
  <r>
    <n v="10383"/>
    <d v="2023-09-06T00:00:00"/>
    <x v="6"/>
    <x v="1"/>
    <x v="3"/>
    <n v="5"/>
    <n v="51713"/>
    <n v="258565"/>
    <n v="258565"/>
  </r>
  <r>
    <n v="10384"/>
    <d v="2023-05-25T00:00:00"/>
    <x v="3"/>
    <x v="0"/>
    <x v="0"/>
    <n v="4"/>
    <n v="39228"/>
    <n v="156912"/>
    <n v="156912"/>
  </r>
  <r>
    <n v="10385"/>
    <d v="2023-09-02T00:00:00"/>
    <x v="3"/>
    <x v="3"/>
    <x v="1"/>
    <n v="13"/>
    <n v="50434"/>
    <n v="655642"/>
    <n v="655642"/>
  </r>
  <r>
    <n v="10386"/>
    <d v="2023-05-17T00:00:00"/>
    <x v="5"/>
    <x v="0"/>
    <x v="2"/>
    <n v="5"/>
    <n v="8220"/>
    <n v="41100"/>
    <n v="41100"/>
  </r>
  <r>
    <n v="10387"/>
    <d v="2023-10-24T00:00:00"/>
    <x v="0"/>
    <x v="0"/>
    <x v="4"/>
    <n v="1"/>
    <n v="46598"/>
    <n v="46598"/>
    <n v="46598"/>
  </r>
  <r>
    <n v="10388"/>
    <d v="2023-09-16T00:00:00"/>
    <x v="3"/>
    <x v="2"/>
    <x v="3"/>
    <n v="4"/>
    <n v="2554"/>
    <n v="10216"/>
    <n v="10216"/>
  </r>
  <r>
    <n v="10389"/>
    <d v="2023-06-25T00:00:00"/>
    <x v="5"/>
    <x v="0"/>
    <x v="3"/>
    <n v="15"/>
    <n v="10081"/>
    <n v="151215"/>
    <n v="151215"/>
  </r>
  <r>
    <n v="10390"/>
    <d v="2023-05-30T00:00:00"/>
    <x v="5"/>
    <x v="2"/>
    <x v="0"/>
    <n v="11"/>
    <n v="21046"/>
    <n v="231506"/>
    <n v="231506"/>
  </r>
  <r>
    <n v="10391"/>
    <d v="2023-11-16T00:00:00"/>
    <x v="4"/>
    <x v="1"/>
    <x v="4"/>
    <n v="4"/>
    <n v="59935"/>
    <n v="239740"/>
    <n v="239740"/>
  </r>
  <r>
    <n v="10392"/>
    <d v="2023-04-03T00:00:00"/>
    <x v="0"/>
    <x v="3"/>
    <x v="3"/>
    <n v="5"/>
    <n v="16875"/>
    <n v="84375"/>
    <n v="84375"/>
  </r>
  <r>
    <n v="10393"/>
    <d v="2023-11-26T00:00:00"/>
    <x v="6"/>
    <x v="2"/>
    <x v="5"/>
    <n v="8"/>
    <n v="38019"/>
    <n v="304152"/>
    <n v="304152"/>
  </r>
  <r>
    <n v="10394"/>
    <d v="2023-03-20T00:00:00"/>
    <x v="2"/>
    <x v="3"/>
    <x v="1"/>
    <n v="12"/>
    <n v="44973"/>
    <n v="539676"/>
    <n v="539676"/>
  </r>
  <r>
    <n v="10395"/>
    <d v="2023-03-18T00:00:00"/>
    <x v="6"/>
    <x v="2"/>
    <x v="0"/>
    <n v="7"/>
    <n v="14814"/>
    <n v="103698"/>
    <n v="103698"/>
  </r>
  <r>
    <n v="10396"/>
    <d v="2023-01-27T00:00:00"/>
    <x v="2"/>
    <x v="3"/>
    <x v="2"/>
    <n v="8"/>
    <n v="16433"/>
    <n v="131464"/>
    <n v="131464"/>
  </r>
  <r>
    <n v="10397"/>
    <d v="2023-09-24T00:00:00"/>
    <x v="3"/>
    <x v="1"/>
    <x v="4"/>
    <n v="19"/>
    <n v="21953"/>
    <n v="417107"/>
    <n v="417107"/>
  </r>
  <r>
    <n v="10398"/>
    <d v="2023-08-23T00:00:00"/>
    <x v="0"/>
    <x v="0"/>
    <x v="0"/>
    <n v="19"/>
    <n v="14332"/>
    <n v="272308"/>
    <n v="272308"/>
  </r>
  <r>
    <n v="10399"/>
    <d v="2023-08-18T00:00:00"/>
    <x v="2"/>
    <x v="2"/>
    <x v="0"/>
    <n v="6"/>
    <n v="48957"/>
    <n v="293742"/>
    <n v="293742"/>
  </r>
  <r>
    <n v="10400"/>
    <d v="2023-06-21T00:00:00"/>
    <x v="3"/>
    <x v="2"/>
    <x v="5"/>
    <n v="4"/>
    <n v="20388"/>
    <n v="81552"/>
    <n v="81552"/>
  </r>
  <r>
    <n v="10401"/>
    <d v="2023-03-30T00:00:00"/>
    <x v="3"/>
    <x v="0"/>
    <x v="4"/>
    <n v="2"/>
    <n v="29616"/>
    <n v="59232"/>
    <n v="59232"/>
  </r>
  <r>
    <n v="10402"/>
    <d v="2023-04-27T00:00:00"/>
    <x v="3"/>
    <x v="3"/>
    <x v="4"/>
    <n v="18"/>
    <n v="5308"/>
    <n v="95544"/>
    <n v="95544"/>
  </r>
  <r>
    <n v="10403"/>
    <d v="2023-12-23T00:00:00"/>
    <x v="1"/>
    <x v="3"/>
    <x v="0"/>
    <n v="11"/>
    <n v="49622"/>
    <n v="545842"/>
    <n v="545842"/>
  </r>
  <r>
    <n v="10404"/>
    <d v="2023-05-20T00:00:00"/>
    <x v="1"/>
    <x v="1"/>
    <x v="4"/>
    <n v="16"/>
    <n v="6631"/>
    <n v="106096"/>
    <n v="106096"/>
  </r>
  <r>
    <n v="10405"/>
    <d v="2023-03-27T00:00:00"/>
    <x v="3"/>
    <x v="1"/>
    <x v="2"/>
    <n v="14"/>
    <n v="18031"/>
    <n v="252434"/>
    <n v="252434"/>
  </r>
  <r>
    <n v="10406"/>
    <d v="2023-09-02T00:00:00"/>
    <x v="0"/>
    <x v="2"/>
    <x v="2"/>
    <n v="5"/>
    <n v="20986"/>
    <n v="104930"/>
    <n v="104930"/>
  </r>
  <r>
    <n v="10407"/>
    <d v="2023-02-11T00:00:00"/>
    <x v="3"/>
    <x v="0"/>
    <x v="0"/>
    <n v="5"/>
    <n v="15342"/>
    <n v="76710"/>
    <n v="76710"/>
  </r>
  <r>
    <n v="10408"/>
    <d v="2023-07-02T00:00:00"/>
    <x v="5"/>
    <x v="2"/>
    <x v="3"/>
    <n v="4"/>
    <n v="52066"/>
    <n v="208264"/>
    <n v="208264"/>
  </r>
  <r>
    <n v="10409"/>
    <d v="2023-11-04T00:00:00"/>
    <x v="6"/>
    <x v="3"/>
    <x v="0"/>
    <n v="12"/>
    <n v="59794"/>
    <n v="717528"/>
    <n v="717528"/>
  </r>
  <r>
    <n v="10410"/>
    <d v="2023-03-28T00:00:00"/>
    <x v="4"/>
    <x v="2"/>
    <x v="3"/>
    <n v="2"/>
    <n v="12111"/>
    <n v="24222"/>
    <n v="24222"/>
  </r>
  <r>
    <n v="10411"/>
    <d v="2023-09-11T00:00:00"/>
    <x v="1"/>
    <x v="3"/>
    <x v="1"/>
    <n v="7"/>
    <n v="30944"/>
    <n v="216608"/>
    <n v="216608"/>
  </r>
  <r>
    <n v="10412"/>
    <d v="2023-06-16T00:00:00"/>
    <x v="4"/>
    <x v="1"/>
    <x v="4"/>
    <n v="15"/>
    <n v="21990"/>
    <n v="329850"/>
    <n v="329850"/>
  </r>
  <r>
    <n v="10413"/>
    <d v="2023-03-29T00:00:00"/>
    <x v="2"/>
    <x v="2"/>
    <x v="3"/>
    <n v="7"/>
    <n v="8881"/>
    <n v="62167"/>
    <n v="62167"/>
  </r>
  <r>
    <n v="10414"/>
    <d v="2023-07-03T00:00:00"/>
    <x v="0"/>
    <x v="1"/>
    <x v="3"/>
    <n v="14"/>
    <n v="8471"/>
    <n v="118594"/>
    <n v="118594"/>
  </r>
  <r>
    <n v="10415"/>
    <d v="2023-03-09T00:00:00"/>
    <x v="1"/>
    <x v="0"/>
    <x v="5"/>
    <n v="10"/>
    <n v="50974"/>
    <n v="509740"/>
    <n v="509740"/>
  </r>
  <r>
    <n v="10416"/>
    <d v="2023-09-05T00:00:00"/>
    <x v="3"/>
    <x v="1"/>
    <x v="5"/>
    <n v="16"/>
    <n v="11554"/>
    <n v="184864"/>
    <n v="184864"/>
  </r>
  <r>
    <n v="10417"/>
    <d v="2023-12-07T00:00:00"/>
    <x v="6"/>
    <x v="2"/>
    <x v="2"/>
    <n v="17"/>
    <n v="45116"/>
    <n v="766972"/>
    <n v="766972"/>
  </r>
  <r>
    <n v="10418"/>
    <d v="2023-10-05T00:00:00"/>
    <x v="2"/>
    <x v="3"/>
    <x v="4"/>
    <n v="4"/>
    <n v="58461"/>
    <n v="233844"/>
    <n v="233844"/>
  </r>
  <r>
    <n v="10419"/>
    <d v="2023-11-15T00:00:00"/>
    <x v="3"/>
    <x v="2"/>
    <x v="3"/>
    <n v="9"/>
    <n v="25460"/>
    <n v="229140"/>
    <n v="229140"/>
  </r>
  <r>
    <n v="10420"/>
    <d v="2023-01-17T00:00:00"/>
    <x v="3"/>
    <x v="3"/>
    <x v="4"/>
    <n v="7"/>
    <n v="2830"/>
    <n v="19810"/>
    <n v="19810"/>
  </r>
  <r>
    <n v="10421"/>
    <d v="2023-05-18T00:00:00"/>
    <x v="2"/>
    <x v="0"/>
    <x v="2"/>
    <n v="19"/>
    <n v="9052"/>
    <n v="171988"/>
    <n v="171988"/>
  </r>
  <r>
    <n v="10422"/>
    <d v="2023-04-24T00:00:00"/>
    <x v="4"/>
    <x v="3"/>
    <x v="3"/>
    <n v="17"/>
    <n v="47836"/>
    <n v="813212"/>
    <n v="813212"/>
  </r>
  <r>
    <n v="10423"/>
    <d v="2023-03-22T00:00:00"/>
    <x v="3"/>
    <x v="2"/>
    <x v="1"/>
    <n v="17"/>
    <n v="51811"/>
    <n v="880787"/>
    <n v="880787"/>
  </r>
  <r>
    <n v="10424"/>
    <d v="2023-03-19T00:00:00"/>
    <x v="0"/>
    <x v="0"/>
    <x v="0"/>
    <n v="6"/>
    <n v="36287"/>
    <n v="217722"/>
    <n v="217722"/>
  </r>
  <r>
    <n v="10425"/>
    <d v="2023-11-15T00:00:00"/>
    <x v="0"/>
    <x v="3"/>
    <x v="1"/>
    <n v="20"/>
    <n v="11521"/>
    <n v="230420"/>
    <n v="230420"/>
  </r>
  <r>
    <n v="10426"/>
    <d v="2023-12-01T00:00:00"/>
    <x v="0"/>
    <x v="1"/>
    <x v="0"/>
    <n v="2"/>
    <n v="27446"/>
    <n v="54892"/>
    <n v="54892"/>
  </r>
  <r>
    <n v="10427"/>
    <d v="2023-07-15T00:00:00"/>
    <x v="0"/>
    <x v="1"/>
    <x v="2"/>
    <n v="9"/>
    <n v="34943"/>
    <n v="314487"/>
    <n v="314487"/>
  </r>
  <r>
    <n v="10428"/>
    <d v="2023-10-22T00:00:00"/>
    <x v="4"/>
    <x v="2"/>
    <x v="2"/>
    <n v="9"/>
    <n v="29935"/>
    <n v="269415"/>
    <n v="269415"/>
  </r>
  <r>
    <n v="10429"/>
    <d v="2023-12-08T00:00:00"/>
    <x v="2"/>
    <x v="1"/>
    <x v="4"/>
    <n v="12"/>
    <n v="16732"/>
    <n v="200784"/>
    <n v="200784"/>
  </r>
  <r>
    <n v="10430"/>
    <d v="2023-06-28T00:00:00"/>
    <x v="5"/>
    <x v="0"/>
    <x v="4"/>
    <n v="18"/>
    <n v="39675"/>
    <n v="714150"/>
    <n v="714150"/>
  </r>
  <r>
    <n v="10431"/>
    <d v="2023-11-05T00:00:00"/>
    <x v="5"/>
    <x v="1"/>
    <x v="3"/>
    <n v="3"/>
    <n v="54088"/>
    <n v="162264"/>
    <n v="162264"/>
  </r>
  <r>
    <n v="10432"/>
    <d v="2023-07-27T00:00:00"/>
    <x v="2"/>
    <x v="1"/>
    <x v="5"/>
    <n v="13"/>
    <n v="59767"/>
    <n v="776971"/>
    <n v="776971"/>
  </r>
  <r>
    <n v="10433"/>
    <d v="2023-02-06T00:00:00"/>
    <x v="3"/>
    <x v="0"/>
    <x v="0"/>
    <n v="20"/>
    <n v="8336"/>
    <n v="166720"/>
    <n v="166720"/>
  </r>
  <r>
    <n v="10434"/>
    <d v="2023-01-25T00:00:00"/>
    <x v="4"/>
    <x v="1"/>
    <x v="4"/>
    <n v="17"/>
    <n v="36510"/>
    <n v="620670"/>
    <n v="620670"/>
  </r>
  <r>
    <n v="10435"/>
    <d v="2023-08-04T00:00:00"/>
    <x v="0"/>
    <x v="1"/>
    <x v="3"/>
    <n v="4"/>
    <n v="11400"/>
    <n v="45600"/>
    <n v="45600"/>
  </r>
  <r>
    <n v="10436"/>
    <d v="2023-12-21T00:00:00"/>
    <x v="3"/>
    <x v="2"/>
    <x v="4"/>
    <n v="8"/>
    <n v="57531"/>
    <n v="460248"/>
    <n v="460248"/>
  </r>
  <r>
    <n v="10437"/>
    <d v="2023-01-10T00:00:00"/>
    <x v="0"/>
    <x v="2"/>
    <x v="4"/>
    <n v="6"/>
    <n v="33368"/>
    <n v="200208"/>
    <n v="200208"/>
  </r>
  <r>
    <n v="10438"/>
    <d v="2023-06-12T00:00:00"/>
    <x v="1"/>
    <x v="2"/>
    <x v="2"/>
    <n v="20"/>
    <n v="29422"/>
    <n v="588440"/>
    <n v="588440"/>
  </r>
  <r>
    <n v="10439"/>
    <d v="2023-01-01T00:00:00"/>
    <x v="0"/>
    <x v="3"/>
    <x v="5"/>
    <n v="19"/>
    <n v="23281"/>
    <n v="442339"/>
    <n v="442339"/>
  </r>
  <r>
    <n v="10440"/>
    <d v="2023-06-01T00:00:00"/>
    <x v="0"/>
    <x v="2"/>
    <x v="0"/>
    <n v="12"/>
    <n v="49162"/>
    <n v="589944"/>
    <n v="589944"/>
  </r>
  <r>
    <n v="10441"/>
    <d v="2023-07-10T00:00:00"/>
    <x v="0"/>
    <x v="2"/>
    <x v="2"/>
    <n v="19"/>
    <n v="10676"/>
    <n v="202844"/>
    <n v="202844"/>
  </r>
  <r>
    <n v="10442"/>
    <d v="2023-06-04T00:00:00"/>
    <x v="1"/>
    <x v="1"/>
    <x v="0"/>
    <n v="12"/>
    <n v="51829"/>
    <n v="621948"/>
    <n v="621948"/>
  </r>
  <r>
    <n v="10443"/>
    <d v="2023-07-28T00:00:00"/>
    <x v="3"/>
    <x v="3"/>
    <x v="1"/>
    <n v="19"/>
    <n v="49054"/>
    <n v="932026"/>
    <n v="932026"/>
  </r>
  <r>
    <n v="10444"/>
    <d v="2023-01-12T00:00:00"/>
    <x v="4"/>
    <x v="1"/>
    <x v="1"/>
    <n v="19"/>
    <n v="958"/>
    <n v="18202"/>
    <n v="18202"/>
  </r>
  <r>
    <n v="10445"/>
    <d v="2023-02-28T00:00:00"/>
    <x v="0"/>
    <x v="3"/>
    <x v="3"/>
    <n v="16"/>
    <n v="46382"/>
    <n v="742112"/>
    <n v="742112"/>
  </r>
  <r>
    <n v="10446"/>
    <d v="2023-07-27T00:00:00"/>
    <x v="5"/>
    <x v="3"/>
    <x v="4"/>
    <n v="3"/>
    <n v="51474"/>
    <n v="154422"/>
    <n v="154422"/>
  </r>
  <r>
    <n v="10447"/>
    <d v="2023-03-18T00:00:00"/>
    <x v="2"/>
    <x v="3"/>
    <x v="0"/>
    <n v="19"/>
    <n v="55270"/>
    <n v="1050130"/>
    <n v="1050130"/>
  </r>
  <r>
    <n v="10448"/>
    <d v="2023-05-10T00:00:00"/>
    <x v="5"/>
    <x v="2"/>
    <x v="4"/>
    <n v="14"/>
    <n v="49936"/>
    <n v="699104"/>
    <n v="699104"/>
  </r>
  <r>
    <n v="10449"/>
    <d v="2023-04-15T00:00:00"/>
    <x v="2"/>
    <x v="2"/>
    <x v="3"/>
    <n v="20"/>
    <n v="24355"/>
    <n v="487100"/>
    <n v="487100"/>
  </r>
  <r>
    <n v="10450"/>
    <d v="2023-08-25T00:00:00"/>
    <x v="1"/>
    <x v="2"/>
    <x v="3"/>
    <n v="1"/>
    <n v="43842"/>
    <n v="43842"/>
    <n v="43842"/>
  </r>
  <r>
    <n v="10451"/>
    <d v="2023-12-25T00:00:00"/>
    <x v="4"/>
    <x v="3"/>
    <x v="2"/>
    <n v="11"/>
    <n v="31793"/>
    <n v="349723"/>
    <n v="349723"/>
  </r>
  <r>
    <n v="10452"/>
    <d v="2023-08-11T00:00:00"/>
    <x v="6"/>
    <x v="0"/>
    <x v="0"/>
    <n v="20"/>
    <n v="8581"/>
    <n v="171620"/>
    <n v="171620"/>
  </r>
  <r>
    <n v="10453"/>
    <d v="2023-03-14T00:00:00"/>
    <x v="4"/>
    <x v="0"/>
    <x v="4"/>
    <n v="20"/>
    <n v="3783"/>
    <n v="75660"/>
    <n v="75660"/>
  </r>
  <r>
    <n v="10454"/>
    <d v="2023-04-22T00:00:00"/>
    <x v="1"/>
    <x v="2"/>
    <x v="4"/>
    <n v="2"/>
    <n v="42723"/>
    <n v="85446"/>
    <n v="85446"/>
  </r>
  <r>
    <n v="10455"/>
    <d v="2023-06-05T00:00:00"/>
    <x v="2"/>
    <x v="3"/>
    <x v="3"/>
    <n v="20"/>
    <n v="19493"/>
    <n v="389860"/>
    <n v="389860"/>
  </r>
  <r>
    <n v="10456"/>
    <d v="2023-11-03T00:00:00"/>
    <x v="3"/>
    <x v="1"/>
    <x v="1"/>
    <n v="13"/>
    <n v="51457"/>
    <n v="668941"/>
    <n v="668941"/>
  </r>
  <r>
    <n v="10457"/>
    <d v="2023-10-09T00:00:00"/>
    <x v="2"/>
    <x v="0"/>
    <x v="0"/>
    <n v="7"/>
    <n v="31193"/>
    <n v="218351"/>
    <n v="218351"/>
  </r>
  <r>
    <n v="10458"/>
    <d v="2023-07-31T00:00:00"/>
    <x v="5"/>
    <x v="3"/>
    <x v="5"/>
    <n v="8"/>
    <n v="58679"/>
    <n v="469432"/>
    <n v="469432"/>
  </r>
  <r>
    <n v="10459"/>
    <d v="2023-02-07T00:00:00"/>
    <x v="3"/>
    <x v="0"/>
    <x v="3"/>
    <n v="2"/>
    <n v="30421"/>
    <n v="60842"/>
    <n v="60842"/>
  </r>
  <r>
    <n v="10460"/>
    <d v="2023-03-24T00:00:00"/>
    <x v="0"/>
    <x v="3"/>
    <x v="3"/>
    <n v="6"/>
    <n v="32693"/>
    <n v="196158"/>
    <n v="196158"/>
  </r>
  <r>
    <n v="10461"/>
    <d v="2023-05-23T00:00:00"/>
    <x v="3"/>
    <x v="2"/>
    <x v="5"/>
    <n v="19"/>
    <n v="35847"/>
    <n v="681093"/>
    <n v="681093"/>
  </r>
  <r>
    <n v="10462"/>
    <d v="2023-06-21T00:00:00"/>
    <x v="3"/>
    <x v="3"/>
    <x v="2"/>
    <n v="14"/>
    <n v="47804"/>
    <n v="669256"/>
    <n v="669256"/>
  </r>
  <r>
    <n v="10463"/>
    <d v="2023-01-20T00:00:00"/>
    <x v="0"/>
    <x v="1"/>
    <x v="0"/>
    <n v="18"/>
    <n v="19397"/>
    <n v="349146"/>
    <n v="349146"/>
  </r>
  <r>
    <n v="10464"/>
    <d v="2023-03-08T00:00:00"/>
    <x v="1"/>
    <x v="3"/>
    <x v="0"/>
    <n v="10"/>
    <n v="48669"/>
    <n v="486690"/>
    <n v="486690"/>
  </r>
  <r>
    <n v="10465"/>
    <d v="2023-09-29T00:00:00"/>
    <x v="2"/>
    <x v="1"/>
    <x v="2"/>
    <n v="18"/>
    <n v="29970"/>
    <n v="539460"/>
    <n v="539460"/>
  </r>
  <r>
    <n v="10466"/>
    <d v="2023-06-29T00:00:00"/>
    <x v="6"/>
    <x v="2"/>
    <x v="3"/>
    <n v="13"/>
    <n v="24698"/>
    <n v="321074"/>
    <n v="321074"/>
  </r>
  <r>
    <n v="10467"/>
    <d v="2023-02-01T00:00:00"/>
    <x v="4"/>
    <x v="2"/>
    <x v="3"/>
    <n v="5"/>
    <n v="37459"/>
    <n v="187295"/>
    <n v="187295"/>
  </r>
  <r>
    <n v="10468"/>
    <d v="2023-09-20T00:00:00"/>
    <x v="1"/>
    <x v="3"/>
    <x v="4"/>
    <n v="12"/>
    <n v="54732"/>
    <n v="656784"/>
    <n v="656784"/>
  </r>
  <r>
    <n v="10469"/>
    <d v="2023-02-06T00:00:00"/>
    <x v="6"/>
    <x v="0"/>
    <x v="2"/>
    <n v="1"/>
    <n v="18798"/>
    <n v="18798"/>
    <n v="18798"/>
  </r>
  <r>
    <n v="10470"/>
    <d v="2023-02-03T00:00:00"/>
    <x v="4"/>
    <x v="0"/>
    <x v="1"/>
    <n v="14"/>
    <n v="26755"/>
    <n v="374570"/>
    <n v="374570"/>
  </r>
  <r>
    <n v="10471"/>
    <d v="2023-10-03T00:00:00"/>
    <x v="4"/>
    <x v="3"/>
    <x v="5"/>
    <n v="10"/>
    <n v="15774"/>
    <n v="157740"/>
    <n v="157740"/>
  </r>
  <r>
    <n v="10472"/>
    <d v="2023-07-24T00:00:00"/>
    <x v="1"/>
    <x v="1"/>
    <x v="2"/>
    <n v="3"/>
    <n v="6604"/>
    <n v="19812"/>
    <n v="19812"/>
  </r>
  <r>
    <n v="10473"/>
    <d v="2023-11-22T00:00:00"/>
    <x v="1"/>
    <x v="3"/>
    <x v="3"/>
    <n v="10"/>
    <n v="21766"/>
    <n v="217660"/>
    <n v="217660"/>
  </r>
  <r>
    <n v="10474"/>
    <d v="2023-07-23T00:00:00"/>
    <x v="1"/>
    <x v="2"/>
    <x v="4"/>
    <n v="15"/>
    <n v="26991"/>
    <n v="404865"/>
    <n v="404865"/>
  </r>
  <r>
    <n v="10475"/>
    <d v="2023-11-21T00:00:00"/>
    <x v="2"/>
    <x v="3"/>
    <x v="5"/>
    <n v="4"/>
    <n v="50221"/>
    <n v="200884"/>
    <n v="200884"/>
  </r>
  <r>
    <n v="10476"/>
    <d v="2023-04-15T00:00:00"/>
    <x v="0"/>
    <x v="3"/>
    <x v="5"/>
    <n v="14"/>
    <n v="46053"/>
    <n v="644742"/>
    <n v="644742"/>
  </r>
  <r>
    <n v="10477"/>
    <d v="2023-04-21T00:00:00"/>
    <x v="1"/>
    <x v="3"/>
    <x v="4"/>
    <n v="14"/>
    <n v="9129"/>
    <n v="127806"/>
    <n v="127806"/>
  </r>
  <r>
    <n v="10478"/>
    <d v="2023-01-02T00:00:00"/>
    <x v="4"/>
    <x v="3"/>
    <x v="4"/>
    <n v="7"/>
    <n v="55113"/>
    <n v="385791"/>
    <n v="385791"/>
  </r>
  <r>
    <n v="10479"/>
    <d v="2023-03-09T00:00:00"/>
    <x v="3"/>
    <x v="3"/>
    <x v="3"/>
    <n v="2"/>
    <n v="26912"/>
    <n v="53824"/>
    <n v="53824"/>
  </r>
  <r>
    <n v="10480"/>
    <d v="2023-11-16T00:00:00"/>
    <x v="5"/>
    <x v="1"/>
    <x v="5"/>
    <n v="20"/>
    <n v="2897"/>
    <n v="57940"/>
    <n v="57940"/>
  </r>
  <r>
    <n v="10481"/>
    <d v="2023-06-29T00:00:00"/>
    <x v="5"/>
    <x v="0"/>
    <x v="5"/>
    <n v="16"/>
    <n v="1842"/>
    <n v="29472"/>
    <n v="29472"/>
  </r>
  <r>
    <n v="10482"/>
    <d v="2023-04-29T00:00:00"/>
    <x v="3"/>
    <x v="3"/>
    <x v="3"/>
    <n v="19"/>
    <n v="53334"/>
    <n v="1013346"/>
    <n v="1013346"/>
  </r>
  <r>
    <n v="10483"/>
    <d v="2023-11-13T00:00:00"/>
    <x v="1"/>
    <x v="0"/>
    <x v="1"/>
    <n v="19"/>
    <n v="25622"/>
    <n v="486818"/>
    <n v="486818"/>
  </r>
  <r>
    <n v="10484"/>
    <d v="2023-08-28T00:00:00"/>
    <x v="3"/>
    <x v="1"/>
    <x v="1"/>
    <n v="19"/>
    <n v="44652"/>
    <n v="848388"/>
    <n v="848388"/>
  </r>
  <r>
    <n v="10485"/>
    <d v="2023-07-23T00:00:00"/>
    <x v="6"/>
    <x v="3"/>
    <x v="3"/>
    <n v="8"/>
    <n v="28363"/>
    <n v="226904"/>
    <n v="226904"/>
  </r>
  <r>
    <n v="10486"/>
    <d v="2023-08-21T00:00:00"/>
    <x v="0"/>
    <x v="3"/>
    <x v="5"/>
    <n v="2"/>
    <n v="26310"/>
    <n v="52620"/>
    <n v="52620"/>
  </r>
  <r>
    <n v="10487"/>
    <d v="2023-05-23T00:00:00"/>
    <x v="6"/>
    <x v="0"/>
    <x v="4"/>
    <n v="19"/>
    <n v="43744"/>
    <n v="831136"/>
    <n v="831136"/>
  </r>
  <r>
    <n v="10488"/>
    <d v="2023-04-14T00:00:00"/>
    <x v="3"/>
    <x v="0"/>
    <x v="0"/>
    <n v="6"/>
    <n v="44569"/>
    <n v="267414"/>
    <n v="267414"/>
  </r>
  <r>
    <n v="10489"/>
    <d v="2023-03-26T00:00:00"/>
    <x v="1"/>
    <x v="2"/>
    <x v="1"/>
    <n v="15"/>
    <n v="41302"/>
    <n v="619530"/>
    <n v="619530"/>
  </r>
  <r>
    <n v="10490"/>
    <d v="2023-02-02T00:00:00"/>
    <x v="0"/>
    <x v="0"/>
    <x v="3"/>
    <n v="19"/>
    <n v="57611"/>
    <n v="1094609"/>
    <n v="1094609"/>
  </r>
  <r>
    <n v="10491"/>
    <d v="2023-02-24T00:00:00"/>
    <x v="3"/>
    <x v="0"/>
    <x v="2"/>
    <n v="13"/>
    <n v="1254"/>
    <n v="16302"/>
    <n v="16302"/>
  </r>
  <r>
    <n v="10492"/>
    <d v="2023-07-17T00:00:00"/>
    <x v="1"/>
    <x v="2"/>
    <x v="2"/>
    <n v="10"/>
    <n v="36245"/>
    <n v="362450"/>
    <n v="362450"/>
  </r>
  <r>
    <n v="10493"/>
    <d v="2023-07-24T00:00:00"/>
    <x v="3"/>
    <x v="1"/>
    <x v="5"/>
    <n v="14"/>
    <n v="52706"/>
    <n v="737884"/>
    <n v="737884"/>
  </r>
  <r>
    <n v="10494"/>
    <d v="2023-08-22T00:00:00"/>
    <x v="5"/>
    <x v="1"/>
    <x v="3"/>
    <n v="2"/>
    <n v="9248"/>
    <n v="18496"/>
    <n v="18496"/>
  </r>
  <r>
    <n v="10495"/>
    <d v="2023-08-01T00:00:00"/>
    <x v="3"/>
    <x v="0"/>
    <x v="5"/>
    <n v="10"/>
    <n v="21786"/>
    <n v="217860"/>
    <n v="217860"/>
  </r>
  <r>
    <n v="10496"/>
    <d v="2023-03-16T00:00:00"/>
    <x v="6"/>
    <x v="0"/>
    <x v="4"/>
    <n v="13"/>
    <n v="14845"/>
    <n v="192985"/>
    <n v="192985"/>
  </r>
  <r>
    <n v="10497"/>
    <d v="2023-09-25T00:00:00"/>
    <x v="0"/>
    <x v="1"/>
    <x v="2"/>
    <n v="13"/>
    <n v="39379"/>
    <n v="511927"/>
    <n v="511927"/>
  </r>
  <r>
    <n v="10498"/>
    <d v="2023-11-23T00:00:00"/>
    <x v="6"/>
    <x v="2"/>
    <x v="4"/>
    <n v="19"/>
    <n v="31148"/>
    <n v="591812"/>
    <n v="591812"/>
  </r>
  <r>
    <n v="10499"/>
    <d v="2023-02-16T00:00:00"/>
    <x v="0"/>
    <x v="2"/>
    <x v="3"/>
    <n v="13"/>
    <n v="56414"/>
    <n v="733382"/>
    <n v="733382"/>
  </r>
  <r>
    <n v="10500"/>
    <d v="2023-06-07T00:00:00"/>
    <x v="2"/>
    <x v="2"/>
    <x v="0"/>
    <n v="3"/>
    <n v="57031"/>
    <n v="171093"/>
    <n v="171093"/>
  </r>
  <r>
    <n v="10501"/>
    <d v="2023-02-24T00:00:00"/>
    <x v="1"/>
    <x v="1"/>
    <x v="3"/>
    <n v="9"/>
    <n v="17059"/>
    <n v="153531"/>
    <n v="153531"/>
  </r>
  <r>
    <n v="10502"/>
    <d v="2023-12-20T00:00:00"/>
    <x v="3"/>
    <x v="0"/>
    <x v="2"/>
    <n v="10"/>
    <n v="5634"/>
    <n v="56340"/>
    <n v="56340"/>
  </r>
  <r>
    <n v="10503"/>
    <d v="2023-07-08T00:00:00"/>
    <x v="6"/>
    <x v="3"/>
    <x v="4"/>
    <n v="11"/>
    <n v="20320"/>
    <n v="223520"/>
    <n v="223520"/>
  </r>
  <r>
    <n v="10504"/>
    <d v="2023-12-12T00:00:00"/>
    <x v="6"/>
    <x v="2"/>
    <x v="4"/>
    <n v="15"/>
    <n v="15314"/>
    <n v="229710"/>
    <n v="229710"/>
  </r>
  <r>
    <n v="10505"/>
    <d v="2023-10-15T00:00:00"/>
    <x v="0"/>
    <x v="2"/>
    <x v="4"/>
    <n v="2"/>
    <n v="7625"/>
    <n v="15250"/>
    <n v="15250"/>
  </r>
  <r>
    <n v="10506"/>
    <d v="2023-09-15T00:00:00"/>
    <x v="6"/>
    <x v="1"/>
    <x v="3"/>
    <n v="10"/>
    <n v="48688"/>
    <n v="486880"/>
    <n v="486880"/>
  </r>
  <r>
    <n v="10507"/>
    <d v="2023-11-26T00:00:00"/>
    <x v="2"/>
    <x v="1"/>
    <x v="3"/>
    <n v="17"/>
    <n v="45849"/>
    <n v="779433"/>
    <n v="779433"/>
  </r>
  <r>
    <n v="10508"/>
    <d v="2023-07-17T00:00:00"/>
    <x v="5"/>
    <x v="0"/>
    <x v="1"/>
    <n v="9"/>
    <n v="9986"/>
    <n v="89874"/>
    <n v="89874"/>
  </r>
  <r>
    <n v="10509"/>
    <d v="2023-05-14T00:00:00"/>
    <x v="6"/>
    <x v="3"/>
    <x v="4"/>
    <n v="1"/>
    <n v="51250"/>
    <n v="51250"/>
    <n v="51250"/>
  </r>
  <r>
    <n v="10510"/>
    <d v="2023-11-14T00:00:00"/>
    <x v="3"/>
    <x v="3"/>
    <x v="3"/>
    <n v="12"/>
    <n v="21831"/>
    <n v="261972"/>
    <n v="261972"/>
  </r>
  <r>
    <n v="10511"/>
    <d v="2023-10-11T00:00:00"/>
    <x v="4"/>
    <x v="2"/>
    <x v="4"/>
    <n v="14"/>
    <n v="30709"/>
    <n v="429926"/>
    <n v="429926"/>
  </r>
  <r>
    <n v="10512"/>
    <d v="2023-01-16T00:00:00"/>
    <x v="0"/>
    <x v="2"/>
    <x v="2"/>
    <n v="13"/>
    <n v="22750"/>
    <n v="295750"/>
    <n v="295750"/>
  </r>
  <r>
    <n v="10513"/>
    <d v="2023-04-09T00:00:00"/>
    <x v="4"/>
    <x v="3"/>
    <x v="0"/>
    <n v="5"/>
    <n v="52033"/>
    <n v="260165"/>
    <n v="260165"/>
  </r>
  <r>
    <n v="10514"/>
    <d v="2023-09-08T00:00:00"/>
    <x v="4"/>
    <x v="3"/>
    <x v="4"/>
    <n v="17"/>
    <n v="894"/>
    <n v="15198"/>
    <n v="15198"/>
  </r>
  <r>
    <n v="10515"/>
    <d v="2023-05-23T00:00:00"/>
    <x v="4"/>
    <x v="1"/>
    <x v="0"/>
    <n v="17"/>
    <n v="41073"/>
    <n v="698241"/>
    <n v="698241"/>
  </r>
  <r>
    <n v="10516"/>
    <d v="2023-07-27T00:00:00"/>
    <x v="1"/>
    <x v="0"/>
    <x v="2"/>
    <n v="18"/>
    <n v="38908"/>
    <n v="700344"/>
    <n v="700344"/>
  </r>
  <r>
    <n v="10517"/>
    <d v="2023-04-24T00:00:00"/>
    <x v="1"/>
    <x v="1"/>
    <x v="0"/>
    <n v="16"/>
    <n v="5390"/>
    <n v="86240"/>
    <n v="86240"/>
  </r>
  <r>
    <n v="10518"/>
    <d v="2023-12-12T00:00:00"/>
    <x v="1"/>
    <x v="3"/>
    <x v="2"/>
    <n v="7"/>
    <n v="50531"/>
    <n v="353717"/>
    <n v="353717"/>
  </r>
  <r>
    <n v="10519"/>
    <d v="2023-01-14T00:00:00"/>
    <x v="4"/>
    <x v="2"/>
    <x v="3"/>
    <n v="16"/>
    <n v="56343"/>
    <n v="901488"/>
    <n v="901488"/>
  </r>
  <r>
    <n v="10520"/>
    <d v="2023-08-11T00:00:00"/>
    <x v="2"/>
    <x v="1"/>
    <x v="0"/>
    <n v="5"/>
    <n v="53206"/>
    <n v="266030"/>
    <n v="266030"/>
  </r>
  <r>
    <n v="10521"/>
    <d v="2023-04-09T00:00:00"/>
    <x v="3"/>
    <x v="0"/>
    <x v="5"/>
    <n v="20"/>
    <n v="7082"/>
    <n v="141640"/>
    <n v="141640"/>
  </r>
  <r>
    <n v="10522"/>
    <d v="2023-06-02T00:00:00"/>
    <x v="3"/>
    <x v="2"/>
    <x v="1"/>
    <n v="4"/>
    <n v="26212"/>
    <n v="104848"/>
    <n v="104848"/>
  </r>
  <r>
    <n v="10523"/>
    <d v="2023-03-29T00:00:00"/>
    <x v="3"/>
    <x v="0"/>
    <x v="1"/>
    <n v="18"/>
    <n v="27818"/>
    <n v="500724"/>
    <n v="500724"/>
  </r>
  <r>
    <n v="10524"/>
    <d v="2023-07-12T00:00:00"/>
    <x v="4"/>
    <x v="2"/>
    <x v="3"/>
    <n v="6"/>
    <n v="54999"/>
    <n v="329994"/>
    <n v="329994"/>
  </r>
  <r>
    <n v="10525"/>
    <d v="2023-07-15T00:00:00"/>
    <x v="1"/>
    <x v="0"/>
    <x v="0"/>
    <n v="3"/>
    <n v="43302"/>
    <n v="129906"/>
    <n v="129906"/>
  </r>
  <r>
    <n v="10526"/>
    <d v="2023-02-22T00:00:00"/>
    <x v="2"/>
    <x v="2"/>
    <x v="1"/>
    <n v="13"/>
    <n v="12607"/>
    <n v="163891"/>
    <n v="163891"/>
  </r>
  <r>
    <n v="10527"/>
    <d v="2023-10-01T00:00:00"/>
    <x v="0"/>
    <x v="3"/>
    <x v="1"/>
    <n v="13"/>
    <n v="15565"/>
    <n v="202345"/>
    <n v="202345"/>
  </r>
  <r>
    <n v="10528"/>
    <d v="2023-05-04T00:00:00"/>
    <x v="3"/>
    <x v="1"/>
    <x v="5"/>
    <n v="17"/>
    <n v="33369"/>
    <n v="567273"/>
    <n v="567273"/>
  </r>
  <r>
    <n v="10529"/>
    <d v="2023-07-02T00:00:00"/>
    <x v="5"/>
    <x v="2"/>
    <x v="2"/>
    <n v="3"/>
    <n v="36482"/>
    <n v="109446"/>
    <n v="109446"/>
  </r>
  <r>
    <n v="10530"/>
    <d v="2023-11-28T00:00:00"/>
    <x v="0"/>
    <x v="2"/>
    <x v="5"/>
    <n v="18"/>
    <n v="17639"/>
    <n v="317502"/>
    <n v="317502"/>
  </r>
  <r>
    <n v="10531"/>
    <d v="2023-04-25T00:00:00"/>
    <x v="1"/>
    <x v="1"/>
    <x v="3"/>
    <n v="20"/>
    <n v="28813"/>
    <n v="576260"/>
    <n v="576260"/>
  </r>
  <r>
    <n v="10532"/>
    <d v="2023-11-28T00:00:00"/>
    <x v="0"/>
    <x v="2"/>
    <x v="0"/>
    <n v="4"/>
    <n v="14894"/>
    <n v="59576"/>
    <n v="59576"/>
  </r>
  <r>
    <n v="10533"/>
    <d v="2023-02-02T00:00:00"/>
    <x v="5"/>
    <x v="0"/>
    <x v="1"/>
    <n v="3"/>
    <n v="34128"/>
    <n v="102384"/>
    <n v="102384"/>
  </r>
  <r>
    <n v="10534"/>
    <d v="2023-10-05T00:00:00"/>
    <x v="4"/>
    <x v="1"/>
    <x v="1"/>
    <n v="19"/>
    <n v="3407"/>
    <n v="64733"/>
    <n v="64733"/>
  </r>
  <r>
    <n v="10535"/>
    <d v="2023-04-26T00:00:00"/>
    <x v="6"/>
    <x v="2"/>
    <x v="5"/>
    <n v="7"/>
    <n v="13164"/>
    <n v="92148"/>
    <n v="92148"/>
  </r>
  <r>
    <n v="10536"/>
    <d v="2023-06-21T00:00:00"/>
    <x v="3"/>
    <x v="2"/>
    <x v="1"/>
    <n v="17"/>
    <n v="14677"/>
    <n v="249509"/>
    <n v="249509"/>
  </r>
  <r>
    <n v="10537"/>
    <d v="2023-06-08T00:00:00"/>
    <x v="3"/>
    <x v="1"/>
    <x v="3"/>
    <n v="10"/>
    <n v="11433"/>
    <n v="114330"/>
    <n v="114330"/>
  </r>
  <r>
    <n v="10538"/>
    <d v="2023-05-29T00:00:00"/>
    <x v="4"/>
    <x v="3"/>
    <x v="5"/>
    <n v="14"/>
    <n v="2407"/>
    <n v="33698"/>
    <n v="33698"/>
  </r>
  <r>
    <n v="10539"/>
    <d v="2023-02-11T00:00:00"/>
    <x v="3"/>
    <x v="1"/>
    <x v="0"/>
    <n v="18"/>
    <n v="36698"/>
    <n v="660564"/>
    <n v="660564"/>
  </r>
  <r>
    <n v="10540"/>
    <d v="2023-09-20T00:00:00"/>
    <x v="2"/>
    <x v="2"/>
    <x v="4"/>
    <n v="2"/>
    <n v="16224"/>
    <n v="32448"/>
    <n v="32448"/>
  </r>
  <r>
    <n v="10541"/>
    <d v="2023-06-22T00:00:00"/>
    <x v="0"/>
    <x v="3"/>
    <x v="4"/>
    <n v="1"/>
    <n v="53653"/>
    <n v="53653"/>
    <n v="53653"/>
  </r>
  <r>
    <n v="10542"/>
    <d v="2023-12-28T00:00:00"/>
    <x v="3"/>
    <x v="3"/>
    <x v="3"/>
    <n v="14"/>
    <n v="11546"/>
    <n v="161644"/>
    <n v="161644"/>
  </r>
  <r>
    <n v="10543"/>
    <d v="2023-03-04T00:00:00"/>
    <x v="4"/>
    <x v="1"/>
    <x v="2"/>
    <n v="7"/>
    <n v="52933"/>
    <n v="370531"/>
    <n v="370531"/>
  </r>
  <r>
    <n v="10544"/>
    <d v="2023-12-03T00:00:00"/>
    <x v="6"/>
    <x v="2"/>
    <x v="2"/>
    <n v="15"/>
    <n v="26350"/>
    <n v="395250"/>
    <n v="395250"/>
  </r>
  <r>
    <n v="10545"/>
    <d v="2023-05-22T00:00:00"/>
    <x v="6"/>
    <x v="3"/>
    <x v="1"/>
    <n v="16"/>
    <n v="51128"/>
    <n v="818048"/>
    <n v="818048"/>
  </r>
  <r>
    <n v="10546"/>
    <d v="2023-11-23T00:00:00"/>
    <x v="6"/>
    <x v="0"/>
    <x v="5"/>
    <n v="15"/>
    <n v="1140"/>
    <n v="17100"/>
    <n v="17100"/>
  </r>
  <r>
    <n v="10547"/>
    <d v="2023-02-20T00:00:00"/>
    <x v="1"/>
    <x v="1"/>
    <x v="5"/>
    <n v="17"/>
    <n v="47818"/>
    <n v="812906"/>
    <n v="812906"/>
  </r>
  <r>
    <n v="10548"/>
    <d v="2023-10-05T00:00:00"/>
    <x v="0"/>
    <x v="2"/>
    <x v="5"/>
    <n v="12"/>
    <n v="20923"/>
    <n v="251076"/>
    <n v="251076"/>
  </r>
  <r>
    <n v="10549"/>
    <d v="2023-11-11T00:00:00"/>
    <x v="1"/>
    <x v="0"/>
    <x v="2"/>
    <n v="8"/>
    <n v="28180"/>
    <n v="225440"/>
    <n v="225440"/>
  </r>
  <r>
    <n v="10550"/>
    <d v="2023-11-27T00:00:00"/>
    <x v="4"/>
    <x v="1"/>
    <x v="4"/>
    <n v="6"/>
    <n v="33868"/>
    <n v="203208"/>
    <n v="203208"/>
  </r>
  <r>
    <n v="10551"/>
    <d v="2023-02-03T00:00:00"/>
    <x v="4"/>
    <x v="0"/>
    <x v="2"/>
    <n v="16"/>
    <n v="49412"/>
    <n v="790592"/>
    <n v="790592"/>
  </r>
  <r>
    <n v="10552"/>
    <d v="2023-11-25T00:00:00"/>
    <x v="1"/>
    <x v="2"/>
    <x v="3"/>
    <n v="20"/>
    <n v="8196"/>
    <n v="163920"/>
    <n v="163920"/>
  </r>
  <r>
    <n v="10553"/>
    <d v="2023-10-20T00:00:00"/>
    <x v="4"/>
    <x v="3"/>
    <x v="5"/>
    <n v="4"/>
    <n v="47173"/>
    <n v="188692"/>
    <n v="188692"/>
  </r>
  <r>
    <n v="10554"/>
    <d v="2023-08-31T00:00:00"/>
    <x v="4"/>
    <x v="1"/>
    <x v="3"/>
    <n v="18"/>
    <n v="13459"/>
    <n v="242262"/>
    <n v="242262"/>
  </r>
  <r>
    <n v="10555"/>
    <d v="2023-12-06T00:00:00"/>
    <x v="2"/>
    <x v="1"/>
    <x v="5"/>
    <n v="16"/>
    <n v="51402"/>
    <n v="822432"/>
    <n v="822432"/>
  </r>
  <r>
    <n v="10556"/>
    <d v="2023-08-11T00:00:00"/>
    <x v="6"/>
    <x v="3"/>
    <x v="5"/>
    <n v="11"/>
    <n v="45794"/>
    <n v="503734"/>
    <n v="503734"/>
  </r>
  <r>
    <n v="10557"/>
    <d v="2023-08-01T00:00:00"/>
    <x v="5"/>
    <x v="0"/>
    <x v="3"/>
    <n v="16"/>
    <n v="40706"/>
    <n v="651296"/>
    <n v="651296"/>
  </r>
  <r>
    <n v="10558"/>
    <d v="2023-07-05T00:00:00"/>
    <x v="3"/>
    <x v="3"/>
    <x v="4"/>
    <n v="13"/>
    <n v="41579"/>
    <n v="540527"/>
    <n v="540527"/>
  </r>
  <r>
    <n v="10559"/>
    <d v="2023-01-22T00:00:00"/>
    <x v="5"/>
    <x v="1"/>
    <x v="1"/>
    <n v="2"/>
    <n v="4545"/>
    <n v="9090"/>
    <n v="9090"/>
  </r>
  <r>
    <n v="10560"/>
    <d v="2023-10-11T00:00:00"/>
    <x v="4"/>
    <x v="1"/>
    <x v="5"/>
    <n v="8"/>
    <n v="13079"/>
    <n v="104632"/>
    <n v="104632"/>
  </r>
  <r>
    <n v="10561"/>
    <d v="2023-07-12T00:00:00"/>
    <x v="3"/>
    <x v="2"/>
    <x v="4"/>
    <n v="17"/>
    <n v="50264"/>
    <n v="854488"/>
    <n v="854488"/>
  </r>
  <r>
    <n v="10562"/>
    <d v="2023-09-12T00:00:00"/>
    <x v="2"/>
    <x v="1"/>
    <x v="5"/>
    <n v="14"/>
    <n v="34179"/>
    <n v="478506"/>
    <n v="478506"/>
  </r>
  <r>
    <n v="10563"/>
    <d v="2023-07-12T00:00:00"/>
    <x v="0"/>
    <x v="3"/>
    <x v="5"/>
    <n v="2"/>
    <n v="48423"/>
    <n v="96846"/>
    <n v="96846"/>
  </r>
  <r>
    <n v="10564"/>
    <d v="2023-01-12T00:00:00"/>
    <x v="3"/>
    <x v="2"/>
    <x v="0"/>
    <n v="18"/>
    <n v="13322"/>
    <n v="239796"/>
    <n v="239796"/>
  </r>
  <r>
    <n v="10565"/>
    <d v="2023-06-24T00:00:00"/>
    <x v="5"/>
    <x v="1"/>
    <x v="5"/>
    <n v="11"/>
    <n v="27979"/>
    <n v="307769"/>
    <n v="307769"/>
  </r>
  <r>
    <n v="10566"/>
    <d v="2023-04-03T00:00:00"/>
    <x v="0"/>
    <x v="0"/>
    <x v="2"/>
    <n v="2"/>
    <n v="26662"/>
    <n v="53324"/>
    <n v="53324"/>
  </r>
  <r>
    <n v="10567"/>
    <d v="2023-08-10T00:00:00"/>
    <x v="5"/>
    <x v="1"/>
    <x v="0"/>
    <n v="4"/>
    <n v="11602"/>
    <n v="46408"/>
    <n v="46408"/>
  </r>
  <r>
    <n v="10568"/>
    <d v="2023-06-21T00:00:00"/>
    <x v="0"/>
    <x v="2"/>
    <x v="2"/>
    <n v="9"/>
    <n v="31457"/>
    <n v="283113"/>
    <n v="283113"/>
  </r>
  <r>
    <n v="10569"/>
    <d v="2023-10-11T00:00:00"/>
    <x v="1"/>
    <x v="3"/>
    <x v="2"/>
    <n v="2"/>
    <n v="33384"/>
    <n v="66768"/>
    <n v="66768"/>
  </r>
  <r>
    <n v="10570"/>
    <d v="2023-08-19T00:00:00"/>
    <x v="1"/>
    <x v="2"/>
    <x v="0"/>
    <n v="17"/>
    <n v="21947"/>
    <n v="373099"/>
    <n v="373099"/>
  </r>
  <r>
    <n v="10571"/>
    <d v="2023-12-30T00:00:00"/>
    <x v="1"/>
    <x v="2"/>
    <x v="0"/>
    <n v="11"/>
    <n v="13499"/>
    <n v="148489"/>
    <n v="148489"/>
  </r>
  <r>
    <n v="10572"/>
    <d v="2023-01-21T00:00:00"/>
    <x v="0"/>
    <x v="0"/>
    <x v="3"/>
    <n v="8"/>
    <n v="39611"/>
    <n v="316888"/>
    <n v="316888"/>
  </r>
  <r>
    <n v="10573"/>
    <d v="2023-12-25T00:00:00"/>
    <x v="0"/>
    <x v="2"/>
    <x v="4"/>
    <n v="16"/>
    <n v="26393"/>
    <n v="422288"/>
    <n v="422288"/>
  </r>
  <r>
    <n v="10574"/>
    <d v="2023-10-12T00:00:00"/>
    <x v="5"/>
    <x v="2"/>
    <x v="5"/>
    <n v="5"/>
    <n v="6479"/>
    <n v="32395"/>
    <n v="32395"/>
  </r>
  <r>
    <n v="10575"/>
    <d v="2023-11-11T00:00:00"/>
    <x v="5"/>
    <x v="0"/>
    <x v="1"/>
    <n v="16"/>
    <n v="45831"/>
    <n v="733296"/>
    <n v="733296"/>
  </r>
  <r>
    <n v="10576"/>
    <d v="2023-02-13T00:00:00"/>
    <x v="3"/>
    <x v="0"/>
    <x v="3"/>
    <n v="17"/>
    <n v="27192"/>
    <n v="462264"/>
    <n v="462264"/>
  </r>
  <r>
    <n v="10577"/>
    <d v="2023-05-10T00:00:00"/>
    <x v="6"/>
    <x v="2"/>
    <x v="2"/>
    <n v="4"/>
    <n v="14854"/>
    <n v="59416"/>
    <n v="59416"/>
  </r>
  <r>
    <n v="10578"/>
    <d v="2023-10-30T00:00:00"/>
    <x v="5"/>
    <x v="2"/>
    <x v="2"/>
    <n v="12"/>
    <n v="53539"/>
    <n v="642468"/>
    <n v="642468"/>
  </r>
  <r>
    <n v="10579"/>
    <d v="2023-11-11T00:00:00"/>
    <x v="4"/>
    <x v="3"/>
    <x v="5"/>
    <n v="16"/>
    <n v="27314"/>
    <n v="437024"/>
    <n v="437024"/>
  </r>
  <r>
    <n v="10580"/>
    <d v="2023-10-10T00:00:00"/>
    <x v="5"/>
    <x v="0"/>
    <x v="2"/>
    <n v="17"/>
    <n v="29836"/>
    <n v="507212"/>
    <n v="507212"/>
  </r>
  <r>
    <n v="10581"/>
    <d v="2023-06-10T00:00:00"/>
    <x v="2"/>
    <x v="2"/>
    <x v="1"/>
    <n v="5"/>
    <n v="18992"/>
    <n v="94960"/>
    <n v="94960"/>
  </r>
  <r>
    <n v="10582"/>
    <d v="2023-09-05T00:00:00"/>
    <x v="2"/>
    <x v="2"/>
    <x v="0"/>
    <n v="10"/>
    <n v="24248"/>
    <n v="242480"/>
    <n v="242480"/>
  </r>
  <r>
    <n v="10583"/>
    <d v="2023-08-21T00:00:00"/>
    <x v="4"/>
    <x v="2"/>
    <x v="0"/>
    <n v="4"/>
    <n v="33110"/>
    <n v="132440"/>
    <n v="132440"/>
  </r>
  <r>
    <n v="10584"/>
    <d v="2023-08-26T00:00:00"/>
    <x v="4"/>
    <x v="1"/>
    <x v="3"/>
    <n v="5"/>
    <n v="8085"/>
    <n v="40425"/>
    <n v="40425"/>
  </r>
  <r>
    <n v="10585"/>
    <d v="2023-09-16T00:00:00"/>
    <x v="6"/>
    <x v="1"/>
    <x v="0"/>
    <n v="4"/>
    <n v="56712"/>
    <n v="226848"/>
    <n v="226848"/>
  </r>
  <r>
    <n v="10586"/>
    <d v="2023-03-27T00:00:00"/>
    <x v="2"/>
    <x v="2"/>
    <x v="2"/>
    <n v="14"/>
    <n v="12963"/>
    <n v="181482"/>
    <n v="181482"/>
  </r>
  <r>
    <n v="10587"/>
    <d v="2023-01-24T00:00:00"/>
    <x v="4"/>
    <x v="0"/>
    <x v="1"/>
    <n v="15"/>
    <n v="55562"/>
    <n v="833430"/>
    <n v="833430"/>
  </r>
  <r>
    <n v="10588"/>
    <d v="2023-09-29T00:00:00"/>
    <x v="1"/>
    <x v="2"/>
    <x v="2"/>
    <n v="20"/>
    <n v="6038"/>
    <n v="120760"/>
    <n v="120760"/>
  </r>
  <r>
    <n v="10589"/>
    <d v="2023-10-16T00:00:00"/>
    <x v="4"/>
    <x v="3"/>
    <x v="1"/>
    <n v="13"/>
    <n v="4272"/>
    <n v="55536"/>
    <n v="55536"/>
  </r>
  <r>
    <n v="10590"/>
    <d v="2023-05-06T00:00:00"/>
    <x v="4"/>
    <x v="3"/>
    <x v="3"/>
    <n v="15"/>
    <n v="35737"/>
    <n v="536055"/>
    <n v="536055"/>
  </r>
  <r>
    <n v="10591"/>
    <d v="2023-02-03T00:00:00"/>
    <x v="1"/>
    <x v="0"/>
    <x v="2"/>
    <n v="1"/>
    <n v="32032"/>
    <n v="32032"/>
    <n v="32032"/>
  </r>
  <r>
    <n v="10592"/>
    <d v="2023-05-30T00:00:00"/>
    <x v="3"/>
    <x v="1"/>
    <x v="3"/>
    <n v="13"/>
    <n v="41161"/>
    <n v="535093"/>
    <n v="535093"/>
  </r>
  <r>
    <n v="10593"/>
    <d v="2023-02-18T00:00:00"/>
    <x v="4"/>
    <x v="1"/>
    <x v="4"/>
    <n v="8"/>
    <n v="51066"/>
    <n v="408528"/>
    <n v="408528"/>
  </r>
  <r>
    <n v="10594"/>
    <d v="2023-09-20T00:00:00"/>
    <x v="2"/>
    <x v="2"/>
    <x v="3"/>
    <n v="17"/>
    <n v="22323"/>
    <n v="379491"/>
    <n v="379491"/>
  </r>
  <r>
    <n v="10595"/>
    <d v="2023-03-17T00:00:00"/>
    <x v="2"/>
    <x v="1"/>
    <x v="0"/>
    <n v="16"/>
    <n v="17477"/>
    <n v="279632"/>
    <n v="279632"/>
  </r>
  <r>
    <n v="10596"/>
    <d v="2023-04-19T00:00:00"/>
    <x v="6"/>
    <x v="0"/>
    <x v="4"/>
    <n v="13"/>
    <n v="7843"/>
    <n v="101959"/>
    <n v="101959"/>
  </r>
  <r>
    <n v="10597"/>
    <d v="2023-02-26T00:00:00"/>
    <x v="5"/>
    <x v="0"/>
    <x v="2"/>
    <n v="11"/>
    <n v="34800"/>
    <n v="382800"/>
    <n v="382800"/>
  </r>
  <r>
    <n v="10598"/>
    <d v="2023-10-13T00:00:00"/>
    <x v="4"/>
    <x v="0"/>
    <x v="2"/>
    <n v="14"/>
    <n v="59539"/>
    <n v="833546"/>
    <n v="833546"/>
  </r>
  <r>
    <n v="10599"/>
    <d v="2023-08-17T00:00:00"/>
    <x v="4"/>
    <x v="3"/>
    <x v="1"/>
    <n v="18"/>
    <n v="4079"/>
    <n v="73422"/>
    <n v="73422"/>
  </r>
  <r>
    <n v="10600"/>
    <d v="2023-03-10T00:00:00"/>
    <x v="4"/>
    <x v="0"/>
    <x v="2"/>
    <n v="11"/>
    <n v="54328"/>
    <n v="597608"/>
    <n v="597608"/>
  </r>
  <r>
    <n v="10601"/>
    <d v="2023-05-07T00:00:00"/>
    <x v="1"/>
    <x v="0"/>
    <x v="3"/>
    <n v="18"/>
    <n v="45915"/>
    <n v="826470"/>
    <n v="826470"/>
  </r>
  <r>
    <n v="10602"/>
    <d v="2023-11-17T00:00:00"/>
    <x v="1"/>
    <x v="1"/>
    <x v="5"/>
    <n v="1"/>
    <n v="31208"/>
    <n v="31208"/>
    <n v="31208"/>
  </r>
  <r>
    <n v="10603"/>
    <d v="2023-11-21T00:00:00"/>
    <x v="4"/>
    <x v="2"/>
    <x v="2"/>
    <n v="14"/>
    <n v="25065"/>
    <n v="350910"/>
    <n v="350910"/>
  </r>
  <r>
    <n v="10604"/>
    <d v="2023-03-30T00:00:00"/>
    <x v="6"/>
    <x v="3"/>
    <x v="3"/>
    <n v="14"/>
    <n v="46407"/>
    <n v="649698"/>
    <n v="649698"/>
  </r>
  <r>
    <n v="10605"/>
    <d v="2023-08-15T00:00:00"/>
    <x v="4"/>
    <x v="0"/>
    <x v="3"/>
    <n v="10"/>
    <n v="32457"/>
    <n v="324570"/>
    <n v="324570"/>
  </r>
  <r>
    <n v="10606"/>
    <d v="2023-01-27T00:00:00"/>
    <x v="3"/>
    <x v="0"/>
    <x v="1"/>
    <n v="8"/>
    <n v="2626"/>
    <n v="21008"/>
    <n v="21008"/>
  </r>
  <r>
    <n v="10607"/>
    <d v="2023-06-10T00:00:00"/>
    <x v="2"/>
    <x v="1"/>
    <x v="4"/>
    <n v="5"/>
    <n v="19829"/>
    <n v="99145"/>
    <n v="99145"/>
  </r>
  <r>
    <n v="10608"/>
    <d v="2023-08-11T00:00:00"/>
    <x v="1"/>
    <x v="0"/>
    <x v="1"/>
    <n v="6"/>
    <n v="57877"/>
    <n v="347262"/>
    <n v="347262"/>
  </r>
  <r>
    <n v="10609"/>
    <d v="2023-05-25T00:00:00"/>
    <x v="2"/>
    <x v="2"/>
    <x v="4"/>
    <n v="13"/>
    <n v="45145"/>
    <n v="586885"/>
    <n v="586885"/>
  </r>
  <r>
    <n v="10610"/>
    <d v="2023-10-03T00:00:00"/>
    <x v="3"/>
    <x v="3"/>
    <x v="4"/>
    <n v="10"/>
    <n v="7982"/>
    <n v="79820"/>
    <n v="79820"/>
  </r>
  <r>
    <n v="10611"/>
    <d v="2023-01-23T00:00:00"/>
    <x v="2"/>
    <x v="3"/>
    <x v="1"/>
    <n v="12"/>
    <n v="11082"/>
    <n v="132984"/>
    <n v="132984"/>
  </r>
  <r>
    <n v="10612"/>
    <d v="2023-05-01T00:00:00"/>
    <x v="0"/>
    <x v="3"/>
    <x v="1"/>
    <n v="15"/>
    <n v="47366"/>
    <n v="710490"/>
    <n v="710490"/>
  </r>
  <r>
    <n v="10613"/>
    <d v="2023-12-13T00:00:00"/>
    <x v="1"/>
    <x v="1"/>
    <x v="1"/>
    <n v="19"/>
    <n v="55364"/>
    <n v="1051916"/>
    <n v="1051916"/>
  </r>
  <r>
    <n v="10614"/>
    <d v="2023-01-11T00:00:00"/>
    <x v="4"/>
    <x v="1"/>
    <x v="4"/>
    <n v="20"/>
    <n v="32453"/>
    <n v="649060"/>
    <n v="649060"/>
  </r>
  <r>
    <n v="10615"/>
    <d v="2023-01-19T00:00:00"/>
    <x v="2"/>
    <x v="0"/>
    <x v="5"/>
    <n v="12"/>
    <n v="57059"/>
    <n v="684708"/>
    <n v="684708"/>
  </r>
  <r>
    <n v="10616"/>
    <d v="2023-09-18T00:00:00"/>
    <x v="5"/>
    <x v="0"/>
    <x v="0"/>
    <n v="11"/>
    <n v="30026"/>
    <n v="330286"/>
    <n v="330286"/>
  </r>
  <r>
    <n v="10617"/>
    <d v="2023-10-13T00:00:00"/>
    <x v="3"/>
    <x v="2"/>
    <x v="0"/>
    <n v="12"/>
    <n v="8729"/>
    <n v="104748"/>
    <n v="104748"/>
  </r>
  <r>
    <n v="10618"/>
    <d v="2023-10-25T00:00:00"/>
    <x v="5"/>
    <x v="3"/>
    <x v="4"/>
    <n v="7"/>
    <n v="52084"/>
    <n v="364588"/>
    <n v="364588"/>
  </r>
  <r>
    <n v="10619"/>
    <d v="2023-02-22T00:00:00"/>
    <x v="5"/>
    <x v="0"/>
    <x v="1"/>
    <n v="7"/>
    <n v="33354"/>
    <n v="233478"/>
    <n v="233478"/>
  </r>
  <r>
    <n v="10620"/>
    <d v="2023-11-09T00:00:00"/>
    <x v="2"/>
    <x v="0"/>
    <x v="3"/>
    <n v="4"/>
    <n v="52303"/>
    <n v="209212"/>
    <n v="209212"/>
  </r>
  <r>
    <n v="10621"/>
    <d v="2023-03-20T00:00:00"/>
    <x v="0"/>
    <x v="2"/>
    <x v="0"/>
    <n v="12"/>
    <n v="5108"/>
    <n v="61296"/>
    <n v="61296"/>
  </r>
  <r>
    <n v="10622"/>
    <d v="2023-03-08T00:00:00"/>
    <x v="0"/>
    <x v="2"/>
    <x v="4"/>
    <n v="18"/>
    <n v="38694"/>
    <n v="696492"/>
    <n v="696492"/>
  </r>
  <r>
    <n v="10623"/>
    <d v="2023-04-08T00:00:00"/>
    <x v="1"/>
    <x v="1"/>
    <x v="5"/>
    <n v="4"/>
    <n v="3732"/>
    <n v="14928"/>
    <n v="14928"/>
  </r>
  <r>
    <n v="10624"/>
    <d v="2023-08-16T00:00:00"/>
    <x v="1"/>
    <x v="3"/>
    <x v="0"/>
    <n v="20"/>
    <n v="58506"/>
    <n v="1170120"/>
    <n v="1170120"/>
  </r>
  <r>
    <n v="10625"/>
    <d v="2023-01-15T00:00:00"/>
    <x v="1"/>
    <x v="1"/>
    <x v="1"/>
    <n v="13"/>
    <n v="43043"/>
    <n v="559559"/>
    <n v="559559"/>
  </r>
  <r>
    <n v="10626"/>
    <d v="2023-02-13T00:00:00"/>
    <x v="4"/>
    <x v="2"/>
    <x v="0"/>
    <n v="10"/>
    <n v="28085"/>
    <n v="280850"/>
    <n v="280850"/>
  </r>
  <r>
    <n v="10627"/>
    <d v="2023-11-22T00:00:00"/>
    <x v="6"/>
    <x v="2"/>
    <x v="4"/>
    <n v="4"/>
    <n v="56150"/>
    <n v="224600"/>
    <n v="224600"/>
  </r>
  <r>
    <n v="10628"/>
    <d v="2023-12-30T00:00:00"/>
    <x v="4"/>
    <x v="2"/>
    <x v="4"/>
    <n v="17"/>
    <n v="20203"/>
    <n v="343451"/>
    <n v="343451"/>
  </r>
  <r>
    <n v="10629"/>
    <d v="2023-09-09T00:00:00"/>
    <x v="2"/>
    <x v="3"/>
    <x v="4"/>
    <n v="11"/>
    <n v="49016"/>
    <n v="539176"/>
    <n v="539176"/>
  </r>
  <r>
    <n v="10630"/>
    <d v="2023-03-01T00:00:00"/>
    <x v="3"/>
    <x v="2"/>
    <x v="5"/>
    <n v="7"/>
    <n v="6418"/>
    <n v="44926"/>
    <n v="44926"/>
  </r>
  <r>
    <n v="10631"/>
    <d v="2023-04-16T00:00:00"/>
    <x v="2"/>
    <x v="0"/>
    <x v="5"/>
    <n v="15"/>
    <n v="57206"/>
    <n v="858090"/>
    <n v="858090"/>
  </r>
  <r>
    <n v="10632"/>
    <d v="2023-12-09T00:00:00"/>
    <x v="6"/>
    <x v="1"/>
    <x v="2"/>
    <n v="10"/>
    <n v="49528"/>
    <n v="495280"/>
    <n v="495280"/>
  </r>
  <r>
    <n v="10633"/>
    <d v="2023-06-17T00:00:00"/>
    <x v="1"/>
    <x v="2"/>
    <x v="1"/>
    <n v="13"/>
    <n v="34773"/>
    <n v="452049"/>
    <n v="452049"/>
  </r>
  <r>
    <n v="10634"/>
    <d v="2023-06-04T00:00:00"/>
    <x v="3"/>
    <x v="0"/>
    <x v="5"/>
    <n v="3"/>
    <n v="5358"/>
    <n v="16074"/>
    <n v="16074"/>
  </r>
  <r>
    <n v="10635"/>
    <d v="2023-05-29T00:00:00"/>
    <x v="3"/>
    <x v="0"/>
    <x v="3"/>
    <n v="19"/>
    <n v="25152"/>
    <n v="477888"/>
    <n v="477888"/>
  </r>
  <r>
    <n v="10636"/>
    <d v="2023-05-03T00:00:00"/>
    <x v="5"/>
    <x v="0"/>
    <x v="3"/>
    <n v="11"/>
    <n v="39510"/>
    <n v="434610"/>
    <n v="434610"/>
  </r>
  <r>
    <n v="10637"/>
    <d v="2023-01-01T00:00:00"/>
    <x v="4"/>
    <x v="3"/>
    <x v="0"/>
    <n v="9"/>
    <n v="17984"/>
    <n v="161856"/>
    <n v="161856"/>
  </r>
  <r>
    <n v="10638"/>
    <d v="2023-08-08T00:00:00"/>
    <x v="1"/>
    <x v="0"/>
    <x v="0"/>
    <n v="10"/>
    <n v="15130"/>
    <n v="151300"/>
    <n v="151300"/>
  </r>
  <r>
    <n v="10639"/>
    <d v="2023-09-09T00:00:00"/>
    <x v="3"/>
    <x v="0"/>
    <x v="2"/>
    <n v="8"/>
    <n v="50153"/>
    <n v="401224"/>
    <n v="401224"/>
  </r>
  <r>
    <n v="10640"/>
    <d v="2023-01-19T00:00:00"/>
    <x v="3"/>
    <x v="0"/>
    <x v="4"/>
    <n v="9"/>
    <n v="28663"/>
    <n v="257967"/>
    <n v="257967"/>
  </r>
  <r>
    <n v="10641"/>
    <d v="2023-05-26T00:00:00"/>
    <x v="5"/>
    <x v="1"/>
    <x v="2"/>
    <n v="14"/>
    <n v="39062"/>
    <n v="546868"/>
    <n v="546868"/>
  </r>
  <r>
    <n v="10642"/>
    <d v="2023-07-26T00:00:00"/>
    <x v="3"/>
    <x v="3"/>
    <x v="1"/>
    <n v="6"/>
    <n v="17001"/>
    <n v="102006"/>
    <n v="102006"/>
  </r>
  <r>
    <n v="10643"/>
    <d v="2023-07-10T00:00:00"/>
    <x v="6"/>
    <x v="0"/>
    <x v="2"/>
    <n v="8"/>
    <n v="25860"/>
    <n v="206880"/>
    <n v="206880"/>
  </r>
  <r>
    <n v="10644"/>
    <d v="2023-09-19T00:00:00"/>
    <x v="1"/>
    <x v="1"/>
    <x v="5"/>
    <n v="1"/>
    <n v="43892"/>
    <n v="43892"/>
    <n v="43892"/>
  </r>
  <r>
    <n v="10645"/>
    <d v="2023-05-07T00:00:00"/>
    <x v="2"/>
    <x v="1"/>
    <x v="5"/>
    <n v="10"/>
    <n v="39869"/>
    <n v="398690"/>
    <n v="398690"/>
  </r>
  <r>
    <n v="10646"/>
    <d v="2023-05-09T00:00:00"/>
    <x v="5"/>
    <x v="2"/>
    <x v="5"/>
    <n v="9"/>
    <n v="24552"/>
    <n v="220968"/>
    <n v="220968"/>
  </r>
  <r>
    <n v="10647"/>
    <d v="2023-09-10T00:00:00"/>
    <x v="5"/>
    <x v="0"/>
    <x v="5"/>
    <n v="2"/>
    <n v="11437"/>
    <n v="22874"/>
    <n v="22874"/>
  </r>
  <r>
    <n v="10648"/>
    <d v="2023-01-26T00:00:00"/>
    <x v="6"/>
    <x v="2"/>
    <x v="4"/>
    <n v="2"/>
    <n v="7029"/>
    <n v="14058"/>
    <n v="14058"/>
  </r>
  <r>
    <n v="10649"/>
    <d v="2023-02-28T00:00:00"/>
    <x v="1"/>
    <x v="1"/>
    <x v="2"/>
    <n v="18"/>
    <n v="39225"/>
    <n v="706050"/>
    <n v="706050"/>
  </r>
  <r>
    <n v="10650"/>
    <d v="2023-02-17T00:00:00"/>
    <x v="3"/>
    <x v="3"/>
    <x v="5"/>
    <n v="5"/>
    <n v="28995"/>
    <n v="144975"/>
    <n v="144975"/>
  </r>
  <r>
    <n v="10651"/>
    <d v="2023-08-22T00:00:00"/>
    <x v="5"/>
    <x v="2"/>
    <x v="5"/>
    <n v="16"/>
    <n v="42446"/>
    <n v="679136"/>
    <n v="679136"/>
  </r>
  <r>
    <n v="10652"/>
    <d v="2023-09-09T00:00:00"/>
    <x v="1"/>
    <x v="3"/>
    <x v="4"/>
    <n v="1"/>
    <n v="42799"/>
    <n v="42799"/>
    <n v="42799"/>
  </r>
  <r>
    <n v="10653"/>
    <d v="2023-06-13T00:00:00"/>
    <x v="2"/>
    <x v="3"/>
    <x v="2"/>
    <n v="16"/>
    <n v="37076"/>
    <n v="593216"/>
    <n v="593216"/>
  </r>
  <r>
    <n v="10654"/>
    <d v="2023-11-27T00:00:00"/>
    <x v="6"/>
    <x v="1"/>
    <x v="1"/>
    <n v="12"/>
    <n v="25126"/>
    <n v="301512"/>
    <n v="301512"/>
  </r>
  <r>
    <n v="10655"/>
    <d v="2023-02-19T00:00:00"/>
    <x v="1"/>
    <x v="1"/>
    <x v="5"/>
    <n v="10"/>
    <n v="34866"/>
    <n v="348660"/>
    <n v="348660"/>
  </r>
  <r>
    <n v="10656"/>
    <d v="2023-02-26T00:00:00"/>
    <x v="6"/>
    <x v="3"/>
    <x v="3"/>
    <n v="6"/>
    <n v="30703"/>
    <n v="184218"/>
    <n v="184218"/>
  </r>
  <r>
    <n v="10657"/>
    <d v="2023-09-25T00:00:00"/>
    <x v="4"/>
    <x v="1"/>
    <x v="5"/>
    <n v="7"/>
    <n v="10211"/>
    <n v="71477"/>
    <n v="71477"/>
  </r>
  <r>
    <n v="10658"/>
    <d v="2023-01-25T00:00:00"/>
    <x v="0"/>
    <x v="0"/>
    <x v="0"/>
    <n v="6"/>
    <n v="38011"/>
    <n v="228066"/>
    <n v="228066"/>
  </r>
  <r>
    <n v="10659"/>
    <d v="2023-02-11T00:00:00"/>
    <x v="5"/>
    <x v="2"/>
    <x v="1"/>
    <n v="17"/>
    <n v="16638"/>
    <n v="282846"/>
    <n v="282846"/>
  </r>
  <r>
    <n v="10660"/>
    <d v="2023-08-16T00:00:00"/>
    <x v="1"/>
    <x v="1"/>
    <x v="4"/>
    <n v="7"/>
    <n v="36448"/>
    <n v="255136"/>
    <n v="255136"/>
  </r>
  <r>
    <n v="10661"/>
    <d v="2023-01-06T00:00:00"/>
    <x v="0"/>
    <x v="1"/>
    <x v="3"/>
    <n v="5"/>
    <n v="31220"/>
    <n v="156100"/>
    <n v="156100"/>
  </r>
  <r>
    <n v="10662"/>
    <d v="2023-08-30T00:00:00"/>
    <x v="4"/>
    <x v="0"/>
    <x v="4"/>
    <n v="10"/>
    <n v="52330"/>
    <n v="523300"/>
    <n v="523300"/>
  </r>
  <r>
    <n v="10663"/>
    <d v="2023-11-18T00:00:00"/>
    <x v="1"/>
    <x v="0"/>
    <x v="3"/>
    <n v="2"/>
    <n v="58446"/>
    <n v="116892"/>
    <n v="116892"/>
  </r>
  <r>
    <n v="10664"/>
    <d v="2023-05-05T00:00:00"/>
    <x v="0"/>
    <x v="0"/>
    <x v="1"/>
    <n v="7"/>
    <n v="55522"/>
    <n v="388654"/>
    <n v="388654"/>
  </r>
  <r>
    <n v="10665"/>
    <d v="2023-08-09T00:00:00"/>
    <x v="2"/>
    <x v="3"/>
    <x v="3"/>
    <n v="15"/>
    <n v="32783"/>
    <n v="491745"/>
    <n v="491745"/>
  </r>
  <r>
    <n v="10666"/>
    <d v="2023-03-27T00:00:00"/>
    <x v="3"/>
    <x v="3"/>
    <x v="1"/>
    <n v="12"/>
    <n v="6002"/>
    <n v="72024"/>
    <n v="72024"/>
  </r>
  <r>
    <n v="10667"/>
    <d v="2023-03-16T00:00:00"/>
    <x v="6"/>
    <x v="2"/>
    <x v="5"/>
    <n v="15"/>
    <n v="5534"/>
    <n v="83010"/>
    <n v="83010"/>
  </r>
  <r>
    <n v="10668"/>
    <d v="2023-07-02T00:00:00"/>
    <x v="0"/>
    <x v="2"/>
    <x v="3"/>
    <n v="7"/>
    <n v="42921"/>
    <n v="300447"/>
    <n v="300447"/>
  </r>
  <r>
    <n v="10669"/>
    <d v="2023-12-26T00:00:00"/>
    <x v="1"/>
    <x v="3"/>
    <x v="4"/>
    <n v="20"/>
    <n v="53157"/>
    <n v="1063140"/>
    <n v="1063140"/>
  </r>
  <r>
    <n v="10670"/>
    <d v="2023-02-06T00:00:00"/>
    <x v="1"/>
    <x v="1"/>
    <x v="5"/>
    <n v="18"/>
    <n v="29077"/>
    <n v="523386"/>
    <n v="523386"/>
  </r>
  <r>
    <n v="10671"/>
    <d v="2023-05-06T00:00:00"/>
    <x v="0"/>
    <x v="0"/>
    <x v="3"/>
    <n v="14"/>
    <n v="21970"/>
    <n v="307580"/>
    <n v="307580"/>
  </r>
  <r>
    <n v="10672"/>
    <d v="2023-07-09T00:00:00"/>
    <x v="0"/>
    <x v="2"/>
    <x v="4"/>
    <n v="18"/>
    <n v="4586"/>
    <n v="82548"/>
    <n v="82548"/>
  </r>
  <r>
    <n v="10673"/>
    <d v="2023-10-20T00:00:00"/>
    <x v="0"/>
    <x v="0"/>
    <x v="1"/>
    <n v="7"/>
    <n v="50003"/>
    <n v="350021"/>
    <n v="350021"/>
  </r>
  <r>
    <n v="10674"/>
    <d v="2023-08-28T00:00:00"/>
    <x v="0"/>
    <x v="3"/>
    <x v="2"/>
    <n v="2"/>
    <n v="7417"/>
    <n v="14834"/>
    <n v="14834"/>
  </r>
  <r>
    <n v="10675"/>
    <d v="2023-12-29T00:00:00"/>
    <x v="6"/>
    <x v="0"/>
    <x v="3"/>
    <n v="18"/>
    <n v="54003"/>
    <n v="972054"/>
    <n v="972054"/>
  </r>
  <r>
    <n v="10676"/>
    <d v="2023-03-11T00:00:00"/>
    <x v="4"/>
    <x v="2"/>
    <x v="0"/>
    <n v="3"/>
    <n v="34690"/>
    <n v="104070"/>
    <n v="104070"/>
  </r>
  <r>
    <n v="10677"/>
    <d v="2023-09-03T00:00:00"/>
    <x v="6"/>
    <x v="1"/>
    <x v="4"/>
    <n v="6"/>
    <n v="16573"/>
    <n v="99438"/>
    <n v="99438"/>
  </r>
  <r>
    <n v="10678"/>
    <d v="2023-03-25T00:00:00"/>
    <x v="3"/>
    <x v="3"/>
    <x v="5"/>
    <n v="7"/>
    <n v="12654"/>
    <n v="88578"/>
    <n v="88578"/>
  </r>
  <r>
    <n v="10679"/>
    <d v="2023-05-17T00:00:00"/>
    <x v="5"/>
    <x v="1"/>
    <x v="0"/>
    <n v="18"/>
    <n v="12916"/>
    <n v="232488"/>
    <n v="232488"/>
  </r>
  <r>
    <n v="10680"/>
    <d v="2023-12-18T00:00:00"/>
    <x v="5"/>
    <x v="0"/>
    <x v="3"/>
    <n v="10"/>
    <n v="16887"/>
    <n v="168870"/>
    <n v="168870"/>
  </r>
  <r>
    <n v="10681"/>
    <d v="2023-09-08T00:00:00"/>
    <x v="0"/>
    <x v="0"/>
    <x v="4"/>
    <n v="15"/>
    <n v="38615"/>
    <n v="579225"/>
    <n v="579225"/>
  </r>
  <r>
    <n v="10682"/>
    <d v="2023-12-23T00:00:00"/>
    <x v="2"/>
    <x v="0"/>
    <x v="2"/>
    <n v="14"/>
    <n v="38925"/>
    <n v="544950"/>
    <n v="544950"/>
  </r>
  <r>
    <n v="10683"/>
    <d v="2023-02-06T00:00:00"/>
    <x v="6"/>
    <x v="2"/>
    <x v="3"/>
    <n v="9"/>
    <n v="32774"/>
    <n v="294966"/>
    <n v="294966"/>
  </r>
  <r>
    <n v="10684"/>
    <d v="2023-02-05T00:00:00"/>
    <x v="1"/>
    <x v="1"/>
    <x v="3"/>
    <n v="14"/>
    <n v="20750"/>
    <n v="290500"/>
    <n v="290500"/>
  </r>
  <r>
    <n v="10685"/>
    <d v="2023-04-21T00:00:00"/>
    <x v="6"/>
    <x v="1"/>
    <x v="5"/>
    <n v="12"/>
    <n v="36444"/>
    <n v="437328"/>
    <n v="437328"/>
  </r>
  <r>
    <n v="10686"/>
    <d v="2023-11-01T00:00:00"/>
    <x v="2"/>
    <x v="1"/>
    <x v="4"/>
    <n v="12"/>
    <n v="11989"/>
    <n v="143868"/>
    <n v="143868"/>
  </r>
  <r>
    <n v="10687"/>
    <d v="2023-02-08T00:00:00"/>
    <x v="1"/>
    <x v="2"/>
    <x v="3"/>
    <n v="6"/>
    <n v="19391"/>
    <n v="116346"/>
    <n v="116346"/>
  </r>
  <r>
    <n v="10688"/>
    <d v="2023-04-10T00:00:00"/>
    <x v="3"/>
    <x v="2"/>
    <x v="1"/>
    <n v="10"/>
    <n v="53370"/>
    <n v="533700"/>
    <n v="533700"/>
  </r>
  <r>
    <n v="10689"/>
    <d v="2023-12-09T00:00:00"/>
    <x v="3"/>
    <x v="1"/>
    <x v="3"/>
    <n v="7"/>
    <n v="52161"/>
    <n v="365127"/>
    <n v="365127"/>
  </r>
  <r>
    <n v="10690"/>
    <d v="2023-06-23T00:00:00"/>
    <x v="2"/>
    <x v="3"/>
    <x v="4"/>
    <n v="6"/>
    <n v="14908"/>
    <n v="89448"/>
    <n v="89448"/>
  </r>
  <r>
    <n v="10691"/>
    <d v="2023-02-03T00:00:00"/>
    <x v="5"/>
    <x v="1"/>
    <x v="4"/>
    <n v="4"/>
    <n v="6855"/>
    <n v="27420"/>
    <n v="27420"/>
  </r>
  <r>
    <n v="10692"/>
    <d v="2023-02-26T00:00:00"/>
    <x v="0"/>
    <x v="2"/>
    <x v="4"/>
    <n v="2"/>
    <n v="22095"/>
    <n v="44190"/>
    <n v="44190"/>
  </r>
  <r>
    <n v="10693"/>
    <d v="2023-04-02T00:00:00"/>
    <x v="3"/>
    <x v="3"/>
    <x v="4"/>
    <n v="18"/>
    <n v="56763"/>
    <n v="1021734"/>
    <n v="1021734"/>
  </r>
  <r>
    <n v="10694"/>
    <d v="2023-02-06T00:00:00"/>
    <x v="1"/>
    <x v="2"/>
    <x v="1"/>
    <n v="12"/>
    <n v="17566"/>
    <n v="210792"/>
    <n v="210792"/>
  </r>
  <r>
    <n v="10695"/>
    <d v="2023-02-19T00:00:00"/>
    <x v="5"/>
    <x v="2"/>
    <x v="3"/>
    <n v="11"/>
    <n v="50725"/>
    <n v="557975"/>
    <n v="557975"/>
  </r>
  <r>
    <n v="10696"/>
    <d v="2023-06-20T00:00:00"/>
    <x v="1"/>
    <x v="0"/>
    <x v="2"/>
    <n v="19"/>
    <n v="55889"/>
    <n v="1061891"/>
    <n v="1061891"/>
  </r>
  <r>
    <n v="10697"/>
    <d v="2023-09-17T00:00:00"/>
    <x v="5"/>
    <x v="0"/>
    <x v="2"/>
    <n v="5"/>
    <n v="38453"/>
    <n v="192265"/>
    <n v="192265"/>
  </r>
  <r>
    <n v="10698"/>
    <d v="2023-12-19T00:00:00"/>
    <x v="0"/>
    <x v="3"/>
    <x v="4"/>
    <n v="11"/>
    <n v="45131"/>
    <n v="496441"/>
    <n v="496441"/>
  </r>
  <r>
    <n v="10699"/>
    <d v="2023-01-02T00:00:00"/>
    <x v="5"/>
    <x v="1"/>
    <x v="1"/>
    <n v="10"/>
    <n v="14006"/>
    <n v="140060"/>
    <n v="140060"/>
  </r>
  <r>
    <n v="10700"/>
    <d v="2023-09-19T00:00:00"/>
    <x v="4"/>
    <x v="3"/>
    <x v="4"/>
    <n v="7"/>
    <n v="26998"/>
    <n v="188986"/>
    <n v="188986"/>
  </r>
  <r>
    <n v="10701"/>
    <d v="2023-09-15T00:00:00"/>
    <x v="0"/>
    <x v="3"/>
    <x v="3"/>
    <n v="19"/>
    <n v="58230"/>
    <n v="1106370"/>
    <n v="1106370"/>
  </r>
  <r>
    <n v="10702"/>
    <d v="2023-04-19T00:00:00"/>
    <x v="5"/>
    <x v="0"/>
    <x v="5"/>
    <n v="17"/>
    <n v="45278"/>
    <n v="769726"/>
    <n v="769726"/>
  </r>
  <r>
    <n v="10703"/>
    <d v="2023-10-14T00:00:00"/>
    <x v="3"/>
    <x v="3"/>
    <x v="1"/>
    <n v="6"/>
    <n v="48620"/>
    <n v="291720"/>
    <n v="291720"/>
  </r>
  <r>
    <n v="10704"/>
    <d v="2023-01-31T00:00:00"/>
    <x v="2"/>
    <x v="0"/>
    <x v="4"/>
    <n v="18"/>
    <n v="30351"/>
    <n v="546318"/>
    <n v="546318"/>
  </r>
  <r>
    <n v="10705"/>
    <d v="2023-10-05T00:00:00"/>
    <x v="4"/>
    <x v="0"/>
    <x v="0"/>
    <n v="9"/>
    <n v="39525"/>
    <n v="355725"/>
    <n v="355725"/>
  </r>
  <r>
    <n v="10706"/>
    <d v="2023-04-21T00:00:00"/>
    <x v="3"/>
    <x v="0"/>
    <x v="3"/>
    <n v="11"/>
    <n v="53104"/>
    <n v="584144"/>
    <n v="584144"/>
  </r>
  <r>
    <n v="10707"/>
    <d v="2023-07-30T00:00:00"/>
    <x v="3"/>
    <x v="0"/>
    <x v="5"/>
    <n v="14"/>
    <n v="53315"/>
    <n v="746410"/>
    <n v="746410"/>
  </r>
  <r>
    <n v="10708"/>
    <d v="2023-04-26T00:00:00"/>
    <x v="4"/>
    <x v="0"/>
    <x v="5"/>
    <n v="13"/>
    <n v="7673"/>
    <n v="99749"/>
    <n v="99749"/>
  </r>
  <r>
    <n v="10709"/>
    <d v="2023-04-03T00:00:00"/>
    <x v="3"/>
    <x v="1"/>
    <x v="4"/>
    <n v="5"/>
    <n v="26633"/>
    <n v="133165"/>
    <n v="133165"/>
  </r>
  <r>
    <n v="10710"/>
    <d v="2023-02-26T00:00:00"/>
    <x v="2"/>
    <x v="0"/>
    <x v="0"/>
    <n v="7"/>
    <n v="13422"/>
    <n v="93954"/>
    <n v="93954"/>
  </r>
  <r>
    <n v="10711"/>
    <d v="2023-07-18T00:00:00"/>
    <x v="5"/>
    <x v="3"/>
    <x v="0"/>
    <n v="10"/>
    <n v="3221"/>
    <n v="32210"/>
    <n v="32210"/>
  </r>
  <r>
    <n v="10712"/>
    <d v="2023-05-27T00:00:00"/>
    <x v="4"/>
    <x v="0"/>
    <x v="4"/>
    <n v="9"/>
    <n v="25994"/>
    <n v="233946"/>
    <n v="233946"/>
  </r>
  <r>
    <n v="10713"/>
    <d v="2023-06-24T00:00:00"/>
    <x v="5"/>
    <x v="1"/>
    <x v="4"/>
    <n v="4"/>
    <n v="9833"/>
    <n v="39332"/>
    <n v="39332"/>
  </r>
  <r>
    <n v="10714"/>
    <d v="2023-04-18T00:00:00"/>
    <x v="0"/>
    <x v="2"/>
    <x v="2"/>
    <n v="19"/>
    <n v="8508"/>
    <n v="161652"/>
    <n v="161652"/>
  </r>
  <r>
    <n v="10715"/>
    <d v="2023-02-16T00:00:00"/>
    <x v="2"/>
    <x v="2"/>
    <x v="1"/>
    <n v="14"/>
    <n v="36936"/>
    <n v="517104"/>
    <n v="517104"/>
  </r>
  <r>
    <n v="10716"/>
    <d v="2023-11-18T00:00:00"/>
    <x v="6"/>
    <x v="3"/>
    <x v="5"/>
    <n v="8"/>
    <n v="41910"/>
    <n v="335280"/>
    <n v="335280"/>
  </r>
  <r>
    <n v="10717"/>
    <d v="2023-01-09T00:00:00"/>
    <x v="5"/>
    <x v="2"/>
    <x v="0"/>
    <n v="5"/>
    <n v="45420"/>
    <n v="227100"/>
    <n v="227100"/>
  </r>
  <r>
    <n v="10718"/>
    <d v="2023-03-01T00:00:00"/>
    <x v="5"/>
    <x v="1"/>
    <x v="3"/>
    <n v="14"/>
    <n v="36554"/>
    <n v="511756"/>
    <n v="511756"/>
  </r>
  <r>
    <n v="10719"/>
    <d v="2023-10-12T00:00:00"/>
    <x v="5"/>
    <x v="3"/>
    <x v="2"/>
    <n v="10"/>
    <n v="21848"/>
    <n v="218480"/>
    <n v="218480"/>
  </r>
  <r>
    <n v="10720"/>
    <d v="2023-10-23T00:00:00"/>
    <x v="0"/>
    <x v="1"/>
    <x v="3"/>
    <n v="2"/>
    <n v="50474"/>
    <n v="100948"/>
    <n v="100948"/>
  </r>
  <r>
    <n v="10721"/>
    <d v="2023-03-10T00:00:00"/>
    <x v="1"/>
    <x v="2"/>
    <x v="2"/>
    <n v="17"/>
    <n v="27897"/>
    <n v="474249"/>
    <n v="474249"/>
  </r>
  <r>
    <n v="10722"/>
    <d v="2023-05-13T00:00:00"/>
    <x v="5"/>
    <x v="0"/>
    <x v="3"/>
    <n v="1"/>
    <n v="52224"/>
    <n v="52224"/>
    <n v="52224"/>
  </r>
  <r>
    <n v="10723"/>
    <d v="2023-01-26T00:00:00"/>
    <x v="6"/>
    <x v="1"/>
    <x v="2"/>
    <n v="11"/>
    <n v="15800"/>
    <n v="173800"/>
    <n v="173800"/>
  </r>
  <r>
    <n v="10724"/>
    <d v="2023-02-23T00:00:00"/>
    <x v="6"/>
    <x v="2"/>
    <x v="2"/>
    <n v="15"/>
    <n v="21839"/>
    <n v="327585"/>
    <n v="327585"/>
  </r>
  <r>
    <n v="10725"/>
    <d v="2023-01-19T00:00:00"/>
    <x v="4"/>
    <x v="1"/>
    <x v="3"/>
    <n v="3"/>
    <n v="24295"/>
    <n v="72885"/>
    <n v="72885"/>
  </r>
  <r>
    <n v="10726"/>
    <d v="2023-07-25T00:00:00"/>
    <x v="5"/>
    <x v="2"/>
    <x v="1"/>
    <n v="19"/>
    <n v="55093"/>
    <n v="1046767"/>
    <n v="1046767"/>
  </r>
  <r>
    <n v="10727"/>
    <d v="2023-10-28T00:00:00"/>
    <x v="2"/>
    <x v="1"/>
    <x v="1"/>
    <n v="13"/>
    <n v="23962"/>
    <n v="311506"/>
    <n v="311506"/>
  </r>
  <r>
    <n v="10728"/>
    <d v="2023-02-26T00:00:00"/>
    <x v="0"/>
    <x v="1"/>
    <x v="0"/>
    <n v="19"/>
    <n v="19846"/>
    <n v="377074"/>
    <n v="377074"/>
  </r>
  <r>
    <n v="10729"/>
    <d v="2023-10-16T00:00:00"/>
    <x v="2"/>
    <x v="2"/>
    <x v="1"/>
    <n v="8"/>
    <n v="25722"/>
    <n v="205776"/>
    <n v="205776"/>
  </r>
  <r>
    <n v="10730"/>
    <d v="2023-05-29T00:00:00"/>
    <x v="5"/>
    <x v="0"/>
    <x v="5"/>
    <n v="1"/>
    <n v="49061"/>
    <n v="49061"/>
    <n v="49061"/>
  </r>
  <r>
    <n v="10731"/>
    <d v="2023-11-29T00:00:00"/>
    <x v="1"/>
    <x v="2"/>
    <x v="0"/>
    <n v="15"/>
    <n v="1033"/>
    <n v="15495"/>
    <n v="15495"/>
  </r>
  <r>
    <n v="10732"/>
    <d v="2023-11-23T00:00:00"/>
    <x v="0"/>
    <x v="0"/>
    <x v="3"/>
    <n v="20"/>
    <n v="48839"/>
    <n v="976780"/>
    <n v="976780"/>
  </r>
  <r>
    <n v="10733"/>
    <d v="2023-11-26T00:00:00"/>
    <x v="1"/>
    <x v="2"/>
    <x v="1"/>
    <n v="13"/>
    <n v="28172"/>
    <n v="366236"/>
    <n v="366236"/>
  </r>
  <r>
    <n v="10734"/>
    <d v="2023-07-04T00:00:00"/>
    <x v="1"/>
    <x v="0"/>
    <x v="5"/>
    <n v="15"/>
    <n v="30820"/>
    <n v="462300"/>
    <n v="462300"/>
  </r>
  <r>
    <n v="10735"/>
    <d v="2023-12-26T00:00:00"/>
    <x v="1"/>
    <x v="0"/>
    <x v="1"/>
    <n v="19"/>
    <n v="16592"/>
    <n v="315248"/>
    <n v="315248"/>
  </r>
  <r>
    <n v="10736"/>
    <d v="2023-01-03T00:00:00"/>
    <x v="0"/>
    <x v="1"/>
    <x v="4"/>
    <n v="11"/>
    <n v="14473"/>
    <n v="159203"/>
    <n v="159203"/>
  </r>
  <r>
    <n v="10737"/>
    <d v="2023-04-14T00:00:00"/>
    <x v="4"/>
    <x v="3"/>
    <x v="5"/>
    <n v="19"/>
    <n v="47061"/>
    <n v="894159"/>
    <n v="894159"/>
  </r>
  <r>
    <n v="10738"/>
    <d v="2023-08-07T00:00:00"/>
    <x v="6"/>
    <x v="0"/>
    <x v="3"/>
    <n v="18"/>
    <n v="20486"/>
    <n v="368748"/>
    <n v="368748"/>
  </r>
  <r>
    <n v="10739"/>
    <d v="2023-07-09T00:00:00"/>
    <x v="2"/>
    <x v="3"/>
    <x v="5"/>
    <n v="11"/>
    <n v="53077"/>
    <n v="583847"/>
    <n v="583847"/>
  </r>
  <r>
    <n v="10740"/>
    <d v="2023-05-16T00:00:00"/>
    <x v="0"/>
    <x v="2"/>
    <x v="3"/>
    <n v="18"/>
    <n v="22911"/>
    <n v="412398"/>
    <n v="412398"/>
  </r>
  <r>
    <n v="10741"/>
    <d v="2023-11-22T00:00:00"/>
    <x v="3"/>
    <x v="1"/>
    <x v="5"/>
    <n v="2"/>
    <n v="24675"/>
    <n v="49350"/>
    <n v="49350"/>
  </r>
  <r>
    <n v="10742"/>
    <d v="2023-09-03T00:00:00"/>
    <x v="2"/>
    <x v="1"/>
    <x v="3"/>
    <n v="16"/>
    <n v="18793"/>
    <n v="300688"/>
    <n v="300688"/>
  </r>
  <r>
    <n v="10743"/>
    <d v="2023-07-21T00:00:00"/>
    <x v="6"/>
    <x v="3"/>
    <x v="2"/>
    <n v="1"/>
    <n v="17825"/>
    <n v="17825"/>
    <n v="17825"/>
  </r>
  <r>
    <n v="10744"/>
    <d v="2023-07-03T00:00:00"/>
    <x v="0"/>
    <x v="0"/>
    <x v="2"/>
    <n v="1"/>
    <n v="5082"/>
    <n v="5082"/>
    <n v="5082"/>
  </r>
  <r>
    <n v="10745"/>
    <d v="2023-02-09T00:00:00"/>
    <x v="2"/>
    <x v="2"/>
    <x v="2"/>
    <n v="4"/>
    <n v="16295"/>
    <n v="65180"/>
    <n v="65180"/>
  </r>
  <r>
    <n v="10746"/>
    <d v="2023-01-19T00:00:00"/>
    <x v="1"/>
    <x v="3"/>
    <x v="1"/>
    <n v="3"/>
    <n v="54179"/>
    <n v="162537"/>
    <n v="162537"/>
  </r>
  <r>
    <n v="10747"/>
    <d v="2023-03-31T00:00:00"/>
    <x v="5"/>
    <x v="2"/>
    <x v="4"/>
    <n v="6"/>
    <n v="19509"/>
    <n v="117054"/>
    <n v="117054"/>
  </r>
  <r>
    <n v="10748"/>
    <d v="2023-05-09T00:00:00"/>
    <x v="6"/>
    <x v="3"/>
    <x v="1"/>
    <n v="12"/>
    <n v="41501"/>
    <n v="498012"/>
    <n v="498012"/>
  </r>
  <r>
    <n v="10749"/>
    <d v="2023-12-06T00:00:00"/>
    <x v="4"/>
    <x v="1"/>
    <x v="5"/>
    <n v="12"/>
    <n v="10939"/>
    <n v="131268"/>
    <n v="131268"/>
  </r>
  <r>
    <n v="10750"/>
    <d v="2023-04-09T00:00:00"/>
    <x v="5"/>
    <x v="1"/>
    <x v="0"/>
    <n v="14"/>
    <n v="16138"/>
    <n v="225932"/>
    <n v="225932"/>
  </r>
  <r>
    <n v="10751"/>
    <d v="2023-03-27T00:00:00"/>
    <x v="6"/>
    <x v="0"/>
    <x v="2"/>
    <n v="9"/>
    <n v="16104"/>
    <n v="144936"/>
    <n v="144936"/>
  </r>
  <r>
    <n v="10752"/>
    <d v="2023-05-03T00:00:00"/>
    <x v="4"/>
    <x v="3"/>
    <x v="1"/>
    <n v="11"/>
    <n v="23714"/>
    <n v="260854"/>
    <n v="260854"/>
  </r>
  <r>
    <n v="10753"/>
    <d v="2023-12-26T00:00:00"/>
    <x v="3"/>
    <x v="1"/>
    <x v="0"/>
    <n v="1"/>
    <n v="46665"/>
    <n v="46665"/>
    <n v="46665"/>
  </r>
  <r>
    <n v="10754"/>
    <d v="2023-01-14T00:00:00"/>
    <x v="6"/>
    <x v="2"/>
    <x v="4"/>
    <n v="15"/>
    <n v="8143"/>
    <n v="122145"/>
    <n v="122145"/>
  </r>
  <r>
    <n v="10755"/>
    <d v="2023-04-18T00:00:00"/>
    <x v="4"/>
    <x v="3"/>
    <x v="1"/>
    <n v="3"/>
    <n v="12853"/>
    <n v="38559"/>
    <n v="38559"/>
  </r>
  <r>
    <n v="10756"/>
    <d v="2023-11-18T00:00:00"/>
    <x v="4"/>
    <x v="0"/>
    <x v="2"/>
    <n v="1"/>
    <n v="5143"/>
    <n v="5143"/>
    <n v="5143"/>
  </r>
  <r>
    <n v="10757"/>
    <d v="2023-02-08T00:00:00"/>
    <x v="3"/>
    <x v="2"/>
    <x v="2"/>
    <n v="4"/>
    <n v="1168"/>
    <n v="4672"/>
    <n v="4672"/>
  </r>
  <r>
    <n v="10758"/>
    <d v="2023-10-23T00:00:00"/>
    <x v="0"/>
    <x v="3"/>
    <x v="3"/>
    <n v="20"/>
    <n v="48981"/>
    <n v="979620"/>
    <n v="979620"/>
  </r>
  <r>
    <n v="10759"/>
    <d v="2023-04-10T00:00:00"/>
    <x v="2"/>
    <x v="2"/>
    <x v="4"/>
    <n v="11"/>
    <n v="54462"/>
    <n v="599082"/>
    <n v="599082"/>
  </r>
  <r>
    <n v="10760"/>
    <d v="2023-12-30T00:00:00"/>
    <x v="6"/>
    <x v="3"/>
    <x v="2"/>
    <n v="12"/>
    <n v="16295"/>
    <n v="195540"/>
    <n v="195540"/>
  </r>
  <r>
    <n v="10761"/>
    <d v="2023-02-21T00:00:00"/>
    <x v="5"/>
    <x v="0"/>
    <x v="3"/>
    <n v="19"/>
    <n v="22041"/>
    <n v="418779"/>
    <n v="418779"/>
  </r>
  <r>
    <n v="10762"/>
    <d v="2023-03-05T00:00:00"/>
    <x v="4"/>
    <x v="1"/>
    <x v="1"/>
    <n v="19"/>
    <n v="10947"/>
    <n v="207993"/>
    <n v="207993"/>
  </r>
  <r>
    <n v="10763"/>
    <d v="2023-12-28T00:00:00"/>
    <x v="3"/>
    <x v="1"/>
    <x v="3"/>
    <n v="5"/>
    <n v="57971"/>
    <n v="289855"/>
    <n v="289855"/>
  </r>
  <r>
    <n v="10764"/>
    <d v="2023-09-08T00:00:00"/>
    <x v="6"/>
    <x v="3"/>
    <x v="3"/>
    <n v="2"/>
    <n v="37917"/>
    <n v="75834"/>
    <n v="75834"/>
  </r>
  <r>
    <n v="10765"/>
    <d v="2023-10-19T00:00:00"/>
    <x v="3"/>
    <x v="1"/>
    <x v="4"/>
    <n v="12"/>
    <n v="29482"/>
    <n v="353784"/>
    <n v="353784"/>
  </r>
  <r>
    <n v="10766"/>
    <d v="2023-04-17T00:00:00"/>
    <x v="5"/>
    <x v="3"/>
    <x v="0"/>
    <n v="13"/>
    <n v="38315"/>
    <n v="498095"/>
    <n v="498095"/>
  </r>
  <r>
    <n v="10767"/>
    <d v="2023-01-09T00:00:00"/>
    <x v="3"/>
    <x v="2"/>
    <x v="0"/>
    <n v="1"/>
    <n v="12018"/>
    <n v="12018"/>
    <n v="12018"/>
  </r>
  <r>
    <n v="10768"/>
    <d v="2023-05-11T00:00:00"/>
    <x v="1"/>
    <x v="1"/>
    <x v="1"/>
    <n v="12"/>
    <n v="9369"/>
    <n v="112428"/>
    <n v="112428"/>
  </r>
  <r>
    <n v="10769"/>
    <d v="2023-12-28T00:00:00"/>
    <x v="3"/>
    <x v="2"/>
    <x v="0"/>
    <n v="13"/>
    <n v="6071"/>
    <n v="78923"/>
    <n v="78923"/>
  </r>
  <r>
    <n v="10770"/>
    <d v="2023-01-16T00:00:00"/>
    <x v="2"/>
    <x v="2"/>
    <x v="0"/>
    <n v="19"/>
    <n v="19862"/>
    <n v="377378"/>
    <n v="377378"/>
  </r>
  <r>
    <n v="10771"/>
    <d v="2023-12-29T00:00:00"/>
    <x v="6"/>
    <x v="1"/>
    <x v="3"/>
    <n v="2"/>
    <n v="36884"/>
    <n v="73768"/>
    <n v="73768"/>
  </r>
  <r>
    <n v="10772"/>
    <d v="2023-09-22T00:00:00"/>
    <x v="6"/>
    <x v="2"/>
    <x v="0"/>
    <n v="20"/>
    <n v="36091"/>
    <n v="721820"/>
    <n v="721820"/>
  </r>
  <r>
    <n v="10773"/>
    <d v="2023-09-24T00:00:00"/>
    <x v="6"/>
    <x v="1"/>
    <x v="4"/>
    <n v="11"/>
    <n v="27570"/>
    <n v="303270"/>
    <n v="303270"/>
  </r>
  <r>
    <n v="10774"/>
    <d v="2023-10-04T00:00:00"/>
    <x v="6"/>
    <x v="2"/>
    <x v="5"/>
    <n v="20"/>
    <n v="32896"/>
    <n v="657920"/>
    <n v="657920"/>
  </r>
  <r>
    <n v="10775"/>
    <d v="2023-04-21T00:00:00"/>
    <x v="0"/>
    <x v="3"/>
    <x v="4"/>
    <n v="3"/>
    <n v="36593"/>
    <n v="109779"/>
    <n v="109779"/>
  </r>
  <r>
    <n v="10776"/>
    <d v="2023-05-11T00:00:00"/>
    <x v="5"/>
    <x v="1"/>
    <x v="0"/>
    <n v="1"/>
    <n v="58675"/>
    <n v="58675"/>
    <n v="58675"/>
  </r>
  <r>
    <n v="10777"/>
    <d v="2023-10-17T00:00:00"/>
    <x v="4"/>
    <x v="2"/>
    <x v="5"/>
    <n v="8"/>
    <n v="52079"/>
    <n v="416632"/>
    <n v="416632"/>
  </r>
  <r>
    <n v="10778"/>
    <d v="2023-12-01T00:00:00"/>
    <x v="3"/>
    <x v="2"/>
    <x v="4"/>
    <n v="1"/>
    <n v="21710"/>
    <n v="21710"/>
    <n v="21710"/>
  </r>
  <r>
    <n v="10779"/>
    <d v="2023-03-24T00:00:00"/>
    <x v="0"/>
    <x v="3"/>
    <x v="3"/>
    <n v="2"/>
    <n v="11619"/>
    <n v="23238"/>
    <n v="23238"/>
  </r>
  <r>
    <n v="10780"/>
    <d v="2023-03-26T00:00:00"/>
    <x v="1"/>
    <x v="2"/>
    <x v="1"/>
    <n v="16"/>
    <n v="27874"/>
    <n v="445984"/>
    <n v="445984"/>
  </r>
  <r>
    <n v="10781"/>
    <d v="2023-06-16T00:00:00"/>
    <x v="4"/>
    <x v="2"/>
    <x v="0"/>
    <n v="6"/>
    <n v="36650"/>
    <n v="219900"/>
    <n v="219900"/>
  </r>
  <r>
    <n v="10782"/>
    <d v="2023-11-25T00:00:00"/>
    <x v="2"/>
    <x v="1"/>
    <x v="1"/>
    <n v="17"/>
    <n v="46218"/>
    <n v="785706"/>
    <n v="785706"/>
  </r>
  <r>
    <n v="10783"/>
    <d v="2023-03-13T00:00:00"/>
    <x v="3"/>
    <x v="1"/>
    <x v="4"/>
    <n v="12"/>
    <n v="10834"/>
    <n v="130008"/>
    <n v="130008"/>
  </r>
  <r>
    <n v="10784"/>
    <d v="2023-09-24T00:00:00"/>
    <x v="5"/>
    <x v="1"/>
    <x v="2"/>
    <n v="12"/>
    <n v="12634"/>
    <n v="151608"/>
    <n v="151608"/>
  </r>
  <r>
    <n v="10785"/>
    <d v="2023-03-28T00:00:00"/>
    <x v="0"/>
    <x v="2"/>
    <x v="1"/>
    <n v="14"/>
    <n v="27831"/>
    <n v="389634"/>
    <n v="389634"/>
  </r>
  <r>
    <n v="10786"/>
    <d v="2023-12-25T00:00:00"/>
    <x v="6"/>
    <x v="0"/>
    <x v="0"/>
    <n v="4"/>
    <n v="2463"/>
    <n v="9852"/>
    <n v="9852"/>
  </r>
  <r>
    <n v="10787"/>
    <d v="2023-09-16T00:00:00"/>
    <x v="5"/>
    <x v="2"/>
    <x v="1"/>
    <n v="15"/>
    <n v="22252"/>
    <n v="333780"/>
    <n v="333780"/>
  </r>
  <r>
    <n v="10788"/>
    <d v="2023-04-10T00:00:00"/>
    <x v="4"/>
    <x v="0"/>
    <x v="5"/>
    <n v="20"/>
    <n v="53869"/>
    <n v="1077380"/>
    <n v="1077380"/>
  </r>
  <r>
    <n v="10789"/>
    <d v="2023-06-27T00:00:00"/>
    <x v="0"/>
    <x v="2"/>
    <x v="4"/>
    <n v="4"/>
    <n v="35380"/>
    <n v="141520"/>
    <n v="141520"/>
  </r>
  <r>
    <n v="10790"/>
    <d v="2023-12-28T00:00:00"/>
    <x v="0"/>
    <x v="3"/>
    <x v="4"/>
    <n v="2"/>
    <n v="28226"/>
    <n v="56452"/>
    <n v="56452"/>
  </r>
  <r>
    <n v="10791"/>
    <d v="2023-05-18T00:00:00"/>
    <x v="2"/>
    <x v="2"/>
    <x v="5"/>
    <n v="5"/>
    <n v="32954"/>
    <n v="164770"/>
    <n v="164770"/>
  </r>
  <r>
    <n v="10792"/>
    <d v="2023-10-23T00:00:00"/>
    <x v="4"/>
    <x v="2"/>
    <x v="5"/>
    <n v="19"/>
    <n v="47735"/>
    <n v="906965"/>
    <n v="906965"/>
  </r>
  <r>
    <n v="10793"/>
    <d v="2023-11-22T00:00:00"/>
    <x v="0"/>
    <x v="2"/>
    <x v="4"/>
    <n v="1"/>
    <n v="36372"/>
    <n v="36372"/>
    <n v="36372"/>
  </r>
  <r>
    <n v="10794"/>
    <d v="2023-05-12T00:00:00"/>
    <x v="5"/>
    <x v="3"/>
    <x v="3"/>
    <n v="10"/>
    <n v="10978"/>
    <n v="109780"/>
    <n v="109780"/>
  </r>
  <r>
    <n v="10795"/>
    <d v="2023-10-08T00:00:00"/>
    <x v="3"/>
    <x v="0"/>
    <x v="2"/>
    <n v="12"/>
    <n v="44086"/>
    <n v="529032"/>
    <n v="529032"/>
  </r>
  <r>
    <n v="10796"/>
    <d v="2023-12-14T00:00:00"/>
    <x v="2"/>
    <x v="3"/>
    <x v="5"/>
    <n v="13"/>
    <n v="22969"/>
    <n v="298597"/>
    <n v="298597"/>
  </r>
  <r>
    <n v="10797"/>
    <d v="2023-10-10T00:00:00"/>
    <x v="0"/>
    <x v="2"/>
    <x v="0"/>
    <n v="8"/>
    <n v="29116"/>
    <n v="232928"/>
    <n v="232928"/>
  </r>
  <r>
    <n v="10798"/>
    <d v="2023-08-16T00:00:00"/>
    <x v="6"/>
    <x v="2"/>
    <x v="3"/>
    <n v="2"/>
    <n v="15593"/>
    <n v="31186"/>
    <n v="31186"/>
  </r>
  <r>
    <n v="10799"/>
    <d v="2023-04-22T00:00:00"/>
    <x v="3"/>
    <x v="3"/>
    <x v="0"/>
    <n v="8"/>
    <n v="15337"/>
    <n v="122696"/>
    <n v="122696"/>
  </r>
  <r>
    <n v="10800"/>
    <d v="2023-12-11T00:00:00"/>
    <x v="0"/>
    <x v="0"/>
    <x v="3"/>
    <n v="16"/>
    <n v="1030"/>
    <n v="16480"/>
    <n v="16480"/>
  </r>
  <r>
    <n v="10801"/>
    <d v="2023-02-28T00:00:00"/>
    <x v="0"/>
    <x v="2"/>
    <x v="4"/>
    <n v="9"/>
    <n v="13984"/>
    <n v="125856"/>
    <n v="125856"/>
  </r>
  <r>
    <n v="10802"/>
    <d v="2023-09-29T00:00:00"/>
    <x v="4"/>
    <x v="1"/>
    <x v="5"/>
    <n v="8"/>
    <n v="29181"/>
    <n v="233448"/>
    <n v="233448"/>
  </r>
  <r>
    <n v="10803"/>
    <d v="2023-04-30T00:00:00"/>
    <x v="0"/>
    <x v="0"/>
    <x v="0"/>
    <n v="12"/>
    <n v="24036"/>
    <n v="288432"/>
    <n v="288432"/>
  </r>
  <r>
    <n v="10804"/>
    <d v="2023-06-11T00:00:00"/>
    <x v="5"/>
    <x v="1"/>
    <x v="0"/>
    <n v="18"/>
    <n v="31442"/>
    <n v="565956"/>
    <n v="565956"/>
  </r>
  <r>
    <n v="10805"/>
    <d v="2023-03-10T00:00:00"/>
    <x v="1"/>
    <x v="2"/>
    <x v="4"/>
    <n v="18"/>
    <n v="44589"/>
    <n v="802602"/>
    <n v="802602"/>
  </r>
  <r>
    <n v="10806"/>
    <d v="2023-02-01T00:00:00"/>
    <x v="3"/>
    <x v="2"/>
    <x v="2"/>
    <n v="9"/>
    <n v="27857"/>
    <n v="250713"/>
    <n v="250713"/>
  </r>
  <r>
    <n v="10807"/>
    <d v="2023-08-26T00:00:00"/>
    <x v="0"/>
    <x v="1"/>
    <x v="0"/>
    <n v="7"/>
    <n v="23297"/>
    <n v="163079"/>
    <n v="163079"/>
  </r>
  <r>
    <n v="10808"/>
    <d v="2023-01-30T00:00:00"/>
    <x v="1"/>
    <x v="2"/>
    <x v="5"/>
    <n v="11"/>
    <n v="23317"/>
    <n v="256487"/>
    <n v="256487"/>
  </r>
  <r>
    <n v="10809"/>
    <d v="2023-08-24T00:00:00"/>
    <x v="3"/>
    <x v="3"/>
    <x v="1"/>
    <n v="13"/>
    <n v="2831"/>
    <n v="36803"/>
    <n v="36803"/>
  </r>
  <r>
    <n v="10810"/>
    <d v="2023-07-15T00:00:00"/>
    <x v="1"/>
    <x v="3"/>
    <x v="4"/>
    <n v="3"/>
    <n v="43808"/>
    <n v="131424"/>
    <n v="131424"/>
  </r>
  <r>
    <n v="10811"/>
    <d v="2023-01-26T00:00:00"/>
    <x v="6"/>
    <x v="1"/>
    <x v="1"/>
    <n v="3"/>
    <n v="25594"/>
    <n v="76782"/>
    <n v="76782"/>
  </r>
  <r>
    <n v="10812"/>
    <d v="2023-03-23T00:00:00"/>
    <x v="2"/>
    <x v="0"/>
    <x v="2"/>
    <n v="9"/>
    <n v="4145"/>
    <n v="37305"/>
    <n v="37305"/>
  </r>
  <r>
    <n v="10813"/>
    <d v="2023-12-12T00:00:00"/>
    <x v="6"/>
    <x v="2"/>
    <x v="5"/>
    <n v="18"/>
    <n v="41819"/>
    <n v="752742"/>
    <n v="752742"/>
  </r>
  <r>
    <n v="10814"/>
    <d v="2023-01-06T00:00:00"/>
    <x v="4"/>
    <x v="3"/>
    <x v="1"/>
    <n v="7"/>
    <n v="14543"/>
    <n v="101801"/>
    <n v="101801"/>
  </r>
  <r>
    <n v="10815"/>
    <d v="2023-10-30T00:00:00"/>
    <x v="4"/>
    <x v="1"/>
    <x v="4"/>
    <n v="15"/>
    <n v="21079"/>
    <n v="316185"/>
    <n v="316185"/>
  </r>
  <r>
    <n v="10816"/>
    <d v="2023-04-16T00:00:00"/>
    <x v="5"/>
    <x v="1"/>
    <x v="3"/>
    <n v="15"/>
    <n v="16489"/>
    <n v="247335"/>
    <n v="247335"/>
  </r>
  <r>
    <n v="10817"/>
    <d v="2023-09-22T00:00:00"/>
    <x v="2"/>
    <x v="2"/>
    <x v="5"/>
    <n v="4"/>
    <n v="37826"/>
    <n v="151304"/>
    <n v="151304"/>
  </r>
  <r>
    <n v="10818"/>
    <d v="2023-11-01T00:00:00"/>
    <x v="1"/>
    <x v="1"/>
    <x v="0"/>
    <n v="11"/>
    <n v="40924"/>
    <n v="450164"/>
    <n v="450164"/>
  </r>
  <r>
    <n v="10819"/>
    <d v="2023-09-23T00:00:00"/>
    <x v="0"/>
    <x v="3"/>
    <x v="5"/>
    <n v="18"/>
    <n v="53394"/>
    <n v="961092"/>
    <n v="961092"/>
  </r>
  <r>
    <n v="10820"/>
    <d v="2023-11-23T00:00:00"/>
    <x v="2"/>
    <x v="0"/>
    <x v="1"/>
    <n v="14"/>
    <n v="46318"/>
    <n v="648452"/>
    <n v="648452"/>
  </r>
  <r>
    <n v="10821"/>
    <d v="2023-11-09T00:00:00"/>
    <x v="3"/>
    <x v="2"/>
    <x v="3"/>
    <n v="1"/>
    <n v="23619"/>
    <n v="23619"/>
    <n v="23619"/>
  </r>
  <r>
    <n v="10822"/>
    <d v="2023-01-06T00:00:00"/>
    <x v="5"/>
    <x v="0"/>
    <x v="0"/>
    <n v="1"/>
    <n v="17229"/>
    <n v="17229"/>
    <n v="17229"/>
  </r>
  <r>
    <n v="10823"/>
    <d v="2023-07-28T00:00:00"/>
    <x v="5"/>
    <x v="1"/>
    <x v="2"/>
    <n v="15"/>
    <n v="19920"/>
    <n v="298800"/>
    <n v="298800"/>
  </r>
  <r>
    <n v="10824"/>
    <d v="2023-07-30T00:00:00"/>
    <x v="5"/>
    <x v="3"/>
    <x v="5"/>
    <n v="2"/>
    <n v="33356"/>
    <n v="66712"/>
    <n v="66712"/>
  </r>
  <r>
    <n v="10825"/>
    <d v="2023-06-13T00:00:00"/>
    <x v="3"/>
    <x v="0"/>
    <x v="0"/>
    <n v="9"/>
    <n v="1187"/>
    <n v="10683"/>
    <n v="10683"/>
  </r>
  <r>
    <n v="10826"/>
    <d v="2023-05-27T00:00:00"/>
    <x v="2"/>
    <x v="2"/>
    <x v="5"/>
    <n v="10"/>
    <n v="7341"/>
    <n v="73410"/>
    <n v="73410"/>
  </r>
  <r>
    <n v="10827"/>
    <d v="2023-04-09T00:00:00"/>
    <x v="6"/>
    <x v="1"/>
    <x v="1"/>
    <n v="12"/>
    <n v="1703"/>
    <n v="20436"/>
    <n v="20436"/>
  </r>
  <r>
    <n v="10828"/>
    <d v="2023-12-13T00:00:00"/>
    <x v="0"/>
    <x v="1"/>
    <x v="1"/>
    <n v="9"/>
    <n v="47368"/>
    <n v="426312"/>
    <n v="426312"/>
  </r>
  <r>
    <n v="10829"/>
    <d v="2023-05-26T00:00:00"/>
    <x v="3"/>
    <x v="1"/>
    <x v="3"/>
    <n v="19"/>
    <n v="18899"/>
    <n v="359081"/>
    <n v="359081"/>
  </r>
  <r>
    <n v="10830"/>
    <d v="2023-06-24T00:00:00"/>
    <x v="4"/>
    <x v="2"/>
    <x v="1"/>
    <n v="9"/>
    <n v="5383"/>
    <n v="48447"/>
    <n v="48447"/>
  </r>
  <r>
    <n v="10831"/>
    <d v="2023-06-18T00:00:00"/>
    <x v="0"/>
    <x v="0"/>
    <x v="3"/>
    <n v="16"/>
    <n v="34939"/>
    <n v="559024"/>
    <n v="559024"/>
  </r>
  <r>
    <n v="10832"/>
    <d v="2023-07-26T00:00:00"/>
    <x v="6"/>
    <x v="1"/>
    <x v="0"/>
    <n v="18"/>
    <n v="45695"/>
    <n v="822510"/>
    <n v="822510"/>
  </r>
  <r>
    <n v="10833"/>
    <d v="2023-11-21T00:00:00"/>
    <x v="0"/>
    <x v="0"/>
    <x v="3"/>
    <n v="18"/>
    <n v="13869"/>
    <n v="249642"/>
    <n v="249642"/>
  </r>
  <r>
    <n v="10834"/>
    <d v="2023-04-21T00:00:00"/>
    <x v="1"/>
    <x v="2"/>
    <x v="0"/>
    <n v="13"/>
    <n v="8588"/>
    <n v="111644"/>
    <n v="111644"/>
  </r>
  <r>
    <n v="10835"/>
    <d v="2023-02-18T00:00:00"/>
    <x v="2"/>
    <x v="2"/>
    <x v="0"/>
    <n v="15"/>
    <n v="28049"/>
    <n v="420735"/>
    <n v="420735"/>
  </r>
  <r>
    <n v="10836"/>
    <d v="2023-07-30T00:00:00"/>
    <x v="5"/>
    <x v="2"/>
    <x v="4"/>
    <n v="18"/>
    <n v="39447"/>
    <n v="710046"/>
    <n v="710046"/>
  </r>
  <r>
    <n v="10837"/>
    <d v="2023-06-12T00:00:00"/>
    <x v="4"/>
    <x v="1"/>
    <x v="1"/>
    <n v="13"/>
    <n v="52869"/>
    <n v="687297"/>
    <n v="687297"/>
  </r>
  <r>
    <n v="10838"/>
    <d v="2023-02-08T00:00:00"/>
    <x v="4"/>
    <x v="1"/>
    <x v="5"/>
    <n v="3"/>
    <n v="58206"/>
    <n v="174618"/>
    <n v="174618"/>
  </r>
  <r>
    <n v="10839"/>
    <d v="2023-09-28T00:00:00"/>
    <x v="3"/>
    <x v="3"/>
    <x v="3"/>
    <n v="8"/>
    <n v="43606"/>
    <n v="348848"/>
    <n v="348848"/>
  </r>
  <r>
    <n v="10840"/>
    <d v="2023-09-03T00:00:00"/>
    <x v="6"/>
    <x v="1"/>
    <x v="4"/>
    <n v="19"/>
    <n v="58556"/>
    <n v="1112564"/>
    <n v="1112564"/>
  </r>
  <r>
    <n v="10841"/>
    <d v="2023-03-19T00:00:00"/>
    <x v="2"/>
    <x v="3"/>
    <x v="2"/>
    <n v="4"/>
    <n v="3704"/>
    <n v="14816"/>
    <n v="14816"/>
  </r>
  <r>
    <n v="10842"/>
    <d v="2023-06-28T00:00:00"/>
    <x v="5"/>
    <x v="3"/>
    <x v="2"/>
    <n v="7"/>
    <n v="46854"/>
    <n v="327978"/>
    <n v="327978"/>
  </r>
  <r>
    <n v="10843"/>
    <d v="2023-03-23T00:00:00"/>
    <x v="0"/>
    <x v="2"/>
    <x v="3"/>
    <n v="15"/>
    <n v="38889"/>
    <n v="583335"/>
    <n v="583335"/>
  </r>
  <r>
    <n v="10844"/>
    <d v="2023-06-25T00:00:00"/>
    <x v="6"/>
    <x v="0"/>
    <x v="4"/>
    <n v="9"/>
    <n v="29658"/>
    <n v="266922"/>
    <n v="266922"/>
  </r>
  <r>
    <n v="10845"/>
    <d v="2023-09-05T00:00:00"/>
    <x v="0"/>
    <x v="3"/>
    <x v="3"/>
    <n v="8"/>
    <n v="47393"/>
    <n v="379144"/>
    <n v="379144"/>
  </r>
  <r>
    <n v="10846"/>
    <d v="2023-10-30T00:00:00"/>
    <x v="1"/>
    <x v="0"/>
    <x v="3"/>
    <n v="4"/>
    <n v="58462"/>
    <n v="233848"/>
    <n v="233848"/>
  </r>
  <r>
    <n v="10847"/>
    <d v="2023-04-15T00:00:00"/>
    <x v="1"/>
    <x v="0"/>
    <x v="3"/>
    <n v="1"/>
    <n v="21770"/>
    <n v="21770"/>
    <n v="21770"/>
  </r>
  <r>
    <n v="10848"/>
    <d v="2023-06-06T00:00:00"/>
    <x v="6"/>
    <x v="0"/>
    <x v="0"/>
    <n v="2"/>
    <n v="32667"/>
    <n v="65334"/>
    <n v="65334"/>
  </r>
  <r>
    <n v="10849"/>
    <d v="2023-12-17T00:00:00"/>
    <x v="5"/>
    <x v="1"/>
    <x v="1"/>
    <n v="16"/>
    <n v="40761"/>
    <n v="652176"/>
    <n v="652176"/>
  </r>
  <r>
    <n v="10850"/>
    <d v="2023-06-26T00:00:00"/>
    <x v="6"/>
    <x v="3"/>
    <x v="5"/>
    <n v="13"/>
    <n v="16149"/>
    <n v="209937"/>
    <n v="209937"/>
  </r>
  <r>
    <n v="10851"/>
    <d v="2023-05-11T00:00:00"/>
    <x v="6"/>
    <x v="1"/>
    <x v="1"/>
    <n v="5"/>
    <n v="5024"/>
    <n v="25120"/>
    <n v="25120"/>
  </r>
  <r>
    <n v="10852"/>
    <d v="2023-09-10T00:00:00"/>
    <x v="3"/>
    <x v="3"/>
    <x v="2"/>
    <n v="1"/>
    <n v="40778"/>
    <n v="40778"/>
    <n v="40778"/>
  </r>
  <r>
    <n v="10853"/>
    <d v="2023-02-18T00:00:00"/>
    <x v="4"/>
    <x v="0"/>
    <x v="3"/>
    <n v="3"/>
    <n v="58810"/>
    <n v="176430"/>
    <n v="176430"/>
  </r>
  <r>
    <n v="10854"/>
    <d v="2023-11-22T00:00:00"/>
    <x v="2"/>
    <x v="2"/>
    <x v="4"/>
    <n v="16"/>
    <n v="7278"/>
    <n v="116448"/>
    <n v="116448"/>
  </r>
  <r>
    <n v="10855"/>
    <d v="2023-11-13T00:00:00"/>
    <x v="4"/>
    <x v="0"/>
    <x v="4"/>
    <n v="11"/>
    <n v="52103"/>
    <n v="573133"/>
    <n v="573133"/>
  </r>
  <r>
    <n v="10856"/>
    <d v="2023-04-01T00:00:00"/>
    <x v="6"/>
    <x v="1"/>
    <x v="1"/>
    <n v="1"/>
    <n v="57988"/>
    <n v="57988"/>
    <n v="57988"/>
  </r>
  <r>
    <n v="10857"/>
    <d v="2023-03-28T00:00:00"/>
    <x v="0"/>
    <x v="3"/>
    <x v="0"/>
    <n v="2"/>
    <n v="59838"/>
    <n v="119676"/>
    <n v="119676"/>
  </r>
  <r>
    <n v="10858"/>
    <d v="2023-08-20T00:00:00"/>
    <x v="4"/>
    <x v="2"/>
    <x v="3"/>
    <n v="3"/>
    <n v="6782"/>
    <n v="20346"/>
    <n v="20346"/>
  </r>
  <r>
    <n v="10859"/>
    <d v="2023-02-12T00:00:00"/>
    <x v="1"/>
    <x v="1"/>
    <x v="0"/>
    <n v="4"/>
    <n v="24236"/>
    <n v="96944"/>
    <n v="96944"/>
  </r>
  <r>
    <n v="10860"/>
    <d v="2023-06-07T00:00:00"/>
    <x v="2"/>
    <x v="2"/>
    <x v="1"/>
    <n v="10"/>
    <n v="11152"/>
    <n v="111520"/>
    <n v="111520"/>
  </r>
  <r>
    <n v="10861"/>
    <d v="2023-09-18T00:00:00"/>
    <x v="1"/>
    <x v="2"/>
    <x v="0"/>
    <n v="12"/>
    <n v="44897"/>
    <n v="538764"/>
    <n v="538764"/>
  </r>
  <r>
    <n v="10862"/>
    <d v="2023-02-21T00:00:00"/>
    <x v="2"/>
    <x v="1"/>
    <x v="1"/>
    <n v="8"/>
    <n v="12855"/>
    <n v="102840"/>
    <n v="102840"/>
  </r>
  <r>
    <n v="10863"/>
    <d v="2023-05-23T00:00:00"/>
    <x v="0"/>
    <x v="0"/>
    <x v="0"/>
    <n v="18"/>
    <n v="1685"/>
    <n v="30330"/>
    <n v="30330"/>
  </r>
  <r>
    <n v="10864"/>
    <d v="2023-01-19T00:00:00"/>
    <x v="4"/>
    <x v="2"/>
    <x v="1"/>
    <n v="11"/>
    <n v="18064"/>
    <n v="198704"/>
    <n v="198704"/>
  </r>
  <r>
    <n v="10865"/>
    <d v="2023-02-19T00:00:00"/>
    <x v="0"/>
    <x v="3"/>
    <x v="0"/>
    <n v="19"/>
    <n v="29130"/>
    <n v="553470"/>
    <n v="553470"/>
  </r>
  <r>
    <n v="10866"/>
    <d v="2023-09-23T00:00:00"/>
    <x v="4"/>
    <x v="0"/>
    <x v="4"/>
    <n v="8"/>
    <n v="21539"/>
    <n v="172312"/>
    <n v="172312"/>
  </r>
  <r>
    <n v="10867"/>
    <d v="2023-07-14T00:00:00"/>
    <x v="3"/>
    <x v="1"/>
    <x v="2"/>
    <n v="6"/>
    <n v="40326"/>
    <n v="241956"/>
    <n v="241956"/>
  </r>
  <r>
    <n v="10868"/>
    <d v="2023-12-26T00:00:00"/>
    <x v="4"/>
    <x v="0"/>
    <x v="1"/>
    <n v="4"/>
    <n v="51700"/>
    <n v="206800"/>
    <n v="206800"/>
  </r>
  <r>
    <n v="10869"/>
    <d v="2023-04-05T00:00:00"/>
    <x v="5"/>
    <x v="0"/>
    <x v="0"/>
    <n v="11"/>
    <n v="34501"/>
    <n v="379511"/>
    <n v="379511"/>
  </r>
  <r>
    <n v="10870"/>
    <d v="2023-05-08T00:00:00"/>
    <x v="1"/>
    <x v="2"/>
    <x v="1"/>
    <n v="4"/>
    <n v="47341"/>
    <n v="189364"/>
    <n v="189364"/>
  </r>
  <r>
    <n v="10871"/>
    <d v="2023-09-13T00:00:00"/>
    <x v="6"/>
    <x v="2"/>
    <x v="3"/>
    <n v="9"/>
    <n v="16299"/>
    <n v="146691"/>
    <n v="146691"/>
  </r>
  <r>
    <n v="10872"/>
    <d v="2023-11-12T00:00:00"/>
    <x v="5"/>
    <x v="0"/>
    <x v="3"/>
    <n v="17"/>
    <n v="3095"/>
    <n v="52615"/>
    <n v="52615"/>
  </r>
  <r>
    <n v="10873"/>
    <d v="2023-04-29T00:00:00"/>
    <x v="4"/>
    <x v="0"/>
    <x v="4"/>
    <n v="10"/>
    <n v="7918"/>
    <n v="79180"/>
    <n v="79180"/>
  </r>
  <r>
    <n v="10874"/>
    <d v="2023-11-28T00:00:00"/>
    <x v="0"/>
    <x v="3"/>
    <x v="4"/>
    <n v="3"/>
    <n v="7116"/>
    <n v="21348"/>
    <n v="21348"/>
  </r>
  <r>
    <n v="10875"/>
    <d v="2023-09-07T00:00:00"/>
    <x v="5"/>
    <x v="0"/>
    <x v="1"/>
    <n v="20"/>
    <n v="10688"/>
    <n v="213760"/>
    <n v="213760"/>
  </r>
  <r>
    <n v="10876"/>
    <d v="2023-04-24T00:00:00"/>
    <x v="6"/>
    <x v="0"/>
    <x v="0"/>
    <n v="3"/>
    <n v="20552"/>
    <n v="61656"/>
    <n v="61656"/>
  </r>
  <r>
    <n v="10877"/>
    <d v="2023-05-27T00:00:00"/>
    <x v="4"/>
    <x v="3"/>
    <x v="0"/>
    <n v="3"/>
    <n v="54610"/>
    <n v="163830"/>
    <n v="163830"/>
  </r>
  <r>
    <n v="10878"/>
    <d v="2023-10-26T00:00:00"/>
    <x v="4"/>
    <x v="0"/>
    <x v="4"/>
    <n v="9"/>
    <n v="53656"/>
    <n v="482904"/>
    <n v="482904"/>
  </r>
  <r>
    <n v="10879"/>
    <d v="2023-06-01T00:00:00"/>
    <x v="1"/>
    <x v="2"/>
    <x v="1"/>
    <n v="10"/>
    <n v="39086"/>
    <n v="390860"/>
    <n v="390860"/>
  </r>
  <r>
    <n v="10880"/>
    <d v="2023-05-20T00:00:00"/>
    <x v="6"/>
    <x v="3"/>
    <x v="2"/>
    <n v="7"/>
    <n v="31231"/>
    <n v="218617"/>
    <n v="218617"/>
  </r>
  <r>
    <n v="10881"/>
    <d v="2023-01-07T00:00:00"/>
    <x v="3"/>
    <x v="1"/>
    <x v="2"/>
    <n v="18"/>
    <n v="29706"/>
    <n v="534708"/>
    <n v="534708"/>
  </r>
  <r>
    <n v="10882"/>
    <d v="2023-02-28T00:00:00"/>
    <x v="5"/>
    <x v="2"/>
    <x v="4"/>
    <n v="7"/>
    <n v="16719"/>
    <n v="117033"/>
    <n v="117033"/>
  </r>
  <r>
    <n v="10883"/>
    <d v="2023-11-10T00:00:00"/>
    <x v="4"/>
    <x v="0"/>
    <x v="3"/>
    <n v="19"/>
    <n v="54097"/>
    <n v="1027843"/>
    <n v="1027843"/>
  </r>
  <r>
    <n v="10884"/>
    <d v="2023-12-12T00:00:00"/>
    <x v="0"/>
    <x v="1"/>
    <x v="1"/>
    <n v="10"/>
    <n v="29131"/>
    <n v="291310"/>
    <n v="291310"/>
  </r>
  <r>
    <n v="10885"/>
    <d v="2023-12-22T00:00:00"/>
    <x v="3"/>
    <x v="1"/>
    <x v="4"/>
    <n v="13"/>
    <n v="17480"/>
    <n v="227240"/>
    <n v="227240"/>
  </r>
  <r>
    <n v="10886"/>
    <d v="2023-08-20T00:00:00"/>
    <x v="1"/>
    <x v="1"/>
    <x v="4"/>
    <n v="17"/>
    <n v="23659"/>
    <n v="402203"/>
    <n v="402203"/>
  </r>
  <r>
    <n v="10887"/>
    <d v="2023-01-15T00:00:00"/>
    <x v="2"/>
    <x v="0"/>
    <x v="4"/>
    <n v="16"/>
    <n v="53694"/>
    <n v="859104"/>
    <n v="859104"/>
  </r>
  <r>
    <n v="10888"/>
    <d v="2023-03-26T00:00:00"/>
    <x v="0"/>
    <x v="0"/>
    <x v="4"/>
    <n v="10"/>
    <n v="50902"/>
    <n v="509020"/>
    <n v="509020"/>
  </r>
  <r>
    <n v="10889"/>
    <d v="2023-01-10T00:00:00"/>
    <x v="5"/>
    <x v="2"/>
    <x v="4"/>
    <n v="20"/>
    <n v="31893"/>
    <n v="637860"/>
    <n v="637860"/>
  </r>
  <r>
    <n v="10890"/>
    <d v="2023-04-16T00:00:00"/>
    <x v="0"/>
    <x v="2"/>
    <x v="2"/>
    <n v="20"/>
    <n v="29228"/>
    <n v="584560"/>
    <n v="584560"/>
  </r>
  <r>
    <n v="10891"/>
    <d v="2023-03-10T00:00:00"/>
    <x v="1"/>
    <x v="2"/>
    <x v="2"/>
    <n v="3"/>
    <n v="25690"/>
    <n v="77070"/>
    <n v="77070"/>
  </r>
  <r>
    <n v="10892"/>
    <d v="2023-05-02T00:00:00"/>
    <x v="5"/>
    <x v="3"/>
    <x v="1"/>
    <n v="17"/>
    <n v="12944"/>
    <n v="220048"/>
    <n v="220048"/>
  </r>
  <r>
    <n v="10893"/>
    <d v="2023-05-03T00:00:00"/>
    <x v="5"/>
    <x v="2"/>
    <x v="0"/>
    <n v="5"/>
    <n v="26971"/>
    <n v="134855"/>
    <n v="134855"/>
  </r>
  <r>
    <n v="10894"/>
    <d v="2023-02-05T00:00:00"/>
    <x v="6"/>
    <x v="1"/>
    <x v="2"/>
    <n v="9"/>
    <n v="45199"/>
    <n v="406791"/>
    <n v="406791"/>
  </r>
  <r>
    <n v="10895"/>
    <d v="2023-01-07T00:00:00"/>
    <x v="6"/>
    <x v="2"/>
    <x v="1"/>
    <n v="9"/>
    <n v="12787"/>
    <n v="115083"/>
    <n v="115083"/>
  </r>
  <r>
    <n v="10896"/>
    <d v="2023-01-20T00:00:00"/>
    <x v="1"/>
    <x v="0"/>
    <x v="1"/>
    <n v="4"/>
    <n v="5655"/>
    <n v="22620"/>
    <n v="22620"/>
  </r>
  <r>
    <n v="10897"/>
    <d v="2023-08-26T00:00:00"/>
    <x v="6"/>
    <x v="2"/>
    <x v="1"/>
    <n v="3"/>
    <n v="39244"/>
    <n v="117732"/>
    <n v="117732"/>
  </r>
  <r>
    <n v="10898"/>
    <d v="2023-08-31T00:00:00"/>
    <x v="4"/>
    <x v="0"/>
    <x v="1"/>
    <n v="11"/>
    <n v="7017"/>
    <n v="77187"/>
    <n v="77187"/>
  </r>
  <r>
    <n v="10899"/>
    <d v="2023-05-21T00:00:00"/>
    <x v="5"/>
    <x v="2"/>
    <x v="0"/>
    <n v="2"/>
    <n v="11607"/>
    <n v="23214"/>
    <n v="23214"/>
  </r>
  <r>
    <n v="10900"/>
    <d v="2023-11-15T00:00:00"/>
    <x v="5"/>
    <x v="3"/>
    <x v="0"/>
    <n v="3"/>
    <n v="48515"/>
    <n v="145545"/>
    <n v="145545"/>
  </r>
  <r>
    <n v="10901"/>
    <d v="2023-01-10T00:00:00"/>
    <x v="0"/>
    <x v="2"/>
    <x v="3"/>
    <n v="15"/>
    <n v="33784"/>
    <n v="506760"/>
    <n v="506760"/>
  </r>
  <r>
    <n v="10902"/>
    <d v="2023-06-04T00:00:00"/>
    <x v="5"/>
    <x v="0"/>
    <x v="3"/>
    <n v="6"/>
    <n v="55773"/>
    <n v="334638"/>
    <n v="334638"/>
  </r>
  <r>
    <n v="10903"/>
    <d v="2023-09-01T00:00:00"/>
    <x v="1"/>
    <x v="2"/>
    <x v="1"/>
    <n v="8"/>
    <n v="20427"/>
    <n v="163416"/>
    <n v="163416"/>
  </r>
  <r>
    <n v="10904"/>
    <d v="2023-11-19T00:00:00"/>
    <x v="2"/>
    <x v="0"/>
    <x v="2"/>
    <n v="1"/>
    <n v="53510"/>
    <n v="53510"/>
    <n v="53510"/>
  </r>
  <r>
    <n v="10905"/>
    <d v="2023-10-05T00:00:00"/>
    <x v="4"/>
    <x v="2"/>
    <x v="5"/>
    <n v="10"/>
    <n v="26525"/>
    <n v="265250"/>
    <n v="265250"/>
  </r>
  <r>
    <n v="10906"/>
    <d v="2023-12-23T00:00:00"/>
    <x v="5"/>
    <x v="3"/>
    <x v="2"/>
    <n v="15"/>
    <n v="52667"/>
    <n v="790005"/>
    <n v="790005"/>
  </r>
  <r>
    <n v="10907"/>
    <d v="2023-12-28T00:00:00"/>
    <x v="1"/>
    <x v="0"/>
    <x v="4"/>
    <n v="13"/>
    <n v="57051"/>
    <n v="741663"/>
    <n v="741663"/>
  </r>
  <r>
    <n v="10908"/>
    <d v="2023-04-24T00:00:00"/>
    <x v="3"/>
    <x v="3"/>
    <x v="3"/>
    <n v="17"/>
    <n v="58580"/>
    <n v="995860"/>
    <n v="995860"/>
  </r>
  <r>
    <n v="10909"/>
    <d v="2023-05-31T00:00:00"/>
    <x v="2"/>
    <x v="3"/>
    <x v="3"/>
    <n v="6"/>
    <n v="1810"/>
    <n v="10860"/>
    <n v="10860"/>
  </r>
  <r>
    <n v="10910"/>
    <d v="2023-07-23T00:00:00"/>
    <x v="6"/>
    <x v="3"/>
    <x v="0"/>
    <n v="8"/>
    <n v="2591"/>
    <n v="20728"/>
    <n v="20728"/>
  </r>
  <r>
    <n v="10911"/>
    <d v="2023-01-15T00:00:00"/>
    <x v="2"/>
    <x v="0"/>
    <x v="0"/>
    <n v="15"/>
    <n v="627"/>
    <n v="9405"/>
    <n v="9405"/>
  </r>
  <r>
    <n v="10912"/>
    <d v="2023-05-20T00:00:00"/>
    <x v="4"/>
    <x v="3"/>
    <x v="0"/>
    <n v="4"/>
    <n v="14143"/>
    <n v="56572"/>
    <n v="56572"/>
  </r>
  <r>
    <n v="10913"/>
    <d v="2023-12-22T00:00:00"/>
    <x v="0"/>
    <x v="1"/>
    <x v="3"/>
    <n v="11"/>
    <n v="56397"/>
    <n v="620367"/>
    <n v="620367"/>
  </r>
  <r>
    <n v="10914"/>
    <d v="2023-08-11T00:00:00"/>
    <x v="2"/>
    <x v="1"/>
    <x v="3"/>
    <n v="1"/>
    <n v="59716"/>
    <n v="59716"/>
    <n v="59716"/>
  </r>
  <r>
    <n v="10915"/>
    <d v="2023-11-29T00:00:00"/>
    <x v="3"/>
    <x v="3"/>
    <x v="2"/>
    <n v="10"/>
    <n v="48538"/>
    <n v="485380"/>
    <n v="485380"/>
  </r>
  <r>
    <n v="10916"/>
    <d v="2023-10-14T00:00:00"/>
    <x v="2"/>
    <x v="3"/>
    <x v="0"/>
    <n v="11"/>
    <n v="45873"/>
    <n v="504603"/>
    <n v="504603"/>
  </r>
  <r>
    <n v="10917"/>
    <d v="2023-03-08T00:00:00"/>
    <x v="4"/>
    <x v="0"/>
    <x v="1"/>
    <n v="16"/>
    <n v="38948"/>
    <n v="623168"/>
    <n v="623168"/>
  </r>
  <r>
    <n v="10918"/>
    <d v="2023-09-10T00:00:00"/>
    <x v="2"/>
    <x v="2"/>
    <x v="2"/>
    <n v="20"/>
    <n v="6181"/>
    <n v="123620"/>
    <n v="123620"/>
  </r>
  <r>
    <n v="10919"/>
    <d v="2023-11-18T00:00:00"/>
    <x v="2"/>
    <x v="3"/>
    <x v="3"/>
    <n v="11"/>
    <n v="39223"/>
    <n v="431453"/>
    <n v="431453"/>
  </r>
  <r>
    <n v="10920"/>
    <d v="2023-01-15T00:00:00"/>
    <x v="1"/>
    <x v="2"/>
    <x v="5"/>
    <n v="1"/>
    <n v="22381"/>
    <n v="22381"/>
    <n v="22381"/>
  </r>
  <r>
    <n v="10921"/>
    <d v="2023-07-05T00:00:00"/>
    <x v="3"/>
    <x v="3"/>
    <x v="1"/>
    <n v="16"/>
    <n v="16615"/>
    <n v="265840"/>
    <n v="265840"/>
  </r>
  <r>
    <n v="10922"/>
    <d v="2023-02-10T00:00:00"/>
    <x v="0"/>
    <x v="1"/>
    <x v="2"/>
    <n v="3"/>
    <n v="42107"/>
    <n v="126321"/>
    <n v="126321"/>
  </r>
  <r>
    <n v="10923"/>
    <d v="2023-02-28T00:00:00"/>
    <x v="4"/>
    <x v="3"/>
    <x v="4"/>
    <n v="17"/>
    <n v="15538"/>
    <n v="264146"/>
    <n v="264146"/>
  </r>
  <r>
    <n v="10924"/>
    <d v="2023-01-25T00:00:00"/>
    <x v="6"/>
    <x v="1"/>
    <x v="3"/>
    <n v="15"/>
    <n v="27336"/>
    <n v="410040"/>
    <n v="410040"/>
  </r>
  <r>
    <n v="10925"/>
    <d v="2023-06-05T00:00:00"/>
    <x v="4"/>
    <x v="2"/>
    <x v="5"/>
    <n v="5"/>
    <n v="37520"/>
    <n v="187600"/>
    <n v="187600"/>
  </r>
  <r>
    <n v="10926"/>
    <d v="2023-06-14T00:00:00"/>
    <x v="1"/>
    <x v="1"/>
    <x v="0"/>
    <n v="4"/>
    <n v="56587"/>
    <n v="226348"/>
    <n v="226348"/>
  </r>
  <r>
    <n v="10927"/>
    <d v="2023-11-14T00:00:00"/>
    <x v="5"/>
    <x v="0"/>
    <x v="3"/>
    <n v="9"/>
    <n v="39781"/>
    <n v="358029"/>
    <n v="358029"/>
  </r>
  <r>
    <n v="10928"/>
    <d v="2023-09-30T00:00:00"/>
    <x v="4"/>
    <x v="1"/>
    <x v="4"/>
    <n v="16"/>
    <n v="35048"/>
    <n v="560768"/>
    <n v="560768"/>
  </r>
  <r>
    <n v="10929"/>
    <d v="2023-06-06T00:00:00"/>
    <x v="1"/>
    <x v="2"/>
    <x v="5"/>
    <n v="1"/>
    <n v="9437"/>
    <n v="9437"/>
    <n v="9437"/>
  </r>
  <r>
    <n v="10930"/>
    <d v="2023-03-24T00:00:00"/>
    <x v="3"/>
    <x v="3"/>
    <x v="3"/>
    <n v="17"/>
    <n v="34403"/>
    <n v="584851"/>
    <n v="584851"/>
  </r>
  <r>
    <n v="10931"/>
    <d v="2023-06-20T00:00:00"/>
    <x v="4"/>
    <x v="2"/>
    <x v="1"/>
    <n v="9"/>
    <n v="18580"/>
    <n v="167220"/>
    <n v="167220"/>
  </r>
  <r>
    <n v="10932"/>
    <d v="2023-09-20T00:00:00"/>
    <x v="3"/>
    <x v="1"/>
    <x v="0"/>
    <n v="11"/>
    <n v="12226"/>
    <n v="134486"/>
    <n v="134486"/>
  </r>
  <r>
    <n v="10933"/>
    <d v="2023-12-16T00:00:00"/>
    <x v="1"/>
    <x v="1"/>
    <x v="1"/>
    <n v="10"/>
    <n v="24101"/>
    <n v="241010"/>
    <n v="241010"/>
  </r>
  <r>
    <n v="10934"/>
    <d v="2023-04-05T00:00:00"/>
    <x v="0"/>
    <x v="0"/>
    <x v="5"/>
    <n v="7"/>
    <n v="47081"/>
    <n v="329567"/>
    <n v="329567"/>
  </r>
  <r>
    <n v="10935"/>
    <d v="2023-09-27T00:00:00"/>
    <x v="3"/>
    <x v="2"/>
    <x v="5"/>
    <n v="10"/>
    <n v="59083"/>
    <n v="590830"/>
    <n v="590830"/>
  </r>
  <r>
    <n v="10936"/>
    <d v="2023-03-19T00:00:00"/>
    <x v="5"/>
    <x v="2"/>
    <x v="1"/>
    <n v="3"/>
    <n v="44434"/>
    <n v="133302"/>
    <n v="133302"/>
  </r>
  <r>
    <n v="10937"/>
    <d v="2023-03-07T00:00:00"/>
    <x v="6"/>
    <x v="2"/>
    <x v="0"/>
    <n v="15"/>
    <n v="2242"/>
    <n v="33630"/>
    <n v="33630"/>
  </r>
  <r>
    <n v="10938"/>
    <d v="2023-01-27T00:00:00"/>
    <x v="1"/>
    <x v="0"/>
    <x v="5"/>
    <n v="11"/>
    <n v="20979"/>
    <n v="230769"/>
    <n v="230769"/>
  </r>
  <r>
    <n v="10939"/>
    <d v="2023-04-11T00:00:00"/>
    <x v="5"/>
    <x v="1"/>
    <x v="2"/>
    <n v="6"/>
    <n v="28431"/>
    <n v="170586"/>
    <n v="170586"/>
  </r>
  <r>
    <n v="10940"/>
    <d v="2023-10-14T00:00:00"/>
    <x v="5"/>
    <x v="2"/>
    <x v="2"/>
    <n v="4"/>
    <n v="53132"/>
    <n v="212528"/>
    <n v="212528"/>
  </r>
  <r>
    <n v="10941"/>
    <d v="2023-06-25T00:00:00"/>
    <x v="3"/>
    <x v="3"/>
    <x v="2"/>
    <n v="2"/>
    <n v="22558"/>
    <n v="45116"/>
    <n v="45116"/>
  </r>
  <r>
    <n v="10942"/>
    <d v="2023-01-08T00:00:00"/>
    <x v="4"/>
    <x v="3"/>
    <x v="0"/>
    <n v="6"/>
    <n v="50550"/>
    <n v="303300"/>
    <n v="303300"/>
  </r>
  <r>
    <n v="10943"/>
    <d v="2023-05-13T00:00:00"/>
    <x v="4"/>
    <x v="3"/>
    <x v="3"/>
    <n v="4"/>
    <n v="12521"/>
    <n v="50084"/>
    <n v="50084"/>
  </r>
  <r>
    <n v="10944"/>
    <d v="2023-06-11T00:00:00"/>
    <x v="1"/>
    <x v="2"/>
    <x v="0"/>
    <n v="9"/>
    <n v="59103"/>
    <n v="531927"/>
    <n v="531927"/>
  </r>
  <r>
    <n v="10945"/>
    <d v="2023-10-04T00:00:00"/>
    <x v="4"/>
    <x v="0"/>
    <x v="2"/>
    <n v="11"/>
    <n v="513"/>
    <n v="5643"/>
    <n v="5643"/>
  </r>
  <r>
    <n v="10946"/>
    <d v="2023-10-29T00:00:00"/>
    <x v="1"/>
    <x v="0"/>
    <x v="1"/>
    <n v="10"/>
    <n v="29658"/>
    <n v="296580"/>
    <n v="296580"/>
  </r>
  <r>
    <n v="10947"/>
    <d v="2023-08-18T00:00:00"/>
    <x v="1"/>
    <x v="1"/>
    <x v="0"/>
    <n v="13"/>
    <n v="27190"/>
    <n v="353470"/>
    <n v="353470"/>
  </r>
  <r>
    <n v="10948"/>
    <d v="2023-01-17T00:00:00"/>
    <x v="6"/>
    <x v="1"/>
    <x v="3"/>
    <n v="20"/>
    <n v="27255"/>
    <n v="545100"/>
    <n v="545100"/>
  </r>
  <r>
    <n v="10949"/>
    <d v="2023-12-22T00:00:00"/>
    <x v="2"/>
    <x v="2"/>
    <x v="5"/>
    <n v="11"/>
    <n v="54761"/>
    <n v="602371"/>
    <n v="602371"/>
  </r>
  <r>
    <n v="10950"/>
    <d v="2023-01-06T00:00:00"/>
    <x v="4"/>
    <x v="2"/>
    <x v="0"/>
    <n v="17"/>
    <n v="40898"/>
    <n v="695266"/>
    <n v="695266"/>
  </r>
  <r>
    <n v="10951"/>
    <d v="2023-05-10T00:00:00"/>
    <x v="1"/>
    <x v="1"/>
    <x v="4"/>
    <n v="6"/>
    <n v="14299"/>
    <n v="85794"/>
    <n v="85794"/>
  </r>
  <r>
    <n v="10952"/>
    <d v="2023-11-25T00:00:00"/>
    <x v="2"/>
    <x v="1"/>
    <x v="4"/>
    <n v="9"/>
    <n v="46221"/>
    <n v="415989"/>
    <n v="415989"/>
  </r>
  <r>
    <n v="10953"/>
    <d v="2023-07-19T00:00:00"/>
    <x v="0"/>
    <x v="0"/>
    <x v="2"/>
    <n v="8"/>
    <n v="47974"/>
    <n v="383792"/>
    <n v="383792"/>
  </r>
  <r>
    <n v="10954"/>
    <d v="2023-11-13T00:00:00"/>
    <x v="5"/>
    <x v="2"/>
    <x v="2"/>
    <n v="11"/>
    <n v="39856"/>
    <n v="438416"/>
    <n v="438416"/>
  </r>
  <r>
    <n v="10955"/>
    <d v="2023-09-09T00:00:00"/>
    <x v="1"/>
    <x v="3"/>
    <x v="3"/>
    <n v="4"/>
    <n v="24501"/>
    <n v="98004"/>
    <n v="98004"/>
  </r>
  <r>
    <n v="10956"/>
    <d v="2023-07-27T00:00:00"/>
    <x v="6"/>
    <x v="1"/>
    <x v="1"/>
    <n v="4"/>
    <n v="47025"/>
    <n v="188100"/>
    <n v="188100"/>
  </r>
  <r>
    <n v="10957"/>
    <d v="2023-03-17T00:00:00"/>
    <x v="0"/>
    <x v="3"/>
    <x v="3"/>
    <n v="9"/>
    <n v="10985"/>
    <n v="98865"/>
    <n v="98865"/>
  </r>
  <r>
    <n v="10958"/>
    <d v="2023-01-13T00:00:00"/>
    <x v="1"/>
    <x v="2"/>
    <x v="2"/>
    <n v="6"/>
    <n v="50645"/>
    <n v="303870"/>
    <n v="303870"/>
  </r>
  <r>
    <n v="10959"/>
    <d v="2023-12-30T00:00:00"/>
    <x v="4"/>
    <x v="3"/>
    <x v="3"/>
    <n v="5"/>
    <n v="8995"/>
    <n v="44975"/>
    <n v="44975"/>
  </r>
  <r>
    <n v="10960"/>
    <d v="2023-04-21T00:00:00"/>
    <x v="3"/>
    <x v="2"/>
    <x v="0"/>
    <n v="3"/>
    <n v="44728"/>
    <n v="134184"/>
    <n v="134184"/>
  </r>
  <r>
    <n v="10961"/>
    <d v="2023-07-02T00:00:00"/>
    <x v="3"/>
    <x v="3"/>
    <x v="3"/>
    <n v="5"/>
    <n v="52005"/>
    <n v="260025"/>
    <n v="260025"/>
  </r>
  <r>
    <n v="10962"/>
    <d v="2023-12-06T00:00:00"/>
    <x v="6"/>
    <x v="1"/>
    <x v="5"/>
    <n v="15"/>
    <n v="13619"/>
    <n v="204285"/>
    <n v="204285"/>
  </r>
  <r>
    <n v="10963"/>
    <d v="2023-03-12T00:00:00"/>
    <x v="2"/>
    <x v="0"/>
    <x v="0"/>
    <n v="6"/>
    <n v="5068"/>
    <n v="30408"/>
    <n v="30408"/>
  </r>
  <r>
    <n v="10964"/>
    <d v="2023-09-29T00:00:00"/>
    <x v="0"/>
    <x v="2"/>
    <x v="0"/>
    <n v="10"/>
    <n v="17523"/>
    <n v="175230"/>
    <n v="175230"/>
  </r>
  <r>
    <n v="10965"/>
    <d v="2023-03-22T00:00:00"/>
    <x v="0"/>
    <x v="2"/>
    <x v="2"/>
    <n v="17"/>
    <n v="29985"/>
    <n v="509745"/>
    <n v="509745"/>
  </r>
  <r>
    <n v="10966"/>
    <d v="2023-02-04T00:00:00"/>
    <x v="0"/>
    <x v="1"/>
    <x v="4"/>
    <n v="10"/>
    <n v="30257"/>
    <n v="302570"/>
    <n v="302570"/>
  </r>
  <r>
    <n v="10967"/>
    <d v="2023-05-12T00:00:00"/>
    <x v="3"/>
    <x v="2"/>
    <x v="2"/>
    <n v="10"/>
    <n v="52450"/>
    <n v="524500"/>
    <n v="524500"/>
  </r>
  <r>
    <n v="10968"/>
    <d v="2023-04-16T00:00:00"/>
    <x v="2"/>
    <x v="3"/>
    <x v="4"/>
    <n v="8"/>
    <n v="46665"/>
    <n v="373320"/>
    <n v="373320"/>
  </r>
  <r>
    <n v="10969"/>
    <d v="2023-11-21T00:00:00"/>
    <x v="0"/>
    <x v="0"/>
    <x v="1"/>
    <n v="7"/>
    <n v="56320"/>
    <n v="394240"/>
    <n v="394240"/>
  </r>
  <r>
    <n v="10970"/>
    <d v="2023-03-08T00:00:00"/>
    <x v="4"/>
    <x v="1"/>
    <x v="2"/>
    <n v="12"/>
    <n v="19345"/>
    <n v="232140"/>
    <n v="232140"/>
  </r>
  <r>
    <n v="10971"/>
    <d v="2023-11-07T00:00:00"/>
    <x v="2"/>
    <x v="3"/>
    <x v="2"/>
    <n v="5"/>
    <n v="58810"/>
    <n v="294050"/>
    <n v="294050"/>
  </r>
  <r>
    <n v="10972"/>
    <d v="2023-08-25T00:00:00"/>
    <x v="5"/>
    <x v="0"/>
    <x v="4"/>
    <n v="1"/>
    <n v="47172"/>
    <n v="47172"/>
    <n v="47172"/>
  </r>
  <r>
    <n v="10973"/>
    <d v="2023-04-21T00:00:00"/>
    <x v="1"/>
    <x v="1"/>
    <x v="4"/>
    <n v="7"/>
    <n v="2885"/>
    <n v="20195"/>
    <n v="20195"/>
  </r>
  <r>
    <n v="10974"/>
    <d v="2023-11-29T00:00:00"/>
    <x v="3"/>
    <x v="3"/>
    <x v="5"/>
    <n v="9"/>
    <n v="10030"/>
    <n v="90270"/>
    <n v="90270"/>
  </r>
  <r>
    <n v="10975"/>
    <d v="2023-08-10T00:00:00"/>
    <x v="6"/>
    <x v="0"/>
    <x v="1"/>
    <n v="7"/>
    <n v="23522"/>
    <n v="164654"/>
    <n v="164654"/>
  </r>
  <r>
    <n v="10976"/>
    <d v="2023-06-05T00:00:00"/>
    <x v="3"/>
    <x v="0"/>
    <x v="3"/>
    <n v="1"/>
    <n v="8659"/>
    <n v="8659"/>
    <n v="8659"/>
  </r>
  <r>
    <n v="10977"/>
    <d v="2023-03-14T00:00:00"/>
    <x v="2"/>
    <x v="3"/>
    <x v="5"/>
    <n v="12"/>
    <n v="23358"/>
    <n v="280296"/>
    <n v="280296"/>
  </r>
  <r>
    <n v="10978"/>
    <d v="2023-01-10T00:00:00"/>
    <x v="1"/>
    <x v="2"/>
    <x v="1"/>
    <n v="12"/>
    <n v="3383"/>
    <n v="40596"/>
    <n v="40596"/>
  </r>
  <r>
    <n v="10979"/>
    <d v="2023-11-03T00:00:00"/>
    <x v="2"/>
    <x v="2"/>
    <x v="4"/>
    <n v="10"/>
    <n v="42981"/>
    <n v="429810"/>
    <n v="429810"/>
  </r>
  <r>
    <n v="10980"/>
    <d v="2023-01-10T00:00:00"/>
    <x v="3"/>
    <x v="3"/>
    <x v="2"/>
    <n v="16"/>
    <n v="36117"/>
    <n v="577872"/>
    <n v="577872"/>
  </r>
  <r>
    <n v="10981"/>
    <d v="2023-08-06T00:00:00"/>
    <x v="1"/>
    <x v="2"/>
    <x v="2"/>
    <n v="5"/>
    <n v="10223"/>
    <n v="51115"/>
    <n v="51115"/>
  </r>
  <r>
    <n v="10982"/>
    <d v="2023-07-15T00:00:00"/>
    <x v="4"/>
    <x v="1"/>
    <x v="5"/>
    <n v="1"/>
    <n v="52780"/>
    <n v="52780"/>
    <n v="52780"/>
  </r>
  <r>
    <n v="10983"/>
    <d v="2023-11-17T00:00:00"/>
    <x v="4"/>
    <x v="0"/>
    <x v="4"/>
    <n v="4"/>
    <n v="39578"/>
    <n v="158312"/>
    <n v="158312"/>
  </r>
  <r>
    <n v="10984"/>
    <d v="2023-06-20T00:00:00"/>
    <x v="4"/>
    <x v="0"/>
    <x v="2"/>
    <n v="1"/>
    <n v="44342"/>
    <n v="44342"/>
    <n v="44342"/>
  </r>
  <r>
    <n v="10985"/>
    <d v="2023-11-16T00:00:00"/>
    <x v="0"/>
    <x v="2"/>
    <x v="1"/>
    <n v="11"/>
    <n v="3575"/>
    <n v="39325"/>
    <n v="39325"/>
  </r>
  <r>
    <n v="10986"/>
    <d v="2023-05-10T00:00:00"/>
    <x v="1"/>
    <x v="0"/>
    <x v="4"/>
    <n v="16"/>
    <n v="5648"/>
    <n v="90368"/>
    <n v="90368"/>
  </r>
  <r>
    <n v="10987"/>
    <d v="2023-10-10T00:00:00"/>
    <x v="1"/>
    <x v="3"/>
    <x v="5"/>
    <n v="20"/>
    <n v="11553"/>
    <n v="231060"/>
    <n v="231060"/>
  </r>
  <r>
    <n v="10988"/>
    <d v="2023-02-04T00:00:00"/>
    <x v="2"/>
    <x v="3"/>
    <x v="3"/>
    <n v="8"/>
    <n v="41709"/>
    <n v="333672"/>
    <n v="333672"/>
  </r>
  <r>
    <n v="10989"/>
    <d v="2023-06-07T00:00:00"/>
    <x v="5"/>
    <x v="3"/>
    <x v="4"/>
    <n v="15"/>
    <n v="4258"/>
    <n v="63870"/>
    <n v="63870"/>
  </r>
  <r>
    <n v="10990"/>
    <d v="2023-03-21T00:00:00"/>
    <x v="4"/>
    <x v="3"/>
    <x v="1"/>
    <n v="19"/>
    <n v="56618"/>
    <n v="1075742"/>
    <n v="1075742"/>
  </r>
  <r>
    <n v="10991"/>
    <d v="2023-09-30T00:00:00"/>
    <x v="2"/>
    <x v="0"/>
    <x v="1"/>
    <n v="11"/>
    <n v="59725"/>
    <n v="656975"/>
    <n v="656975"/>
  </r>
  <r>
    <n v="10992"/>
    <d v="2023-03-27T00:00:00"/>
    <x v="1"/>
    <x v="1"/>
    <x v="5"/>
    <n v="9"/>
    <n v="10105"/>
    <n v="90945"/>
    <n v="90945"/>
  </r>
  <r>
    <n v="10993"/>
    <d v="2023-01-07T00:00:00"/>
    <x v="5"/>
    <x v="1"/>
    <x v="0"/>
    <n v="7"/>
    <n v="45111"/>
    <n v="315777"/>
    <n v="315777"/>
  </r>
  <r>
    <n v="10994"/>
    <d v="2023-01-17T00:00:00"/>
    <x v="1"/>
    <x v="3"/>
    <x v="3"/>
    <n v="5"/>
    <n v="4683"/>
    <n v="23415"/>
    <n v="23415"/>
  </r>
  <r>
    <n v="10995"/>
    <d v="2023-11-26T00:00:00"/>
    <x v="0"/>
    <x v="3"/>
    <x v="2"/>
    <n v="15"/>
    <n v="57273"/>
    <n v="859095"/>
    <n v="859095"/>
  </r>
  <r>
    <n v="10996"/>
    <d v="2023-04-24T00:00:00"/>
    <x v="0"/>
    <x v="1"/>
    <x v="3"/>
    <n v="5"/>
    <n v="6306"/>
    <n v="31530"/>
    <n v="31530"/>
  </r>
  <r>
    <n v="10997"/>
    <d v="2023-11-05T00:00:00"/>
    <x v="0"/>
    <x v="0"/>
    <x v="2"/>
    <n v="7"/>
    <n v="32783"/>
    <n v="229481"/>
    <n v="229481"/>
  </r>
  <r>
    <n v="10998"/>
    <d v="2023-03-17T00:00:00"/>
    <x v="5"/>
    <x v="3"/>
    <x v="4"/>
    <n v="19"/>
    <n v="23628"/>
    <n v="448932"/>
    <n v="448932"/>
  </r>
  <r>
    <n v="10999"/>
    <d v="2023-01-23T00:00:00"/>
    <x v="1"/>
    <x v="2"/>
    <x v="0"/>
    <n v="8"/>
    <n v="48297"/>
    <n v="386376"/>
    <n v="386376"/>
  </r>
  <r>
    <n v="11000"/>
    <d v="2023-05-29T00:00:00"/>
    <x v="1"/>
    <x v="3"/>
    <x v="0"/>
    <n v="4"/>
    <n v="54767"/>
    <n v="219068"/>
    <n v="219068"/>
  </r>
  <r>
    <n v="11001"/>
    <d v="2023-01-23T00:00:00"/>
    <x v="4"/>
    <x v="2"/>
    <x v="2"/>
    <n v="4"/>
    <n v="44048"/>
    <n v="176192"/>
    <n v="176192"/>
  </r>
  <r>
    <n v="11002"/>
    <d v="2023-04-14T00:00:00"/>
    <x v="3"/>
    <x v="2"/>
    <x v="5"/>
    <n v="12"/>
    <n v="53873"/>
    <n v="646476"/>
    <n v="646476"/>
  </r>
  <r>
    <n v="11003"/>
    <d v="2023-07-22T00:00:00"/>
    <x v="0"/>
    <x v="2"/>
    <x v="0"/>
    <n v="11"/>
    <n v="14299"/>
    <n v="157289"/>
    <n v="157289"/>
  </r>
  <r>
    <n v="11004"/>
    <d v="2023-11-12T00:00:00"/>
    <x v="2"/>
    <x v="2"/>
    <x v="4"/>
    <n v="15"/>
    <n v="11565"/>
    <n v="173475"/>
    <n v="173475"/>
  </r>
  <r>
    <n v="11005"/>
    <d v="2023-02-25T00:00:00"/>
    <x v="0"/>
    <x v="3"/>
    <x v="1"/>
    <n v="20"/>
    <n v="45463"/>
    <n v="909260"/>
    <n v="909260"/>
  </r>
  <r>
    <n v="11006"/>
    <d v="2023-07-04T00:00:00"/>
    <x v="1"/>
    <x v="2"/>
    <x v="5"/>
    <n v="14"/>
    <n v="40437"/>
    <n v="566118"/>
    <n v="566118"/>
  </r>
  <r>
    <n v="11007"/>
    <d v="2023-10-29T00:00:00"/>
    <x v="2"/>
    <x v="0"/>
    <x v="2"/>
    <n v="16"/>
    <n v="27624"/>
    <n v="441984"/>
    <n v="441984"/>
  </r>
  <r>
    <n v="11008"/>
    <d v="2023-06-05T00:00:00"/>
    <x v="0"/>
    <x v="0"/>
    <x v="1"/>
    <n v="13"/>
    <n v="50797"/>
    <n v="660361"/>
    <n v="660361"/>
  </r>
  <r>
    <n v="11009"/>
    <d v="2023-09-17T00:00:00"/>
    <x v="5"/>
    <x v="3"/>
    <x v="0"/>
    <n v="10"/>
    <n v="42628"/>
    <n v="426280"/>
    <n v="426280"/>
  </r>
  <r>
    <n v="11010"/>
    <d v="2023-09-01T00:00:00"/>
    <x v="6"/>
    <x v="1"/>
    <x v="2"/>
    <n v="9"/>
    <n v="55704"/>
    <n v="501336"/>
    <n v="501336"/>
  </r>
  <r>
    <n v="11011"/>
    <d v="2023-10-03T00:00:00"/>
    <x v="5"/>
    <x v="0"/>
    <x v="1"/>
    <n v="14"/>
    <n v="54514"/>
    <n v="763196"/>
    <n v="763196"/>
  </r>
  <r>
    <n v="11012"/>
    <d v="2023-01-06T00:00:00"/>
    <x v="2"/>
    <x v="2"/>
    <x v="1"/>
    <n v="20"/>
    <n v="23572"/>
    <n v="471440"/>
    <n v="471440"/>
  </r>
  <r>
    <n v="11013"/>
    <d v="2023-01-30T00:00:00"/>
    <x v="4"/>
    <x v="0"/>
    <x v="4"/>
    <n v="10"/>
    <n v="14193"/>
    <n v="141930"/>
    <n v="141930"/>
  </r>
  <r>
    <n v="11014"/>
    <d v="2023-03-27T00:00:00"/>
    <x v="0"/>
    <x v="1"/>
    <x v="1"/>
    <n v="2"/>
    <n v="11578"/>
    <n v="23156"/>
    <n v="23156"/>
  </r>
  <r>
    <n v="11015"/>
    <d v="2023-01-08T00:00:00"/>
    <x v="5"/>
    <x v="0"/>
    <x v="0"/>
    <n v="14"/>
    <n v="56218"/>
    <n v="787052"/>
    <n v="787052"/>
  </r>
  <r>
    <n v="11016"/>
    <d v="2023-06-14T00:00:00"/>
    <x v="0"/>
    <x v="3"/>
    <x v="0"/>
    <n v="17"/>
    <n v="46182"/>
    <n v="785094"/>
    <n v="785094"/>
  </r>
  <r>
    <n v="11017"/>
    <d v="2023-01-02T00:00:00"/>
    <x v="3"/>
    <x v="3"/>
    <x v="0"/>
    <n v="1"/>
    <n v="9678"/>
    <n v="9678"/>
    <n v="9678"/>
  </r>
  <r>
    <n v="11018"/>
    <d v="2023-06-21T00:00:00"/>
    <x v="0"/>
    <x v="0"/>
    <x v="2"/>
    <n v="16"/>
    <n v="11443"/>
    <n v="183088"/>
    <n v="183088"/>
  </r>
  <r>
    <n v="11019"/>
    <d v="2023-01-20T00:00:00"/>
    <x v="1"/>
    <x v="3"/>
    <x v="5"/>
    <n v="6"/>
    <n v="36229"/>
    <n v="217374"/>
    <n v="217374"/>
  </r>
  <r>
    <n v="11020"/>
    <d v="2023-01-04T00:00:00"/>
    <x v="0"/>
    <x v="1"/>
    <x v="5"/>
    <n v="10"/>
    <n v="23341"/>
    <n v="233410"/>
    <n v="233410"/>
  </r>
  <r>
    <n v="11021"/>
    <d v="2023-01-16T00:00:00"/>
    <x v="1"/>
    <x v="2"/>
    <x v="0"/>
    <n v="1"/>
    <n v="52054"/>
    <n v="52054"/>
    <n v="52054"/>
  </r>
  <r>
    <n v="11022"/>
    <d v="2023-06-29T00:00:00"/>
    <x v="1"/>
    <x v="2"/>
    <x v="2"/>
    <n v="3"/>
    <n v="28098"/>
    <n v="84294"/>
    <n v="84294"/>
  </r>
  <r>
    <n v="11023"/>
    <d v="2023-02-23T00:00:00"/>
    <x v="1"/>
    <x v="0"/>
    <x v="1"/>
    <n v="13"/>
    <n v="47914"/>
    <n v="622882"/>
    <n v="622882"/>
  </r>
  <r>
    <n v="11024"/>
    <d v="2023-12-10T00:00:00"/>
    <x v="2"/>
    <x v="3"/>
    <x v="4"/>
    <n v="3"/>
    <n v="46775"/>
    <n v="140325"/>
    <n v="140325"/>
  </r>
  <r>
    <n v="11025"/>
    <d v="2023-02-06T00:00:00"/>
    <x v="1"/>
    <x v="0"/>
    <x v="0"/>
    <n v="5"/>
    <n v="29550"/>
    <n v="147750"/>
    <n v="147750"/>
  </r>
  <r>
    <n v="11026"/>
    <d v="2023-05-28T00:00:00"/>
    <x v="3"/>
    <x v="3"/>
    <x v="2"/>
    <n v="7"/>
    <n v="12923"/>
    <n v="90461"/>
    <n v="90461"/>
  </r>
  <r>
    <n v="11027"/>
    <d v="2023-04-14T00:00:00"/>
    <x v="1"/>
    <x v="0"/>
    <x v="5"/>
    <n v="20"/>
    <n v="47739"/>
    <n v="954780"/>
    <n v="954780"/>
  </r>
  <r>
    <n v="11028"/>
    <d v="2023-05-30T00:00:00"/>
    <x v="2"/>
    <x v="3"/>
    <x v="5"/>
    <n v="6"/>
    <n v="24382"/>
    <n v="146292"/>
    <n v="146292"/>
  </r>
  <r>
    <n v="11029"/>
    <d v="2023-03-26T00:00:00"/>
    <x v="6"/>
    <x v="3"/>
    <x v="4"/>
    <n v="19"/>
    <n v="32863"/>
    <n v="624397"/>
    <n v="624397"/>
  </r>
  <r>
    <n v="11030"/>
    <d v="2023-09-11T00:00:00"/>
    <x v="2"/>
    <x v="0"/>
    <x v="4"/>
    <n v="1"/>
    <n v="48710"/>
    <n v="48710"/>
    <n v="48710"/>
  </r>
  <r>
    <n v="11031"/>
    <d v="2023-07-19T00:00:00"/>
    <x v="4"/>
    <x v="0"/>
    <x v="1"/>
    <n v="5"/>
    <n v="29362"/>
    <n v="146810"/>
    <n v="146810"/>
  </r>
  <r>
    <n v="11032"/>
    <d v="2023-06-12T00:00:00"/>
    <x v="6"/>
    <x v="1"/>
    <x v="4"/>
    <n v="3"/>
    <n v="32146"/>
    <n v="96438"/>
    <n v="96438"/>
  </r>
  <r>
    <n v="11033"/>
    <d v="2023-11-06T00:00:00"/>
    <x v="0"/>
    <x v="0"/>
    <x v="2"/>
    <n v="5"/>
    <n v="49481"/>
    <n v="247405"/>
    <n v="247405"/>
  </r>
  <r>
    <n v="11034"/>
    <d v="2023-10-19T00:00:00"/>
    <x v="1"/>
    <x v="2"/>
    <x v="0"/>
    <n v="14"/>
    <n v="27461"/>
    <n v="384454"/>
    <n v="384454"/>
  </r>
  <r>
    <n v="11035"/>
    <d v="2023-07-09T00:00:00"/>
    <x v="0"/>
    <x v="1"/>
    <x v="2"/>
    <n v="6"/>
    <n v="44926"/>
    <n v="269556"/>
    <n v="269556"/>
  </r>
  <r>
    <n v="11036"/>
    <d v="2023-07-10T00:00:00"/>
    <x v="1"/>
    <x v="3"/>
    <x v="0"/>
    <n v="8"/>
    <n v="39639"/>
    <n v="317112"/>
    <n v="317112"/>
  </r>
  <r>
    <n v="11037"/>
    <d v="2023-05-10T00:00:00"/>
    <x v="6"/>
    <x v="1"/>
    <x v="2"/>
    <n v="13"/>
    <n v="49327"/>
    <n v="641251"/>
    <n v="641251"/>
  </r>
  <r>
    <n v="11038"/>
    <d v="2023-10-30T00:00:00"/>
    <x v="2"/>
    <x v="0"/>
    <x v="4"/>
    <n v="6"/>
    <n v="33436"/>
    <n v="200616"/>
    <n v="200616"/>
  </r>
  <r>
    <n v="11039"/>
    <d v="2023-11-14T00:00:00"/>
    <x v="2"/>
    <x v="2"/>
    <x v="1"/>
    <n v="2"/>
    <n v="55391"/>
    <n v="110782"/>
    <n v="110782"/>
  </r>
  <r>
    <n v="11040"/>
    <d v="2023-07-19T00:00:00"/>
    <x v="1"/>
    <x v="2"/>
    <x v="0"/>
    <n v="15"/>
    <n v="51713"/>
    <n v="775695"/>
    <n v="775695"/>
  </r>
  <r>
    <n v="11041"/>
    <d v="2023-10-18T00:00:00"/>
    <x v="5"/>
    <x v="2"/>
    <x v="4"/>
    <n v="7"/>
    <n v="38997"/>
    <n v="272979"/>
    <n v="272979"/>
  </r>
  <r>
    <n v="11042"/>
    <d v="2023-07-05T00:00:00"/>
    <x v="5"/>
    <x v="1"/>
    <x v="5"/>
    <n v="20"/>
    <n v="48431"/>
    <n v="968620"/>
    <n v="968620"/>
  </r>
  <r>
    <n v="11043"/>
    <d v="2023-12-27T00:00:00"/>
    <x v="0"/>
    <x v="0"/>
    <x v="5"/>
    <n v="18"/>
    <n v="44328"/>
    <n v="797904"/>
    <n v="797904"/>
  </r>
  <r>
    <n v="11044"/>
    <d v="2023-09-24T00:00:00"/>
    <x v="0"/>
    <x v="0"/>
    <x v="2"/>
    <n v="8"/>
    <n v="20702"/>
    <n v="165616"/>
    <n v="165616"/>
  </r>
  <r>
    <n v="11045"/>
    <d v="2023-09-22T00:00:00"/>
    <x v="2"/>
    <x v="3"/>
    <x v="3"/>
    <n v="2"/>
    <n v="56566"/>
    <n v="113132"/>
    <n v="113132"/>
  </r>
  <r>
    <n v="11046"/>
    <d v="2023-08-25T00:00:00"/>
    <x v="1"/>
    <x v="0"/>
    <x v="1"/>
    <n v="18"/>
    <n v="8113"/>
    <n v="146034"/>
    <n v="146034"/>
  </r>
  <r>
    <n v="11047"/>
    <d v="2023-02-13T00:00:00"/>
    <x v="4"/>
    <x v="3"/>
    <x v="4"/>
    <n v="14"/>
    <n v="58529"/>
    <n v="819406"/>
    <n v="819406"/>
  </r>
  <r>
    <n v="11048"/>
    <d v="2023-10-09T00:00:00"/>
    <x v="3"/>
    <x v="0"/>
    <x v="1"/>
    <n v="20"/>
    <n v="1983"/>
    <n v="39660"/>
    <n v="39660"/>
  </r>
  <r>
    <n v="11049"/>
    <d v="2023-12-27T00:00:00"/>
    <x v="5"/>
    <x v="1"/>
    <x v="1"/>
    <n v="13"/>
    <n v="55579"/>
    <n v="722527"/>
    <n v="722527"/>
  </r>
  <r>
    <n v="11050"/>
    <d v="2023-01-23T00:00:00"/>
    <x v="0"/>
    <x v="3"/>
    <x v="0"/>
    <n v="10"/>
    <n v="32432"/>
    <n v="324320"/>
    <n v="324320"/>
  </r>
  <r>
    <n v="11051"/>
    <d v="2023-06-15T00:00:00"/>
    <x v="3"/>
    <x v="1"/>
    <x v="5"/>
    <n v="4"/>
    <n v="29096"/>
    <n v="116384"/>
    <n v="116384"/>
  </r>
  <r>
    <n v="11052"/>
    <d v="2023-08-11T00:00:00"/>
    <x v="3"/>
    <x v="0"/>
    <x v="0"/>
    <n v="18"/>
    <n v="33897"/>
    <n v="610146"/>
    <n v="610146"/>
  </r>
  <r>
    <n v="11053"/>
    <d v="2023-12-03T00:00:00"/>
    <x v="2"/>
    <x v="3"/>
    <x v="0"/>
    <n v="15"/>
    <n v="12152"/>
    <n v="182280"/>
    <n v="182280"/>
  </r>
  <r>
    <n v="11054"/>
    <d v="2023-03-18T00:00:00"/>
    <x v="0"/>
    <x v="0"/>
    <x v="4"/>
    <n v="17"/>
    <n v="55684"/>
    <n v="946628"/>
    <n v="946628"/>
  </r>
  <r>
    <n v="11055"/>
    <d v="2023-06-18T00:00:00"/>
    <x v="2"/>
    <x v="2"/>
    <x v="3"/>
    <n v="5"/>
    <n v="43905"/>
    <n v="219525"/>
    <n v="219525"/>
  </r>
  <r>
    <n v="11056"/>
    <d v="2023-08-18T00:00:00"/>
    <x v="3"/>
    <x v="2"/>
    <x v="3"/>
    <n v="5"/>
    <n v="34126"/>
    <n v="170630"/>
    <n v="170630"/>
  </r>
  <r>
    <n v="11057"/>
    <d v="2023-01-17T00:00:00"/>
    <x v="3"/>
    <x v="1"/>
    <x v="5"/>
    <n v="14"/>
    <n v="20823"/>
    <n v="291522"/>
    <n v="291522"/>
  </r>
  <r>
    <n v="11058"/>
    <d v="2023-09-03T00:00:00"/>
    <x v="0"/>
    <x v="0"/>
    <x v="1"/>
    <n v="8"/>
    <n v="19890"/>
    <n v="159120"/>
    <n v="159120"/>
  </r>
  <r>
    <n v="11059"/>
    <d v="2023-02-03T00:00:00"/>
    <x v="5"/>
    <x v="0"/>
    <x v="2"/>
    <n v="16"/>
    <n v="49177"/>
    <n v="786832"/>
    <n v="786832"/>
  </r>
  <r>
    <n v="11060"/>
    <d v="2023-09-03T00:00:00"/>
    <x v="0"/>
    <x v="3"/>
    <x v="4"/>
    <n v="5"/>
    <n v="7167"/>
    <n v="35835"/>
    <n v="35835"/>
  </r>
  <r>
    <n v="11061"/>
    <d v="2023-03-06T00:00:00"/>
    <x v="4"/>
    <x v="2"/>
    <x v="5"/>
    <n v="5"/>
    <n v="51652"/>
    <n v="258260"/>
    <n v="258260"/>
  </r>
  <r>
    <n v="11062"/>
    <d v="2023-10-16T00:00:00"/>
    <x v="2"/>
    <x v="2"/>
    <x v="4"/>
    <n v="7"/>
    <n v="16641"/>
    <n v="116487"/>
    <n v="116487"/>
  </r>
  <r>
    <n v="11063"/>
    <d v="2023-08-01T00:00:00"/>
    <x v="5"/>
    <x v="0"/>
    <x v="1"/>
    <n v="8"/>
    <n v="1883"/>
    <n v="15064"/>
    <n v="15064"/>
  </r>
  <r>
    <n v="11064"/>
    <d v="2023-01-08T00:00:00"/>
    <x v="4"/>
    <x v="2"/>
    <x v="5"/>
    <n v="2"/>
    <n v="16404"/>
    <n v="32808"/>
    <n v="32808"/>
  </r>
  <r>
    <n v="11065"/>
    <d v="2023-10-22T00:00:00"/>
    <x v="5"/>
    <x v="1"/>
    <x v="3"/>
    <n v="2"/>
    <n v="27593"/>
    <n v="55186"/>
    <n v="55186"/>
  </r>
  <r>
    <n v="11066"/>
    <d v="2023-01-16T00:00:00"/>
    <x v="1"/>
    <x v="3"/>
    <x v="2"/>
    <n v="10"/>
    <n v="34742"/>
    <n v="347420"/>
    <n v="347420"/>
  </r>
  <r>
    <n v="11067"/>
    <d v="2023-03-15T00:00:00"/>
    <x v="5"/>
    <x v="3"/>
    <x v="4"/>
    <n v="7"/>
    <n v="24521"/>
    <n v="171647"/>
    <n v="171647"/>
  </r>
  <r>
    <n v="11068"/>
    <d v="2023-07-18T00:00:00"/>
    <x v="5"/>
    <x v="2"/>
    <x v="5"/>
    <n v="15"/>
    <n v="54764"/>
    <n v="821460"/>
    <n v="821460"/>
  </r>
  <r>
    <n v="11069"/>
    <d v="2023-01-18T00:00:00"/>
    <x v="3"/>
    <x v="1"/>
    <x v="0"/>
    <n v="1"/>
    <n v="15795"/>
    <n v="15795"/>
    <n v="15795"/>
  </r>
  <r>
    <n v="11070"/>
    <d v="2023-05-23T00:00:00"/>
    <x v="1"/>
    <x v="2"/>
    <x v="3"/>
    <n v="9"/>
    <n v="38599"/>
    <n v="347391"/>
    <n v="347391"/>
  </r>
  <r>
    <n v="11071"/>
    <d v="2023-05-19T00:00:00"/>
    <x v="5"/>
    <x v="0"/>
    <x v="4"/>
    <n v="9"/>
    <n v="15246"/>
    <n v="137214"/>
    <n v="137214"/>
  </r>
  <r>
    <n v="11072"/>
    <d v="2023-09-30T00:00:00"/>
    <x v="3"/>
    <x v="1"/>
    <x v="5"/>
    <n v="1"/>
    <n v="10397"/>
    <n v="10397"/>
    <n v="10397"/>
  </r>
  <r>
    <n v="11073"/>
    <d v="2023-08-29T00:00:00"/>
    <x v="3"/>
    <x v="2"/>
    <x v="0"/>
    <n v="9"/>
    <n v="54171"/>
    <n v="487539"/>
    <n v="487539"/>
  </r>
  <r>
    <n v="11074"/>
    <d v="2023-11-10T00:00:00"/>
    <x v="0"/>
    <x v="1"/>
    <x v="5"/>
    <n v="11"/>
    <n v="38068"/>
    <n v="418748"/>
    <n v="418748"/>
  </r>
  <r>
    <n v="11075"/>
    <d v="2023-01-07T00:00:00"/>
    <x v="0"/>
    <x v="1"/>
    <x v="5"/>
    <n v="20"/>
    <n v="5961"/>
    <n v="119220"/>
    <n v="119220"/>
  </r>
  <r>
    <n v="11076"/>
    <d v="2023-09-15T00:00:00"/>
    <x v="3"/>
    <x v="3"/>
    <x v="4"/>
    <n v="17"/>
    <n v="40873"/>
    <n v="694841"/>
    <n v="694841"/>
  </r>
  <r>
    <n v="11077"/>
    <d v="2023-12-09T00:00:00"/>
    <x v="0"/>
    <x v="0"/>
    <x v="0"/>
    <n v="20"/>
    <n v="59142"/>
    <n v="1182840"/>
    <n v="1182840"/>
  </r>
  <r>
    <n v="11078"/>
    <d v="2023-04-30T00:00:00"/>
    <x v="3"/>
    <x v="3"/>
    <x v="5"/>
    <n v="19"/>
    <n v="35433"/>
    <n v="673227"/>
    <n v="673227"/>
  </r>
  <r>
    <n v="11079"/>
    <d v="2023-04-03T00:00:00"/>
    <x v="0"/>
    <x v="3"/>
    <x v="2"/>
    <n v="17"/>
    <n v="49496"/>
    <n v="841432"/>
    <n v="841432"/>
  </r>
  <r>
    <n v="11080"/>
    <d v="2023-11-22T00:00:00"/>
    <x v="1"/>
    <x v="0"/>
    <x v="2"/>
    <n v="2"/>
    <n v="46728"/>
    <n v="93456"/>
    <n v="93456"/>
  </r>
  <r>
    <n v="11081"/>
    <d v="2023-07-29T00:00:00"/>
    <x v="2"/>
    <x v="2"/>
    <x v="1"/>
    <n v="4"/>
    <n v="13038"/>
    <n v="52152"/>
    <n v="52152"/>
  </r>
  <r>
    <n v="11082"/>
    <d v="2023-03-10T00:00:00"/>
    <x v="4"/>
    <x v="2"/>
    <x v="2"/>
    <n v="17"/>
    <n v="59959"/>
    <n v="1019303"/>
    <n v="1019303"/>
  </r>
  <r>
    <n v="11083"/>
    <d v="2023-05-15T00:00:00"/>
    <x v="2"/>
    <x v="1"/>
    <x v="2"/>
    <n v="7"/>
    <n v="15135"/>
    <n v="105945"/>
    <n v="105945"/>
  </r>
  <r>
    <n v="11084"/>
    <d v="2023-05-18T00:00:00"/>
    <x v="1"/>
    <x v="3"/>
    <x v="5"/>
    <n v="7"/>
    <n v="28641"/>
    <n v="200487"/>
    <n v="200487"/>
  </r>
  <r>
    <n v="11085"/>
    <d v="2023-11-25T00:00:00"/>
    <x v="3"/>
    <x v="3"/>
    <x v="3"/>
    <n v="6"/>
    <n v="36427"/>
    <n v="218562"/>
    <n v="218562"/>
  </r>
  <r>
    <n v="11086"/>
    <d v="2023-08-09T00:00:00"/>
    <x v="3"/>
    <x v="0"/>
    <x v="4"/>
    <n v="8"/>
    <n v="8616"/>
    <n v="68928"/>
    <n v="68928"/>
  </r>
  <r>
    <n v="11087"/>
    <d v="2023-02-09T00:00:00"/>
    <x v="1"/>
    <x v="2"/>
    <x v="4"/>
    <n v="13"/>
    <n v="8258"/>
    <n v="107354"/>
    <n v="107354"/>
  </r>
  <r>
    <n v="11088"/>
    <d v="2023-01-25T00:00:00"/>
    <x v="3"/>
    <x v="3"/>
    <x v="3"/>
    <n v="10"/>
    <n v="26468"/>
    <n v="264680"/>
    <n v="264680"/>
  </r>
  <r>
    <n v="11089"/>
    <d v="2023-12-23T00:00:00"/>
    <x v="1"/>
    <x v="1"/>
    <x v="4"/>
    <n v="2"/>
    <n v="51976"/>
    <n v="103952"/>
    <n v="103952"/>
  </r>
  <r>
    <n v="11090"/>
    <d v="2023-09-13T00:00:00"/>
    <x v="3"/>
    <x v="2"/>
    <x v="5"/>
    <n v="5"/>
    <n v="50833"/>
    <n v="254165"/>
    <n v="254165"/>
  </r>
  <r>
    <n v="11091"/>
    <d v="2023-11-27T00:00:00"/>
    <x v="3"/>
    <x v="2"/>
    <x v="2"/>
    <n v="20"/>
    <n v="25014"/>
    <n v="500280"/>
    <n v="500280"/>
  </r>
  <r>
    <n v="11092"/>
    <d v="2023-09-02T00:00:00"/>
    <x v="5"/>
    <x v="0"/>
    <x v="0"/>
    <n v="3"/>
    <n v="33969"/>
    <n v="101907"/>
    <n v="101907"/>
  </r>
  <r>
    <n v="11093"/>
    <d v="2023-02-21T00:00:00"/>
    <x v="5"/>
    <x v="3"/>
    <x v="0"/>
    <n v="7"/>
    <n v="17290"/>
    <n v="121030"/>
    <n v="121030"/>
  </r>
  <r>
    <n v="11094"/>
    <d v="2023-12-09T00:00:00"/>
    <x v="4"/>
    <x v="0"/>
    <x v="3"/>
    <n v="11"/>
    <n v="23647"/>
    <n v="260117"/>
    <n v="260117"/>
  </r>
  <r>
    <n v="11095"/>
    <d v="2023-12-23T00:00:00"/>
    <x v="4"/>
    <x v="1"/>
    <x v="3"/>
    <n v="5"/>
    <n v="18013"/>
    <n v="90065"/>
    <n v="90065"/>
  </r>
  <r>
    <n v="11096"/>
    <d v="2023-07-01T00:00:00"/>
    <x v="6"/>
    <x v="0"/>
    <x v="1"/>
    <n v="4"/>
    <n v="31857"/>
    <n v="127428"/>
    <n v="127428"/>
  </r>
  <r>
    <n v="11097"/>
    <d v="2023-07-01T00:00:00"/>
    <x v="6"/>
    <x v="3"/>
    <x v="5"/>
    <n v="3"/>
    <n v="25526"/>
    <n v="76578"/>
    <n v="76578"/>
  </r>
  <r>
    <n v="11098"/>
    <d v="2023-07-25T00:00:00"/>
    <x v="5"/>
    <x v="2"/>
    <x v="4"/>
    <n v="18"/>
    <n v="6079"/>
    <n v="109422"/>
    <n v="109422"/>
  </r>
  <r>
    <n v="11099"/>
    <d v="2023-01-31T00:00:00"/>
    <x v="4"/>
    <x v="3"/>
    <x v="0"/>
    <n v="6"/>
    <n v="56533"/>
    <n v="339198"/>
    <n v="339198"/>
  </r>
  <r>
    <n v="11100"/>
    <d v="2023-06-15T00:00:00"/>
    <x v="6"/>
    <x v="0"/>
    <x v="1"/>
    <n v="16"/>
    <n v="36630"/>
    <n v="586080"/>
    <n v="586080"/>
  </r>
  <r>
    <n v="11101"/>
    <d v="2023-02-14T00:00:00"/>
    <x v="2"/>
    <x v="3"/>
    <x v="5"/>
    <n v="4"/>
    <n v="32435"/>
    <n v="129740"/>
    <n v="129740"/>
  </r>
  <r>
    <n v="11102"/>
    <d v="2023-06-04T00:00:00"/>
    <x v="3"/>
    <x v="2"/>
    <x v="3"/>
    <n v="14"/>
    <n v="20997"/>
    <n v="293958"/>
    <n v="293958"/>
  </r>
  <r>
    <n v="11103"/>
    <d v="2023-11-18T00:00:00"/>
    <x v="0"/>
    <x v="2"/>
    <x v="2"/>
    <n v="18"/>
    <n v="33444"/>
    <n v="601992"/>
    <n v="601992"/>
  </r>
  <r>
    <n v="11104"/>
    <d v="2023-01-29T00:00:00"/>
    <x v="3"/>
    <x v="2"/>
    <x v="2"/>
    <n v="4"/>
    <n v="27394"/>
    <n v="109576"/>
    <n v="109576"/>
  </r>
  <r>
    <n v="11105"/>
    <d v="2023-01-25T00:00:00"/>
    <x v="2"/>
    <x v="0"/>
    <x v="3"/>
    <n v="13"/>
    <n v="17346"/>
    <n v="225498"/>
    <n v="225498"/>
  </r>
  <r>
    <n v="11106"/>
    <d v="2023-04-10T00:00:00"/>
    <x v="4"/>
    <x v="1"/>
    <x v="3"/>
    <n v="12"/>
    <n v="22079"/>
    <n v="264948"/>
    <n v="264948"/>
  </r>
  <r>
    <n v="11107"/>
    <d v="2023-12-15T00:00:00"/>
    <x v="4"/>
    <x v="2"/>
    <x v="2"/>
    <n v="5"/>
    <n v="58081"/>
    <n v="290405"/>
    <n v="290405"/>
  </r>
  <r>
    <n v="11108"/>
    <d v="2023-12-01T00:00:00"/>
    <x v="2"/>
    <x v="0"/>
    <x v="0"/>
    <n v="5"/>
    <n v="40867"/>
    <n v="204335"/>
    <n v="204335"/>
  </r>
  <r>
    <n v="11109"/>
    <d v="2023-03-06T00:00:00"/>
    <x v="6"/>
    <x v="0"/>
    <x v="4"/>
    <n v="2"/>
    <n v="31992"/>
    <n v="63984"/>
    <n v="63984"/>
  </r>
  <r>
    <n v="11110"/>
    <d v="2023-02-28T00:00:00"/>
    <x v="0"/>
    <x v="2"/>
    <x v="1"/>
    <n v="6"/>
    <n v="581"/>
    <n v="3486"/>
    <n v="3486"/>
  </r>
  <r>
    <n v="11111"/>
    <d v="2023-10-21T00:00:00"/>
    <x v="6"/>
    <x v="3"/>
    <x v="1"/>
    <n v="19"/>
    <n v="35129"/>
    <n v="667451"/>
    <n v="667451"/>
  </r>
  <r>
    <n v="11112"/>
    <d v="2023-07-11T00:00:00"/>
    <x v="2"/>
    <x v="2"/>
    <x v="3"/>
    <n v="12"/>
    <n v="22482"/>
    <n v="269784"/>
    <n v="269784"/>
  </r>
  <r>
    <n v="11113"/>
    <d v="2023-06-27T00:00:00"/>
    <x v="2"/>
    <x v="1"/>
    <x v="3"/>
    <n v="10"/>
    <n v="41076"/>
    <n v="410760"/>
    <n v="410760"/>
  </r>
  <r>
    <n v="11114"/>
    <d v="2023-02-05T00:00:00"/>
    <x v="0"/>
    <x v="0"/>
    <x v="3"/>
    <n v="4"/>
    <n v="47462"/>
    <n v="189848"/>
    <n v="189848"/>
  </r>
  <r>
    <n v="11115"/>
    <d v="2023-08-29T00:00:00"/>
    <x v="0"/>
    <x v="0"/>
    <x v="0"/>
    <n v="8"/>
    <n v="9560"/>
    <n v="76480"/>
    <n v="76480"/>
  </r>
  <r>
    <n v="11116"/>
    <d v="2023-04-26T00:00:00"/>
    <x v="1"/>
    <x v="2"/>
    <x v="2"/>
    <n v="14"/>
    <n v="28517"/>
    <n v="399238"/>
    <n v="399238"/>
  </r>
  <r>
    <n v="11117"/>
    <d v="2023-02-06T00:00:00"/>
    <x v="6"/>
    <x v="3"/>
    <x v="2"/>
    <n v="2"/>
    <n v="47892"/>
    <n v="95784"/>
    <n v="95784"/>
  </r>
  <r>
    <n v="11118"/>
    <d v="2023-04-27T00:00:00"/>
    <x v="4"/>
    <x v="0"/>
    <x v="1"/>
    <n v="13"/>
    <n v="8514"/>
    <n v="110682"/>
    <n v="110682"/>
  </r>
  <r>
    <n v="11119"/>
    <d v="2023-01-02T00:00:00"/>
    <x v="2"/>
    <x v="1"/>
    <x v="1"/>
    <n v="7"/>
    <n v="32678"/>
    <n v="228746"/>
    <n v="228746"/>
  </r>
  <r>
    <n v="11120"/>
    <d v="2023-01-05T00:00:00"/>
    <x v="0"/>
    <x v="1"/>
    <x v="0"/>
    <n v="12"/>
    <n v="21940"/>
    <n v="263280"/>
    <n v="263280"/>
  </r>
  <r>
    <n v="11121"/>
    <d v="2023-04-28T00:00:00"/>
    <x v="1"/>
    <x v="0"/>
    <x v="2"/>
    <n v="17"/>
    <n v="34206"/>
    <n v="581502"/>
    <n v="581502"/>
  </r>
  <r>
    <n v="11122"/>
    <d v="2023-02-18T00:00:00"/>
    <x v="4"/>
    <x v="1"/>
    <x v="1"/>
    <n v="18"/>
    <n v="57399"/>
    <n v="1033182"/>
    <n v="1033182"/>
  </r>
  <r>
    <n v="11123"/>
    <d v="2023-10-13T00:00:00"/>
    <x v="2"/>
    <x v="1"/>
    <x v="4"/>
    <n v="16"/>
    <n v="44976"/>
    <n v="719616"/>
    <n v="719616"/>
  </r>
  <r>
    <n v="11124"/>
    <d v="2023-05-12T00:00:00"/>
    <x v="6"/>
    <x v="1"/>
    <x v="0"/>
    <n v="4"/>
    <n v="26516"/>
    <n v="106064"/>
    <n v="106064"/>
  </r>
  <r>
    <n v="11125"/>
    <d v="2023-05-20T00:00:00"/>
    <x v="2"/>
    <x v="0"/>
    <x v="4"/>
    <n v="8"/>
    <n v="21649"/>
    <n v="173192"/>
    <n v="173192"/>
  </r>
  <r>
    <n v="11126"/>
    <d v="2023-11-24T00:00:00"/>
    <x v="5"/>
    <x v="1"/>
    <x v="4"/>
    <n v="15"/>
    <n v="17617"/>
    <n v="264255"/>
    <n v="264255"/>
  </r>
  <r>
    <n v="11127"/>
    <d v="2023-03-08T00:00:00"/>
    <x v="0"/>
    <x v="3"/>
    <x v="1"/>
    <n v="17"/>
    <n v="14282"/>
    <n v="242794"/>
    <n v="242794"/>
  </r>
  <r>
    <n v="11128"/>
    <d v="2023-08-06T00:00:00"/>
    <x v="4"/>
    <x v="3"/>
    <x v="4"/>
    <n v="19"/>
    <n v="19636"/>
    <n v="373084"/>
    <n v="373084"/>
  </r>
  <r>
    <n v="11129"/>
    <d v="2023-12-17T00:00:00"/>
    <x v="4"/>
    <x v="3"/>
    <x v="4"/>
    <n v="15"/>
    <n v="41010"/>
    <n v="615150"/>
    <n v="615150"/>
  </r>
  <r>
    <n v="11130"/>
    <d v="2023-07-24T00:00:00"/>
    <x v="4"/>
    <x v="0"/>
    <x v="2"/>
    <n v="19"/>
    <n v="17585"/>
    <n v="334115"/>
    <n v="334115"/>
  </r>
  <r>
    <n v="11131"/>
    <d v="2023-09-27T00:00:00"/>
    <x v="0"/>
    <x v="2"/>
    <x v="0"/>
    <n v="3"/>
    <n v="24644"/>
    <n v="73932"/>
    <n v="73932"/>
  </r>
  <r>
    <n v="11132"/>
    <d v="2023-08-17T00:00:00"/>
    <x v="4"/>
    <x v="1"/>
    <x v="0"/>
    <n v="15"/>
    <n v="14782"/>
    <n v="221730"/>
    <n v="221730"/>
  </r>
  <r>
    <n v="11133"/>
    <d v="2023-01-05T00:00:00"/>
    <x v="5"/>
    <x v="2"/>
    <x v="5"/>
    <n v="3"/>
    <n v="58247"/>
    <n v="174741"/>
    <n v="174741"/>
  </r>
  <r>
    <n v="11134"/>
    <d v="2023-07-25T00:00:00"/>
    <x v="4"/>
    <x v="3"/>
    <x v="1"/>
    <n v="2"/>
    <n v="33089"/>
    <n v="66178"/>
    <n v="66178"/>
  </r>
  <r>
    <n v="11135"/>
    <d v="2023-07-24T00:00:00"/>
    <x v="2"/>
    <x v="2"/>
    <x v="1"/>
    <n v="16"/>
    <n v="14293"/>
    <n v="228688"/>
    <n v="228688"/>
  </r>
  <r>
    <n v="11136"/>
    <d v="2023-03-05T00:00:00"/>
    <x v="4"/>
    <x v="2"/>
    <x v="4"/>
    <n v="19"/>
    <n v="2658"/>
    <n v="50502"/>
    <n v="50502"/>
  </r>
  <r>
    <n v="11137"/>
    <d v="2023-08-10T00:00:00"/>
    <x v="5"/>
    <x v="1"/>
    <x v="2"/>
    <n v="18"/>
    <n v="54844"/>
    <n v="987192"/>
    <n v="987192"/>
  </r>
  <r>
    <n v="11138"/>
    <d v="2023-08-02T00:00:00"/>
    <x v="0"/>
    <x v="0"/>
    <x v="2"/>
    <n v="4"/>
    <n v="42501"/>
    <n v="170004"/>
    <n v="170004"/>
  </r>
  <r>
    <n v="11139"/>
    <d v="2023-03-21T00:00:00"/>
    <x v="4"/>
    <x v="0"/>
    <x v="1"/>
    <n v="2"/>
    <n v="16665"/>
    <n v="33330"/>
    <n v="33330"/>
  </r>
  <r>
    <n v="11140"/>
    <d v="2023-05-02T00:00:00"/>
    <x v="3"/>
    <x v="2"/>
    <x v="4"/>
    <n v="12"/>
    <n v="52600"/>
    <n v="631200"/>
    <n v="631200"/>
  </r>
  <r>
    <n v="11141"/>
    <d v="2023-05-20T00:00:00"/>
    <x v="5"/>
    <x v="1"/>
    <x v="5"/>
    <n v="13"/>
    <n v="45741"/>
    <n v="594633"/>
    <n v="594633"/>
  </r>
  <r>
    <n v="11142"/>
    <d v="2023-08-08T00:00:00"/>
    <x v="3"/>
    <x v="1"/>
    <x v="5"/>
    <n v="2"/>
    <n v="28613"/>
    <n v="57226"/>
    <n v="57226"/>
  </r>
  <r>
    <n v="11143"/>
    <d v="2023-10-22T00:00:00"/>
    <x v="0"/>
    <x v="1"/>
    <x v="1"/>
    <n v="19"/>
    <n v="48631"/>
    <n v="923989"/>
    <n v="923989"/>
  </r>
  <r>
    <n v="11144"/>
    <d v="2023-11-01T00:00:00"/>
    <x v="2"/>
    <x v="2"/>
    <x v="0"/>
    <n v="17"/>
    <n v="50590"/>
    <n v="860030"/>
    <n v="860030"/>
  </r>
  <r>
    <n v="11145"/>
    <d v="2023-07-24T00:00:00"/>
    <x v="4"/>
    <x v="3"/>
    <x v="0"/>
    <n v="5"/>
    <n v="39800"/>
    <n v="199000"/>
    <n v="199000"/>
  </r>
  <r>
    <n v="11146"/>
    <d v="2023-11-19T00:00:00"/>
    <x v="1"/>
    <x v="3"/>
    <x v="4"/>
    <n v="11"/>
    <n v="10278"/>
    <n v="113058"/>
    <n v="113058"/>
  </r>
  <r>
    <n v="11147"/>
    <d v="2023-04-21T00:00:00"/>
    <x v="5"/>
    <x v="2"/>
    <x v="0"/>
    <n v="3"/>
    <n v="15129"/>
    <n v="45387"/>
    <n v="45387"/>
  </r>
  <r>
    <n v="11148"/>
    <d v="2023-10-19T00:00:00"/>
    <x v="3"/>
    <x v="0"/>
    <x v="0"/>
    <n v="7"/>
    <n v="11579"/>
    <n v="81053"/>
    <n v="81053"/>
  </r>
  <r>
    <n v="11149"/>
    <d v="2023-07-13T00:00:00"/>
    <x v="1"/>
    <x v="0"/>
    <x v="3"/>
    <n v="13"/>
    <n v="51963"/>
    <n v="675519"/>
    <n v="675519"/>
  </r>
  <r>
    <n v="11150"/>
    <d v="2023-06-20T00:00:00"/>
    <x v="2"/>
    <x v="2"/>
    <x v="0"/>
    <n v="7"/>
    <n v="38374"/>
    <n v="268618"/>
    <n v="268618"/>
  </r>
  <r>
    <n v="11151"/>
    <d v="2023-11-01T00:00:00"/>
    <x v="1"/>
    <x v="0"/>
    <x v="5"/>
    <n v="7"/>
    <n v="42468"/>
    <n v="297276"/>
    <n v="297276"/>
  </r>
  <r>
    <n v="11152"/>
    <d v="2023-02-20T00:00:00"/>
    <x v="0"/>
    <x v="3"/>
    <x v="2"/>
    <n v="10"/>
    <n v="24504"/>
    <n v="245040"/>
    <n v="245040"/>
  </r>
  <r>
    <n v="11153"/>
    <d v="2023-02-19T00:00:00"/>
    <x v="1"/>
    <x v="1"/>
    <x v="1"/>
    <n v="7"/>
    <n v="18449"/>
    <n v="129143"/>
    <n v="129143"/>
  </r>
  <r>
    <n v="11154"/>
    <d v="2023-07-02T00:00:00"/>
    <x v="4"/>
    <x v="1"/>
    <x v="4"/>
    <n v="12"/>
    <n v="9677"/>
    <n v="116124"/>
    <n v="116124"/>
  </r>
  <r>
    <n v="11155"/>
    <d v="2023-05-24T00:00:00"/>
    <x v="0"/>
    <x v="3"/>
    <x v="2"/>
    <n v="18"/>
    <n v="47136"/>
    <n v="848448"/>
    <n v="848448"/>
  </r>
  <r>
    <n v="11156"/>
    <d v="2023-10-26T00:00:00"/>
    <x v="3"/>
    <x v="3"/>
    <x v="2"/>
    <n v="6"/>
    <n v="7347"/>
    <n v="44082"/>
    <n v="44082"/>
  </r>
  <r>
    <n v="11157"/>
    <d v="2023-03-06T00:00:00"/>
    <x v="2"/>
    <x v="3"/>
    <x v="5"/>
    <n v="14"/>
    <n v="12930"/>
    <n v="181020"/>
    <n v="181020"/>
  </r>
  <r>
    <n v="11158"/>
    <d v="2023-12-09T00:00:00"/>
    <x v="1"/>
    <x v="1"/>
    <x v="1"/>
    <n v="17"/>
    <n v="19117"/>
    <n v="324989"/>
    <n v="324989"/>
  </r>
  <r>
    <n v="11159"/>
    <d v="2023-03-20T00:00:00"/>
    <x v="6"/>
    <x v="3"/>
    <x v="4"/>
    <n v="12"/>
    <n v="38639"/>
    <n v="463668"/>
    <n v="463668"/>
  </r>
  <r>
    <n v="11160"/>
    <d v="2023-09-13T00:00:00"/>
    <x v="0"/>
    <x v="2"/>
    <x v="2"/>
    <n v="10"/>
    <n v="9424"/>
    <n v="94240"/>
    <n v="94240"/>
  </r>
  <r>
    <n v="11161"/>
    <d v="2023-11-30T00:00:00"/>
    <x v="1"/>
    <x v="1"/>
    <x v="0"/>
    <n v="5"/>
    <n v="50895"/>
    <n v="254475"/>
    <n v="254475"/>
  </r>
  <r>
    <n v="11162"/>
    <d v="2023-08-12T00:00:00"/>
    <x v="4"/>
    <x v="1"/>
    <x v="0"/>
    <n v="17"/>
    <n v="50010"/>
    <n v="850170"/>
    <n v="850170"/>
  </r>
  <r>
    <n v="11163"/>
    <d v="2023-08-31T00:00:00"/>
    <x v="0"/>
    <x v="0"/>
    <x v="5"/>
    <n v="14"/>
    <n v="17761"/>
    <n v="248654"/>
    <n v="248654"/>
  </r>
  <r>
    <n v="11164"/>
    <d v="2023-03-31T00:00:00"/>
    <x v="4"/>
    <x v="1"/>
    <x v="1"/>
    <n v="1"/>
    <n v="48804"/>
    <n v="48804"/>
    <n v="48804"/>
  </r>
  <r>
    <n v="11165"/>
    <d v="2023-10-22T00:00:00"/>
    <x v="1"/>
    <x v="3"/>
    <x v="5"/>
    <n v="5"/>
    <n v="50607"/>
    <n v="253035"/>
    <n v="253035"/>
  </r>
  <r>
    <n v="11166"/>
    <d v="2023-04-25T00:00:00"/>
    <x v="5"/>
    <x v="2"/>
    <x v="2"/>
    <n v="20"/>
    <n v="47547"/>
    <n v="950940"/>
    <n v="950940"/>
  </r>
  <r>
    <n v="11167"/>
    <d v="2023-07-30T00:00:00"/>
    <x v="3"/>
    <x v="3"/>
    <x v="4"/>
    <n v="1"/>
    <n v="18815"/>
    <n v="18815"/>
    <n v="18815"/>
  </r>
  <r>
    <n v="11168"/>
    <d v="2023-08-11T00:00:00"/>
    <x v="3"/>
    <x v="1"/>
    <x v="4"/>
    <n v="17"/>
    <n v="40969"/>
    <n v="696473"/>
    <n v="696473"/>
  </r>
  <r>
    <n v="11169"/>
    <d v="2023-10-13T00:00:00"/>
    <x v="3"/>
    <x v="0"/>
    <x v="1"/>
    <n v="8"/>
    <n v="31010"/>
    <n v="248080"/>
    <n v="248080"/>
  </r>
  <r>
    <n v="11170"/>
    <d v="2023-01-16T00:00:00"/>
    <x v="5"/>
    <x v="2"/>
    <x v="0"/>
    <n v="5"/>
    <n v="17356"/>
    <n v="86780"/>
    <n v="86780"/>
  </r>
  <r>
    <n v="11171"/>
    <d v="2023-03-26T00:00:00"/>
    <x v="2"/>
    <x v="1"/>
    <x v="5"/>
    <n v="12"/>
    <n v="31277"/>
    <n v="375324"/>
    <n v="375324"/>
  </r>
  <r>
    <n v="11172"/>
    <d v="2023-08-01T00:00:00"/>
    <x v="3"/>
    <x v="1"/>
    <x v="0"/>
    <n v="20"/>
    <n v="25605"/>
    <n v="512100"/>
    <n v="512100"/>
  </r>
  <r>
    <n v="11173"/>
    <d v="2023-11-03T00:00:00"/>
    <x v="6"/>
    <x v="2"/>
    <x v="1"/>
    <n v="5"/>
    <n v="49165"/>
    <n v="245825"/>
    <n v="245825"/>
  </r>
  <r>
    <n v="11174"/>
    <d v="2023-09-26T00:00:00"/>
    <x v="6"/>
    <x v="1"/>
    <x v="2"/>
    <n v="1"/>
    <n v="34256"/>
    <n v="34256"/>
    <n v="34256"/>
  </r>
  <r>
    <n v="11175"/>
    <d v="2023-11-05T00:00:00"/>
    <x v="4"/>
    <x v="1"/>
    <x v="5"/>
    <n v="18"/>
    <n v="52778"/>
    <n v="950004"/>
    <n v="950004"/>
  </r>
  <r>
    <n v="11176"/>
    <d v="2023-06-30T00:00:00"/>
    <x v="3"/>
    <x v="3"/>
    <x v="2"/>
    <n v="4"/>
    <n v="27204"/>
    <n v="108816"/>
    <n v="108816"/>
  </r>
  <r>
    <n v="11177"/>
    <d v="2023-07-07T00:00:00"/>
    <x v="5"/>
    <x v="1"/>
    <x v="2"/>
    <n v="14"/>
    <n v="28592"/>
    <n v="400288"/>
    <n v="400288"/>
  </r>
  <r>
    <n v="11178"/>
    <d v="2023-05-26T00:00:00"/>
    <x v="6"/>
    <x v="2"/>
    <x v="3"/>
    <n v="2"/>
    <n v="2902"/>
    <n v="5804"/>
    <n v="5804"/>
  </r>
  <r>
    <n v="11179"/>
    <d v="2023-11-10T00:00:00"/>
    <x v="6"/>
    <x v="1"/>
    <x v="4"/>
    <n v="13"/>
    <n v="39871"/>
    <n v="518323"/>
    <n v="518323"/>
  </r>
  <r>
    <n v="11180"/>
    <d v="2023-07-31T00:00:00"/>
    <x v="3"/>
    <x v="2"/>
    <x v="4"/>
    <n v="3"/>
    <n v="44728"/>
    <n v="134184"/>
    <n v="134184"/>
  </r>
  <r>
    <n v="11181"/>
    <d v="2023-01-14T00:00:00"/>
    <x v="5"/>
    <x v="3"/>
    <x v="3"/>
    <n v="12"/>
    <n v="41271"/>
    <n v="495252"/>
    <n v="495252"/>
  </r>
  <r>
    <n v="11182"/>
    <d v="2023-11-26T00:00:00"/>
    <x v="4"/>
    <x v="1"/>
    <x v="0"/>
    <n v="3"/>
    <n v="20609"/>
    <n v="61827"/>
    <n v="61827"/>
  </r>
  <r>
    <n v="11183"/>
    <d v="2023-06-24T00:00:00"/>
    <x v="0"/>
    <x v="3"/>
    <x v="0"/>
    <n v="16"/>
    <n v="23384"/>
    <n v="374144"/>
    <n v="374144"/>
  </r>
  <r>
    <n v="11184"/>
    <d v="2023-12-10T00:00:00"/>
    <x v="3"/>
    <x v="3"/>
    <x v="5"/>
    <n v="13"/>
    <n v="9720"/>
    <n v="126360"/>
    <n v="126360"/>
  </r>
  <r>
    <n v="11185"/>
    <d v="2023-07-26T00:00:00"/>
    <x v="2"/>
    <x v="0"/>
    <x v="0"/>
    <n v="13"/>
    <n v="36747"/>
    <n v="477711"/>
    <n v="477711"/>
  </r>
  <r>
    <n v="11186"/>
    <d v="2023-11-19T00:00:00"/>
    <x v="3"/>
    <x v="0"/>
    <x v="3"/>
    <n v="15"/>
    <n v="23463"/>
    <n v="351945"/>
    <n v="351945"/>
  </r>
  <r>
    <n v="11187"/>
    <d v="2023-01-04T00:00:00"/>
    <x v="1"/>
    <x v="0"/>
    <x v="1"/>
    <n v="3"/>
    <n v="36525"/>
    <n v="109575"/>
    <n v="109575"/>
  </r>
  <r>
    <n v="11188"/>
    <d v="2024-01-01T00:00:00"/>
    <x v="5"/>
    <x v="3"/>
    <x v="3"/>
    <n v="7"/>
    <n v="23941"/>
    <n v="167587"/>
    <n v="167587"/>
  </r>
  <r>
    <n v="11189"/>
    <d v="2023-02-18T00:00:00"/>
    <x v="2"/>
    <x v="1"/>
    <x v="1"/>
    <n v="6"/>
    <n v="33304"/>
    <n v="199824"/>
    <n v="199824"/>
  </r>
  <r>
    <n v="11190"/>
    <d v="2023-01-18T00:00:00"/>
    <x v="2"/>
    <x v="0"/>
    <x v="4"/>
    <n v="2"/>
    <n v="23303"/>
    <n v="46606"/>
    <n v="46606"/>
  </r>
  <r>
    <n v="11191"/>
    <d v="2023-10-27T00:00:00"/>
    <x v="6"/>
    <x v="1"/>
    <x v="5"/>
    <n v="10"/>
    <n v="55784"/>
    <n v="557840"/>
    <n v="557840"/>
  </r>
  <r>
    <n v="11192"/>
    <d v="2023-11-20T00:00:00"/>
    <x v="2"/>
    <x v="2"/>
    <x v="2"/>
    <n v="6"/>
    <n v="21534"/>
    <n v="129204"/>
    <n v="129204"/>
  </r>
  <r>
    <n v="11193"/>
    <d v="2023-08-03T00:00:00"/>
    <x v="4"/>
    <x v="2"/>
    <x v="4"/>
    <n v="14"/>
    <n v="48521"/>
    <n v="679294"/>
    <n v="679294"/>
  </r>
  <r>
    <n v="11194"/>
    <d v="2023-07-06T00:00:00"/>
    <x v="2"/>
    <x v="1"/>
    <x v="4"/>
    <n v="10"/>
    <n v="53827"/>
    <n v="538270"/>
    <n v="538270"/>
  </r>
  <r>
    <n v="11195"/>
    <d v="2023-03-13T00:00:00"/>
    <x v="1"/>
    <x v="2"/>
    <x v="5"/>
    <n v="18"/>
    <n v="43858"/>
    <n v="789444"/>
    <n v="789444"/>
  </r>
  <r>
    <n v="11196"/>
    <d v="2023-11-25T00:00:00"/>
    <x v="0"/>
    <x v="1"/>
    <x v="4"/>
    <n v="2"/>
    <n v="9805"/>
    <n v="19610"/>
    <n v="19610"/>
  </r>
  <r>
    <n v="11197"/>
    <d v="2023-05-30T00:00:00"/>
    <x v="2"/>
    <x v="3"/>
    <x v="3"/>
    <n v="16"/>
    <n v="47319"/>
    <n v="757104"/>
    <n v="757104"/>
  </r>
  <r>
    <n v="11198"/>
    <d v="2023-10-27T00:00:00"/>
    <x v="3"/>
    <x v="2"/>
    <x v="5"/>
    <n v="16"/>
    <n v="14855"/>
    <n v="237680"/>
    <n v="237680"/>
  </r>
  <r>
    <n v="11199"/>
    <d v="2023-08-05T00:00:00"/>
    <x v="1"/>
    <x v="1"/>
    <x v="4"/>
    <n v="16"/>
    <n v="7793"/>
    <n v="124688"/>
    <n v="124688"/>
  </r>
  <r>
    <n v="11200"/>
    <d v="2023-11-09T00:00:00"/>
    <x v="6"/>
    <x v="0"/>
    <x v="2"/>
    <n v="18"/>
    <n v="1519"/>
    <n v="27342"/>
    <n v="27342"/>
  </r>
  <r>
    <n v="11201"/>
    <d v="2023-11-03T00:00:00"/>
    <x v="1"/>
    <x v="1"/>
    <x v="5"/>
    <n v="20"/>
    <n v="23099"/>
    <n v="461980"/>
    <n v="461980"/>
  </r>
  <r>
    <n v="11202"/>
    <d v="2023-01-22T00:00:00"/>
    <x v="4"/>
    <x v="2"/>
    <x v="2"/>
    <n v="15"/>
    <n v="42697"/>
    <n v="640455"/>
    <n v="640455"/>
  </r>
  <r>
    <n v="11203"/>
    <d v="2023-04-06T00:00:00"/>
    <x v="4"/>
    <x v="2"/>
    <x v="1"/>
    <n v="10"/>
    <n v="47567"/>
    <n v="475670"/>
    <n v="475670"/>
  </r>
  <r>
    <n v="11204"/>
    <d v="2023-01-27T00:00:00"/>
    <x v="1"/>
    <x v="3"/>
    <x v="3"/>
    <n v="7"/>
    <n v="28156"/>
    <n v="197092"/>
    <n v="197092"/>
  </r>
  <r>
    <n v="11205"/>
    <d v="2023-11-19T00:00:00"/>
    <x v="2"/>
    <x v="0"/>
    <x v="0"/>
    <n v="5"/>
    <n v="11900"/>
    <n v="59500"/>
    <n v="59500"/>
  </r>
  <r>
    <n v="11206"/>
    <d v="2023-05-23T00:00:00"/>
    <x v="1"/>
    <x v="0"/>
    <x v="4"/>
    <n v="8"/>
    <n v="18669"/>
    <n v="149352"/>
    <n v="149352"/>
  </r>
  <r>
    <n v="11207"/>
    <d v="2023-09-18T00:00:00"/>
    <x v="1"/>
    <x v="2"/>
    <x v="1"/>
    <n v="3"/>
    <n v="56968"/>
    <n v="170904"/>
    <n v="170904"/>
  </r>
  <r>
    <n v="11208"/>
    <d v="2023-09-17T00:00:00"/>
    <x v="1"/>
    <x v="2"/>
    <x v="2"/>
    <n v="15"/>
    <n v="3205"/>
    <n v="48075"/>
    <n v="48075"/>
  </r>
  <r>
    <n v="11209"/>
    <d v="2023-01-05T00:00:00"/>
    <x v="5"/>
    <x v="3"/>
    <x v="3"/>
    <n v="7"/>
    <n v="51816"/>
    <n v="362712"/>
    <n v="362712"/>
  </r>
  <r>
    <n v="11210"/>
    <d v="2023-05-28T00:00:00"/>
    <x v="0"/>
    <x v="3"/>
    <x v="4"/>
    <n v="15"/>
    <n v="38282"/>
    <n v="574230"/>
    <n v="574230"/>
  </r>
  <r>
    <n v="11211"/>
    <d v="2023-06-09T00:00:00"/>
    <x v="4"/>
    <x v="1"/>
    <x v="5"/>
    <n v="14"/>
    <n v="36308"/>
    <n v="508312"/>
    <n v="508312"/>
  </r>
  <r>
    <n v="11212"/>
    <d v="2023-12-16T00:00:00"/>
    <x v="0"/>
    <x v="3"/>
    <x v="1"/>
    <n v="13"/>
    <n v="41064"/>
    <n v="533832"/>
    <n v="533832"/>
  </r>
  <r>
    <n v="11213"/>
    <d v="2023-12-29T00:00:00"/>
    <x v="1"/>
    <x v="3"/>
    <x v="5"/>
    <n v="7"/>
    <n v="1644"/>
    <n v="11508"/>
    <n v="11508"/>
  </r>
  <r>
    <n v="11214"/>
    <d v="2023-11-03T00:00:00"/>
    <x v="2"/>
    <x v="3"/>
    <x v="5"/>
    <n v="1"/>
    <n v="15527"/>
    <n v="15527"/>
    <n v="15527"/>
  </r>
  <r>
    <n v="11215"/>
    <d v="2023-01-22T00:00:00"/>
    <x v="1"/>
    <x v="0"/>
    <x v="3"/>
    <n v="17"/>
    <n v="15760"/>
    <n v="267920"/>
    <n v="267920"/>
  </r>
  <r>
    <n v="11216"/>
    <d v="2023-02-24T00:00:00"/>
    <x v="0"/>
    <x v="1"/>
    <x v="0"/>
    <n v="11"/>
    <n v="10325"/>
    <n v="113575"/>
    <n v="113575"/>
  </r>
  <r>
    <n v="11217"/>
    <d v="2023-08-31T00:00:00"/>
    <x v="6"/>
    <x v="1"/>
    <x v="2"/>
    <n v="16"/>
    <n v="6686"/>
    <n v="106976"/>
    <n v="106976"/>
  </r>
  <r>
    <n v="11218"/>
    <d v="2023-10-19T00:00:00"/>
    <x v="5"/>
    <x v="2"/>
    <x v="4"/>
    <n v="2"/>
    <n v="9351"/>
    <n v="18702"/>
    <n v="18702"/>
  </r>
  <r>
    <n v="11219"/>
    <d v="2023-11-15T00:00:00"/>
    <x v="0"/>
    <x v="2"/>
    <x v="2"/>
    <n v="3"/>
    <n v="45979"/>
    <n v="137937"/>
    <n v="137937"/>
  </r>
  <r>
    <n v="11220"/>
    <d v="2023-12-12T00:00:00"/>
    <x v="5"/>
    <x v="3"/>
    <x v="2"/>
    <n v="10"/>
    <n v="1146"/>
    <n v="11460"/>
    <n v="11460"/>
  </r>
  <r>
    <n v="11221"/>
    <d v="2023-07-25T00:00:00"/>
    <x v="1"/>
    <x v="3"/>
    <x v="3"/>
    <n v="9"/>
    <n v="22268"/>
    <n v="200412"/>
    <n v="200412"/>
  </r>
  <r>
    <n v="11222"/>
    <d v="2023-12-12T00:00:00"/>
    <x v="2"/>
    <x v="0"/>
    <x v="4"/>
    <n v="1"/>
    <n v="29898"/>
    <n v="29898"/>
    <n v="29898"/>
  </r>
  <r>
    <n v="11223"/>
    <d v="2023-05-19T00:00:00"/>
    <x v="2"/>
    <x v="3"/>
    <x v="0"/>
    <n v="8"/>
    <n v="7848"/>
    <n v="62784"/>
    <n v="62784"/>
  </r>
  <r>
    <n v="11224"/>
    <d v="2023-04-05T00:00:00"/>
    <x v="4"/>
    <x v="1"/>
    <x v="2"/>
    <n v="19"/>
    <n v="56981"/>
    <n v="1082639"/>
    <n v="1082639"/>
  </r>
  <r>
    <n v="11225"/>
    <d v="2023-09-15T00:00:00"/>
    <x v="3"/>
    <x v="2"/>
    <x v="5"/>
    <n v="3"/>
    <n v="43691"/>
    <n v="131073"/>
    <n v="131073"/>
  </r>
  <r>
    <n v="11226"/>
    <d v="2023-01-01T00:00:00"/>
    <x v="1"/>
    <x v="1"/>
    <x v="0"/>
    <n v="15"/>
    <n v="14332"/>
    <n v="214980"/>
    <n v="214980"/>
  </r>
  <r>
    <n v="11227"/>
    <d v="2023-03-27T00:00:00"/>
    <x v="3"/>
    <x v="0"/>
    <x v="4"/>
    <n v="16"/>
    <n v="55593"/>
    <n v="889488"/>
    <n v="889488"/>
  </r>
  <r>
    <n v="11228"/>
    <d v="2023-12-13T00:00:00"/>
    <x v="1"/>
    <x v="3"/>
    <x v="3"/>
    <n v="16"/>
    <n v="16417"/>
    <n v="262672"/>
    <n v="262672"/>
  </r>
  <r>
    <n v="11229"/>
    <d v="2023-03-25T00:00:00"/>
    <x v="1"/>
    <x v="0"/>
    <x v="0"/>
    <n v="6"/>
    <n v="54846"/>
    <n v="329076"/>
    <n v="329076"/>
  </r>
  <r>
    <n v="11230"/>
    <d v="2023-02-28T00:00:00"/>
    <x v="6"/>
    <x v="0"/>
    <x v="5"/>
    <n v="8"/>
    <n v="18683"/>
    <n v="149464"/>
    <n v="149464"/>
  </r>
  <r>
    <n v="11231"/>
    <d v="2023-01-01T00:00:00"/>
    <x v="1"/>
    <x v="0"/>
    <x v="3"/>
    <n v="14"/>
    <n v="37672"/>
    <n v="527408"/>
    <n v="527408"/>
  </r>
  <r>
    <n v="11232"/>
    <d v="2023-04-12T00:00:00"/>
    <x v="6"/>
    <x v="1"/>
    <x v="0"/>
    <n v="18"/>
    <n v="37946"/>
    <n v="683028"/>
    <n v="683028"/>
  </r>
  <r>
    <n v="11233"/>
    <d v="2023-10-04T00:00:00"/>
    <x v="3"/>
    <x v="3"/>
    <x v="4"/>
    <n v="11"/>
    <n v="41411"/>
    <n v="455521"/>
    <n v="455521"/>
  </r>
  <r>
    <n v="11234"/>
    <d v="2023-08-30T00:00:00"/>
    <x v="0"/>
    <x v="1"/>
    <x v="2"/>
    <n v="1"/>
    <n v="36003"/>
    <n v="36003"/>
    <n v="36003"/>
  </r>
  <r>
    <n v="11235"/>
    <d v="2023-10-30T00:00:00"/>
    <x v="6"/>
    <x v="3"/>
    <x v="3"/>
    <n v="11"/>
    <n v="38602"/>
    <n v="424622"/>
    <n v="424622"/>
  </r>
  <r>
    <n v="11236"/>
    <d v="2023-08-28T00:00:00"/>
    <x v="5"/>
    <x v="3"/>
    <x v="0"/>
    <n v="14"/>
    <n v="46244"/>
    <n v="647416"/>
    <n v="647416"/>
  </r>
  <r>
    <n v="11237"/>
    <d v="2023-12-27T00:00:00"/>
    <x v="0"/>
    <x v="0"/>
    <x v="0"/>
    <n v="4"/>
    <n v="13326"/>
    <n v="53304"/>
    <n v="53304"/>
  </r>
  <r>
    <n v="11238"/>
    <d v="2023-02-04T00:00:00"/>
    <x v="3"/>
    <x v="0"/>
    <x v="2"/>
    <n v="12"/>
    <n v="40608"/>
    <n v="487296"/>
    <n v="487296"/>
  </r>
  <r>
    <n v="11239"/>
    <d v="2023-06-21T00:00:00"/>
    <x v="2"/>
    <x v="0"/>
    <x v="1"/>
    <n v="18"/>
    <n v="54094"/>
    <n v="973692"/>
    <n v="973692"/>
  </r>
  <r>
    <n v="11240"/>
    <d v="2023-10-11T00:00:00"/>
    <x v="0"/>
    <x v="1"/>
    <x v="4"/>
    <n v="9"/>
    <n v="52599"/>
    <n v="473391"/>
    <n v="473391"/>
  </r>
  <r>
    <n v="11241"/>
    <d v="2023-09-12T00:00:00"/>
    <x v="2"/>
    <x v="3"/>
    <x v="0"/>
    <n v="13"/>
    <n v="9653"/>
    <n v="125489"/>
    <n v="125489"/>
  </r>
  <r>
    <n v="11242"/>
    <d v="2023-06-05T00:00:00"/>
    <x v="3"/>
    <x v="3"/>
    <x v="3"/>
    <n v="7"/>
    <n v="4822"/>
    <n v="33754"/>
    <n v="33754"/>
  </r>
  <r>
    <n v="11243"/>
    <d v="2023-09-15T00:00:00"/>
    <x v="5"/>
    <x v="3"/>
    <x v="1"/>
    <n v="17"/>
    <n v="54748"/>
    <n v="930716"/>
    <n v="930716"/>
  </r>
  <r>
    <n v="11244"/>
    <d v="2023-04-26T00:00:00"/>
    <x v="3"/>
    <x v="0"/>
    <x v="1"/>
    <n v="9"/>
    <n v="30799"/>
    <n v="277191"/>
    <n v="277191"/>
  </r>
  <r>
    <n v="11245"/>
    <d v="2023-04-06T00:00:00"/>
    <x v="3"/>
    <x v="1"/>
    <x v="4"/>
    <n v="13"/>
    <n v="36214"/>
    <n v="470782"/>
    <n v="470782"/>
  </r>
  <r>
    <n v="11246"/>
    <d v="2023-07-17T00:00:00"/>
    <x v="3"/>
    <x v="1"/>
    <x v="2"/>
    <n v="16"/>
    <n v="4148"/>
    <n v="66368"/>
    <n v="66368"/>
  </r>
  <r>
    <n v="11247"/>
    <d v="2023-03-03T00:00:00"/>
    <x v="6"/>
    <x v="1"/>
    <x v="0"/>
    <n v="19"/>
    <n v="59089"/>
    <n v="1122691"/>
    <n v="1122691"/>
  </r>
  <r>
    <n v="11248"/>
    <d v="2023-05-22T00:00:00"/>
    <x v="6"/>
    <x v="2"/>
    <x v="0"/>
    <n v="15"/>
    <n v="55329"/>
    <n v="829935"/>
    <n v="829935"/>
  </r>
  <r>
    <n v="11249"/>
    <d v="2023-06-07T00:00:00"/>
    <x v="1"/>
    <x v="1"/>
    <x v="4"/>
    <n v="11"/>
    <n v="5834"/>
    <n v="64174"/>
    <n v="64174"/>
  </r>
  <r>
    <n v="11250"/>
    <d v="2023-03-20T00:00:00"/>
    <x v="0"/>
    <x v="2"/>
    <x v="5"/>
    <n v="4"/>
    <n v="24092"/>
    <n v="96368"/>
    <n v="96368"/>
  </r>
  <r>
    <n v="11251"/>
    <d v="2023-07-18T00:00:00"/>
    <x v="0"/>
    <x v="1"/>
    <x v="2"/>
    <n v="18"/>
    <n v="40080"/>
    <n v="721440"/>
    <n v="721440"/>
  </r>
  <r>
    <n v="11252"/>
    <d v="2023-10-13T00:00:00"/>
    <x v="3"/>
    <x v="3"/>
    <x v="4"/>
    <n v="9"/>
    <n v="16280"/>
    <n v="146520"/>
    <n v="146520"/>
  </r>
  <r>
    <n v="11253"/>
    <d v="2023-05-27T00:00:00"/>
    <x v="1"/>
    <x v="3"/>
    <x v="2"/>
    <n v="19"/>
    <n v="21284"/>
    <n v="404396"/>
    <n v="404396"/>
  </r>
  <r>
    <n v="11254"/>
    <d v="2023-03-14T00:00:00"/>
    <x v="2"/>
    <x v="0"/>
    <x v="3"/>
    <n v="10"/>
    <n v="13966"/>
    <n v="139660"/>
    <n v="139660"/>
  </r>
  <r>
    <n v="11255"/>
    <d v="2023-04-02T00:00:00"/>
    <x v="5"/>
    <x v="1"/>
    <x v="0"/>
    <n v="10"/>
    <n v="18300"/>
    <n v="183000"/>
    <n v="183000"/>
  </r>
  <r>
    <n v="11256"/>
    <d v="2023-05-01T00:00:00"/>
    <x v="2"/>
    <x v="1"/>
    <x v="1"/>
    <n v="1"/>
    <n v="9464"/>
    <n v="9464"/>
    <n v="9464"/>
  </r>
  <r>
    <n v="11257"/>
    <d v="2023-12-24T00:00:00"/>
    <x v="3"/>
    <x v="2"/>
    <x v="3"/>
    <n v="19"/>
    <n v="35197"/>
    <n v="668743"/>
    <n v="668743"/>
  </r>
  <r>
    <n v="11258"/>
    <d v="2023-08-21T00:00:00"/>
    <x v="4"/>
    <x v="2"/>
    <x v="3"/>
    <n v="12"/>
    <n v="1966"/>
    <n v="23592"/>
    <n v="23592"/>
  </r>
  <r>
    <n v="11259"/>
    <d v="2023-01-18T00:00:00"/>
    <x v="5"/>
    <x v="0"/>
    <x v="0"/>
    <n v="12"/>
    <n v="28028"/>
    <n v="336336"/>
    <n v="336336"/>
  </r>
  <r>
    <n v="11260"/>
    <d v="2023-06-03T00:00:00"/>
    <x v="4"/>
    <x v="1"/>
    <x v="2"/>
    <n v="19"/>
    <n v="33577"/>
    <n v="637963"/>
    <n v="637963"/>
  </r>
  <r>
    <n v="11261"/>
    <d v="2023-06-04T00:00:00"/>
    <x v="6"/>
    <x v="3"/>
    <x v="0"/>
    <n v="13"/>
    <n v="34095"/>
    <n v="443235"/>
    <n v="443235"/>
  </r>
  <r>
    <n v="11262"/>
    <d v="2023-02-20T00:00:00"/>
    <x v="2"/>
    <x v="3"/>
    <x v="0"/>
    <n v="9"/>
    <n v="7108"/>
    <n v="63972"/>
    <n v="63972"/>
  </r>
  <r>
    <n v="11263"/>
    <d v="2023-11-02T00:00:00"/>
    <x v="2"/>
    <x v="0"/>
    <x v="0"/>
    <n v="20"/>
    <n v="24548"/>
    <n v="490960"/>
    <n v="490960"/>
  </r>
  <r>
    <n v="11264"/>
    <d v="2023-12-06T00:00:00"/>
    <x v="0"/>
    <x v="0"/>
    <x v="3"/>
    <n v="7"/>
    <n v="39427"/>
    <n v="275989"/>
    <n v="275989"/>
  </r>
  <r>
    <n v="11265"/>
    <d v="2023-05-04T00:00:00"/>
    <x v="4"/>
    <x v="0"/>
    <x v="3"/>
    <n v="10"/>
    <n v="24685"/>
    <n v="246850"/>
    <n v="246850"/>
  </r>
  <r>
    <n v="11266"/>
    <d v="2023-10-10T00:00:00"/>
    <x v="6"/>
    <x v="2"/>
    <x v="1"/>
    <n v="4"/>
    <n v="56741"/>
    <n v="226964"/>
    <n v="226964"/>
  </r>
  <r>
    <n v="11267"/>
    <d v="2023-02-13T00:00:00"/>
    <x v="2"/>
    <x v="3"/>
    <x v="3"/>
    <n v="5"/>
    <n v="26033"/>
    <n v="130165"/>
    <n v="130165"/>
  </r>
  <r>
    <n v="11268"/>
    <d v="2023-10-19T00:00:00"/>
    <x v="0"/>
    <x v="3"/>
    <x v="0"/>
    <n v="19"/>
    <n v="30507"/>
    <n v="579633"/>
    <n v="579633"/>
  </r>
  <r>
    <n v="11269"/>
    <d v="2023-02-06T00:00:00"/>
    <x v="1"/>
    <x v="1"/>
    <x v="2"/>
    <n v="14"/>
    <n v="6868"/>
    <n v="96152"/>
    <n v="96152"/>
  </r>
  <r>
    <n v="11270"/>
    <d v="2023-02-27T00:00:00"/>
    <x v="2"/>
    <x v="2"/>
    <x v="3"/>
    <n v="10"/>
    <n v="52931"/>
    <n v="529310"/>
    <n v="529310"/>
  </r>
  <r>
    <n v="11271"/>
    <d v="2023-08-11T00:00:00"/>
    <x v="6"/>
    <x v="2"/>
    <x v="2"/>
    <n v="9"/>
    <n v="10577"/>
    <n v="95193"/>
    <n v="95193"/>
  </r>
  <r>
    <n v="11272"/>
    <d v="2023-08-17T00:00:00"/>
    <x v="5"/>
    <x v="1"/>
    <x v="0"/>
    <n v="19"/>
    <n v="2778"/>
    <n v="52782"/>
    <n v="52782"/>
  </r>
  <r>
    <n v="11273"/>
    <d v="2023-02-18T00:00:00"/>
    <x v="4"/>
    <x v="0"/>
    <x v="3"/>
    <n v="5"/>
    <n v="15973"/>
    <n v="79865"/>
    <n v="79865"/>
  </r>
  <r>
    <n v="11274"/>
    <d v="2023-04-23T00:00:00"/>
    <x v="4"/>
    <x v="0"/>
    <x v="5"/>
    <n v="4"/>
    <n v="11481"/>
    <n v="45924"/>
    <n v="45924"/>
  </r>
  <r>
    <n v="11275"/>
    <d v="2023-05-01T00:00:00"/>
    <x v="3"/>
    <x v="0"/>
    <x v="4"/>
    <n v="8"/>
    <n v="55180"/>
    <n v="441440"/>
    <n v="441440"/>
  </r>
  <r>
    <n v="11276"/>
    <d v="2023-05-21T00:00:00"/>
    <x v="6"/>
    <x v="3"/>
    <x v="5"/>
    <n v="15"/>
    <n v="46319"/>
    <n v="694785"/>
    <n v="694785"/>
  </r>
  <r>
    <n v="11277"/>
    <d v="2023-04-02T00:00:00"/>
    <x v="3"/>
    <x v="1"/>
    <x v="0"/>
    <n v="1"/>
    <n v="16450"/>
    <n v="16450"/>
    <n v="16450"/>
  </r>
  <r>
    <n v="11278"/>
    <d v="2023-05-28T00:00:00"/>
    <x v="0"/>
    <x v="1"/>
    <x v="1"/>
    <n v="9"/>
    <n v="27507"/>
    <n v="247563"/>
    <n v="247563"/>
  </r>
  <r>
    <n v="11279"/>
    <d v="2023-10-23T00:00:00"/>
    <x v="2"/>
    <x v="1"/>
    <x v="5"/>
    <n v="10"/>
    <n v="42763"/>
    <n v="427630"/>
    <n v="427630"/>
  </r>
  <r>
    <n v="11280"/>
    <d v="2023-01-23T00:00:00"/>
    <x v="6"/>
    <x v="2"/>
    <x v="3"/>
    <n v="12"/>
    <n v="34963"/>
    <n v="419556"/>
    <n v="419556"/>
  </r>
  <r>
    <n v="11281"/>
    <d v="2023-05-24T00:00:00"/>
    <x v="5"/>
    <x v="2"/>
    <x v="4"/>
    <n v="7"/>
    <n v="7191"/>
    <n v="50337"/>
    <n v="50337"/>
  </r>
  <r>
    <n v="11282"/>
    <d v="2023-02-28T00:00:00"/>
    <x v="4"/>
    <x v="2"/>
    <x v="1"/>
    <n v="1"/>
    <n v="52154"/>
    <n v="52154"/>
    <n v="52154"/>
  </r>
  <r>
    <n v="11283"/>
    <d v="2023-02-12T00:00:00"/>
    <x v="5"/>
    <x v="0"/>
    <x v="4"/>
    <n v="1"/>
    <n v="56643"/>
    <n v="56643"/>
    <n v="56643"/>
  </r>
  <r>
    <n v="11284"/>
    <d v="2023-10-23T00:00:00"/>
    <x v="1"/>
    <x v="2"/>
    <x v="4"/>
    <n v="14"/>
    <n v="14237"/>
    <n v="199318"/>
    <n v="199318"/>
  </r>
  <r>
    <n v="11285"/>
    <d v="2023-10-19T00:00:00"/>
    <x v="2"/>
    <x v="2"/>
    <x v="5"/>
    <n v="14"/>
    <n v="48585"/>
    <n v="680190"/>
    <n v="680190"/>
  </r>
  <r>
    <n v="11286"/>
    <d v="2023-07-21T00:00:00"/>
    <x v="0"/>
    <x v="3"/>
    <x v="1"/>
    <n v="5"/>
    <n v="41595"/>
    <n v="207975"/>
    <n v="207975"/>
  </r>
  <r>
    <n v="11287"/>
    <d v="2023-03-29T00:00:00"/>
    <x v="3"/>
    <x v="1"/>
    <x v="1"/>
    <n v="13"/>
    <n v="2407"/>
    <n v="31291"/>
    <n v="31291"/>
  </r>
  <r>
    <n v="11288"/>
    <d v="2023-01-04T00:00:00"/>
    <x v="6"/>
    <x v="1"/>
    <x v="3"/>
    <n v="7"/>
    <n v="22432"/>
    <n v="157024"/>
    <n v="157024"/>
  </r>
  <r>
    <n v="11289"/>
    <d v="2023-11-26T00:00:00"/>
    <x v="0"/>
    <x v="1"/>
    <x v="2"/>
    <n v="5"/>
    <n v="52271"/>
    <n v="261355"/>
    <n v="261355"/>
  </r>
  <r>
    <n v="11290"/>
    <d v="2023-05-03T00:00:00"/>
    <x v="6"/>
    <x v="2"/>
    <x v="0"/>
    <n v="2"/>
    <n v="15238"/>
    <n v="30476"/>
    <n v="30476"/>
  </r>
  <r>
    <n v="11291"/>
    <d v="2023-10-12T00:00:00"/>
    <x v="3"/>
    <x v="1"/>
    <x v="0"/>
    <n v="10"/>
    <n v="55243"/>
    <n v="552430"/>
    <n v="552430"/>
  </r>
  <r>
    <n v="11292"/>
    <d v="2023-09-27T00:00:00"/>
    <x v="5"/>
    <x v="2"/>
    <x v="2"/>
    <n v="5"/>
    <n v="2235"/>
    <n v="11175"/>
    <n v="11175"/>
  </r>
  <r>
    <n v="11293"/>
    <d v="2023-07-21T00:00:00"/>
    <x v="1"/>
    <x v="2"/>
    <x v="4"/>
    <n v="11"/>
    <n v="1498"/>
    <n v="16478"/>
    <n v="16478"/>
  </r>
  <r>
    <n v="11294"/>
    <d v="2024-01-01T00:00:00"/>
    <x v="4"/>
    <x v="3"/>
    <x v="3"/>
    <n v="8"/>
    <n v="17447"/>
    <n v="139576"/>
    <n v="139576"/>
  </r>
  <r>
    <n v="11295"/>
    <d v="2023-08-02T00:00:00"/>
    <x v="3"/>
    <x v="0"/>
    <x v="4"/>
    <n v="2"/>
    <n v="24879"/>
    <n v="49758"/>
    <n v="49758"/>
  </r>
  <r>
    <n v="11296"/>
    <d v="2023-02-10T00:00:00"/>
    <x v="2"/>
    <x v="2"/>
    <x v="4"/>
    <n v="10"/>
    <n v="6512"/>
    <n v="65120"/>
    <n v="65120"/>
  </r>
  <r>
    <n v="11297"/>
    <d v="2023-05-08T00:00:00"/>
    <x v="5"/>
    <x v="2"/>
    <x v="2"/>
    <n v="15"/>
    <n v="38641"/>
    <n v="579615"/>
    <n v="579615"/>
  </r>
  <r>
    <n v="11298"/>
    <d v="2023-10-30T00:00:00"/>
    <x v="2"/>
    <x v="1"/>
    <x v="3"/>
    <n v="9"/>
    <n v="8513"/>
    <n v="76617"/>
    <n v="76617"/>
  </r>
  <r>
    <n v="11299"/>
    <d v="2023-01-17T00:00:00"/>
    <x v="4"/>
    <x v="3"/>
    <x v="1"/>
    <n v="4"/>
    <n v="13979"/>
    <n v="55916"/>
    <n v="55916"/>
  </r>
  <r>
    <n v="11300"/>
    <d v="2023-09-25T00:00:00"/>
    <x v="2"/>
    <x v="3"/>
    <x v="2"/>
    <n v="3"/>
    <n v="6163"/>
    <n v="18489"/>
    <n v="18489"/>
  </r>
  <r>
    <n v="11301"/>
    <d v="2023-12-18T00:00:00"/>
    <x v="1"/>
    <x v="0"/>
    <x v="4"/>
    <n v="13"/>
    <n v="50244"/>
    <n v="653172"/>
    <n v="653172"/>
  </r>
  <r>
    <n v="11302"/>
    <d v="2023-07-03T00:00:00"/>
    <x v="3"/>
    <x v="2"/>
    <x v="4"/>
    <n v="8"/>
    <n v="39697"/>
    <n v="317576"/>
    <n v="317576"/>
  </r>
  <r>
    <n v="11303"/>
    <d v="2023-03-26T00:00:00"/>
    <x v="2"/>
    <x v="3"/>
    <x v="4"/>
    <n v="13"/>
    <n v="34139"/>
    <n v="443807"/>
    <n v="443807"/>
  </r>
  <r>
    <n v="11304"/>
    <d v="2023-11-18T00:00:00"/>
    <x v="1"/>
    <x v="2"/>
    <x v="5"/>
    <n v="3"/>
    <n v="49061"/>
    <n v="147183"/>
    <n v="147183"/>
  </r>
  <r>
    <n v="11305"/>
    <d v="2023-08-28T00:00:00"/>
    <x v="6"/>
    <x v="1"/>
    <x v="0"/>
    <n v="2"/>
    <n v="31385"/>
    <n v="62770"/>
    <n v="62770"/>
  </r>
  <r>
    <n v="11306"/>
    <d v="2023-07-07T00:00:00"/>
    <x v="0"/>
    <x v="2"/>
    <x v="5"/>
    <n v="8"/>
    <n v="14613"/>
    <n v="116904"/>
    <n v="116904"/>
  </r>
  <r>
    <n v="11307"/>
    <d v="2023-08-25T00:00:00"/>
    <x v="0"/>
    <x v="1"/>
    <x v="4"/>
    <n v="16"/>
    <n v="31388"/>
    <n v="502208"/>
    <n v="502208"/>
  </r>
  <r>
    <n v="11308"/>
    <d v="2023-01-04T00:00:00"/>
    <x v="0"/>
    <x v="0"/>
    <x v="1"/>
    <n v="15"/>
    <n v="59111"/>
    <n v="886665"/>
    <n v="886665"/>
  </r>
  <r>
    <n v="11309"/>
    <d v="2023-03-18T00:00:00"/>
    <x v="1"/>
    <x v="0"/>
    <x v="0"/>
    <n v="9"/>
    <n v="34893"/>
    <n v="314037"/>
    <n v="314037"/>
  </r>
  <r>
    <n v="11310"/>
    <d v="2023-02-19T00:00:00"/>
    <x v="2"/>
    <x v="2"/>
    <x v="0"/>
    <n v="12"/>
    <n v="10365"/>
    <n v="124380"/>
    <n v="124380"/>
  </r>
  <r>
    <n v="11311"/>
    <d v="2023-02-05T00:00:00"/>
    <x v="4"/>
    <x v="3"/>
    <x v="0"/>
    <n v="4"/>
    <n v="7498"/>
    <n v="29992"/>
    <n v="29992"/>
  </r>
  <r>
    <n v="11312"/>
    <d v="2023-05-29T00:00:00"/>
    <x v="5"/>
    <x v="3"/>
    <x v="2"/>
    <n v="13"/>
    <n v="48354"/>
    <n v="628602"/>
    <n v="628602"/>
  </r>
  <r>
    <n v="11313"/>
    <d v="2023-05-29T00:00:00"/>
    <x v="1"/>
    <x v="0"/>
    <x v="0"/>
    <n v="2"/>
    <n v="32585"/>
    <n v="65170"/>
    <n v="65170"/>
  </r>
  <r>
    <n v="11314"/>
    <d v="2023-06-18T00:00:00"/>
    <x v="2"/>
    <x v="1"/>
    <x v="0"/>
    <n v="16"/>
    <n v="50854"/>
    <n v="813664"/>
    <n v="813664"/>
  </r>
  <r>
    <n v="11315"/>
    <d v="2023-06-18T00:00:00"/>
    <x v="6"/>
    <x v="0"/>
    <x v="3"/>
    <n v="8"/>
    <n v="57873"/>
    <n v="462984"/>
    <n v="462984"/>
  </r>
  <r>
    <n v="11316"/>
    <d v="2023-12-31T00:00:00"/>
    <x v="0"/>
    <x v="2"/>
    <x v="3"/>
    <n v="9"/>
    <n v="7533"/>
    <n v="67797"/>
    <n v="67797"/>
  </r>
  <r>
    <n v="11317"/>
    <d v="2023-03-26T00:00:00"/>
    <x v="6"/>
    <x v="1"/>
    <x v="3"/>
    <n v="8"/>
    <n v="19620"/>
    <n v="156960"/>
    <n v="156960"/>
  </r>
  <r>
    <n v="11318"/>
    <d v="2023-02-23T00:00:00"/>
    <x v="2"/>
    <x v="3"/>
    <x v="4"/>
    <n v="6"/>
    <n v="56569"/>
    <n v="339414"/>
    <n v="339414"/>
  </r>
  <r>
    <n v="11319"/>
    <d v="2023-05-19T00:00:00"/>
    <x v="2"/>
    <x v="3"/>
    <x v="3"/>
    <n v="2"/>
    <n v="17964"/>
    <n v="35928"/>
    <n v="35928"/>
  </r>
  <r>
    <n v="11320"/>
    <d v="2023-09-10T00:00:00"/>
    <x v="4"/>
    <x v="2"/>
    <x v="0"/>
    <n v="18"/>
    <n v="34259"/>
    <n v="616662"/>
    <n v="616662"/>
  </r>
  <r>
    <n v="11321"/>
    <d v="2023-04-25T00:00:00"/>
    <x v="4"/>
    <x v="1"/>
    <x v="4"/>
    <n v="10"/>
    <n v="30667"/>
    <n v="306670"/>
    <n v="306670"/>
  </r>
  <r>
    <n v="11322"/>
    <d v="2023-05-19T00:00:00"/>
    <x v="0"/>
    <x v="3"/>
    <x v="5"/>
    <n v="17"/>
    <n v="29887"/>
    <n v="508079"/>
    <n v="508079"/>
  </r>
  <r>
    <n v="11323"/>
    <d v="2023-10-09T00:00:00"/>
    <x v="5"/>
    <x v="3"/>
    <x v="4"/>
    <n v="20"/>
    <n v="21830"/>
    <n v="436600"/>
    <n v="436600"/>
  </r>
  <r>
    <n v="11324"/>
    <d v="2023-04-19T00:00:00"/>
    <x v="5"/>
    <x v="1"/>
    <x v="3"/>
    <n v="8"/>
    <n v="7948"/>
    <n v="63584"/>
    <n v="63584"/>
  </r>
  <r>
    <n v="11325"/>
    <d v="2023-04-20T00:00:00"/>
    <x v="0"/>
    <x v="3"/>
    <x v="5"/>
    <n v="11"/>
    <n v="53230"/>
    <n v="585530"/>
    <n v="585530"/>
  </r>
  <r>
    <n v="11326"/>
    <d v="2023-08-03T00:00:00"/>
    <x v="3"/>
    <x v="0"/>
    <x v="4"/>
    <n v="19"/>
    <n v="18682"/>
    <n v="354958"/>
    <n v="354958"/>
  </r>
  <r>
    <n v="11327"/>
    <d v="2023-09-06T00:00:00"/>
    <x v="1"/>
    <x v="1"/>
    <x v="3"/>
    <n v="7"/>
    <n v="644"/>
    <n v="4508"/>
    <n v="4508"/>
  </r>
  <r>
    <n v="11328"/>
    <d v="2023-03-26T00:00:00"/>
    <x v="3"/>
    <x v="2"/>
    <x v="5"/>
    <n v="1"/>
    <n v="59161"/>
    <n v="59161"/>
    <n v="59161"/>
  </r>
  <r>
    <n v="11329"/>
    <d v="2023-12-29T00:00:00"/>
    <x v="6"/>
    <x v="1"/>
    <x v="2"/>
    <n v="16"/>
    <n v="52148"/>
    <n v="834368"/>
    <n v="834368"/>
  </r>
  <r>
    <n v="11330"/>
    <d v="2023-04-11T00:00:00"/>
    <x v="6"/>
    <x v="0"/>
    <x v="4"/>
    <n v="20"/>
    <n v="8968"/>
    <n v="179360"/>
    <n v="179360"/>
  </r>
  <r>
    <n v="11331"/>
    <d v="2023-06-17T00:00:00"/>
    <x v="1"/>
    <x v="0"/>
    <x v="1"/>
    <n v="19"/>
    <n v="10656"/>
    <n v="202464"/>
    <n v="202464"/>
  </r>
  <r>
    <n v="11332"/>
    <d v="2023-10-03T00:00:00"/>
    <x v="1"/>
    <x v="0"/>
    <x v="1"/>
    <n v="14"/>
    <n v="15851"/>
    <n v="221914"/>
    <n v="221914"/>
  </r>
  <r>
    <n v="11333"/>
    <d v="2023-03-12T00:00:00"/>
    <x v="5"/>
    <x v="3"/>
    <x v="1"/>
    <n v="18"/>
    <n v="23567"/>
    <n v="424206"/>
    <n v="424206"/>
  </r>
  <r>
    <n v="11334"/>
    <d v="2023-05-30T00:00:00"/>
    <x v="5"/>
    <x v="2"/>
    <x v="1"/>
    <n v="2"/>
    <n v="55752"/>
    <n v="111504"/>
    <n v="111504"/>
  </r>
  <r>
    <n v="11335"/>
    <d v="2023-07-22T00:00:00"/>
    <x v="3"/>
    <x v="2"/>
    <x v="5"/>
    <n v="2"/>
    <n v="22892"/>
    <n v="45784"/>
    <n v="45784"/>
  </r>
  <r>
    <n v="11336"/>
    <d v="2023-01-18T00:00:00"/>
    <x v="1"/>
    <x v="3"/>
    <x v="5"/>
    <n v="10"/>
    <n v="1137"/>
    <n v="11370"/>
    <n v="11370"/>
  </r>
  <r>
    <n v="11337"/>
    <d v="2023-07-02T00:00:00"/>
    <x v="4"/>
    <x v="2"/>
    <x v="5"/>
    <n v="18"/>
    <n v="37012"/>
    <n v="666216"/>
    <n v="666216"/>
  </r>
  <r>
    <n v="11338"/>
    <d v="2023-02-06T00:00:00"/>
    <x v="2"/>
    <x v="2"/>
    <x v="0"/>
    <n v="13"/>
    <n v="22745"/>
    <n v="295685"/>
    <n v="295685"/>
  </r>
  <r>
    <n v="11339"/>
    <d v="2023-01-31T00:00:00"/>
    <x v="3"/>
    <x v="0"/>
    <x v="0"/>
    <n v="9"/>
    <n v="28906"/>
    <n v="260154"/>
    <n v="260154"/>
  </r>
  <r>
    <n v="11340"/>
    <d v="2023-12-11T00:00:00"/>
    <x v="1"/>
    <x v="1"/>
    <x v="4"/>
    <n v="6"/>
    <n v="26257"/>
    <n v="157542"/>
    <n v="157542"/>
  </r>
  <r>
    <n v="11341"/>
    <d v="2023-12-22T00:00:00"/>
    <x v="6"/>
    <x v="3"/>
    <x v="4"/>
    <n v="11"/>
    <n v="17432"/>
    <n v="191752"/>
    <n v="191752"/>
  </r>
  <r>
    <n v="11342"/>
    <d v="2023-11-28T00:00:00"/>
    <x v="1"/>
    <x v="0"/>
    <x v="5"/>
    <n v="2"/>
    <n v="13951"/>
    <n v="27902"/>
    <n v="27902"/>
  </r>
  <r>
    <n v="11343"/>
    <d v="2023-01-14T00:00:00"/>
    <x v="5"/>
    <x v="3"/>
    <x v="3"/>
    <n v="10"/>
    <n v="26612"/>
    <n v="266120"/>
    <n v="266120"/>
  </r>
  <r>
    <n v="11344"/>
    <d v="2023-04-23T00:00:00"/>
    <x v="1"/>
    <x v="2"/>
    <x v="4"/>
    <n v="20"/>
    <n v="25765"/>
    <n v="515300"/>
    <n v="515300"/>
  </r>
  <r>
    <n v="11345"/>
    <d v="2023-01-30T00:00:00"/>
    <x v="5"/>
    <x v="0"/>
    <x v="5"/>
    <n v="5"/>
    <n v="51224"/>
    <n v="256120"/>
    <n v="256120"/>
  </r>
  <r>
    <n v="11346"/>
    <d v="2023-01-08T00:00:00"/>
    <x v="1"/>
    <x v="0"/>
    <x v="5"/>
    <n v="13"/>
    <n v="30472"/>
    <n v="396136"/>
    <n v="396136"/>
  </r>
  <r>
    <n v="11347"/>
    <d v="2023-03-14T00:00:00"/>
    <x v="6"/>
    <x v="0"/>
    <x v="4"/>
    <n v="13"/>
    <n v="43081"/>
    <n v="560053"/>
    <n v="560053"/>
  </r>
  <r>
    <n v="11348"/>
    <d v="2023-07-24T00:00:00"/>
    <x v="2"/>
    <x v="2"/>
    <x v="3"/>
    <n v="7"/>
    <n v="6334"/>
    <n v="44338"/>
    <n v="44338"/>
  </r>
  <r>
    <n v="11349"/>
    <d v="2023-07-09T00:00:00"/>
    <x v="2"/>
    <x v="2"/>
    <x v="4"/>
    <n v="6"/>
    <n v="6912"/>
    <n v="41472"/>
    <n v="41472"/>
  </r>
  <r>
    <n v="11350"/>
    <d v="2023-12-14T00:00:00"/>
    <x v="4"/>
    <x v="1"/>
    <x v="3"/>
    <n v="2"/>
    <n v="10724"/>
    <n v="21448"/>
    <n v="21448"/>
  </r>
  <r>
    <n v="11351"/>
    <d v="2023-11-29T00:00:00"/>
    <x v="0"/>
    <x v="1"/>
    <x v="2"/>
    <n v="1"/>
    <n v="6471"/>
    <n v="6471"/>
    <n v="6471"/>
  </r>
  <r>
    <n v="11352"/>
    <d v="2023-08-12T00:00:00"/>
    <x v="4"/>
    <x v="2"/>
    <x v="0"/>
    <n v="1"/>
    <n v="55375"/>
    <n v="55375"/>
    <n v="55375"/>
  </r>
  <r>
    <n v="11353"/>
    <d v="2023-12-05T00:00:00"/>
    <x v="3"/>
    <x v="3"/>
    <x v="1"/>
    <n v="6"/>
    <n v="31399"/>
    <n v="188394"/>
    <n v="188394"/>
  </r>
  <r>
    <n v="11354"/>
    <d v="2023-08-20T00:00:00"/>
    <x v="4"/>
    <x v="2"/>
    <x v="3"/>
    <n v="11"/>
    <n v="10295"/>
    <n v="113245"/>
    <n v="113245"/>
  </r>
  <r>
    <n v="11355"/>
    <d v="2023-07-17T00:00:00"/>
    <x v="5"/>
    <x v="1"/>
    <x v="5"/>
    <n v="5"/>
    <n v="19641"/>
    <n v="98205"/>
    <n v="98205"/>
  </r>
  <r>
    <n v="11356"/>
    <d v="2023-10-19T00:00:00"/>
    <x v="0"/>
    <x v="3"/>
    <x v="5"/>
    <n v="19"/>
    <n v="39353"/>
    <n v="747707"/>
    <n v="747707"/>
  </r>
  <r>
    <n v="11357"/>
    <d v="2023-04-12T00:00:00"/>
    <x v="3"/>
    <x v="0"/>
    <x v="3"/>
    <n v="5"/>
    <n v="44014"/>
    <n v="220070"/>
    <n v="220070"/>
  </r>
  <r>
    <n v="11358"/>
    <d v="2023-03-06T00:00:00"/>
    <x v="2"/>
    <x v="2"/>
    <x v="1"/>
    <n v="13"/>
    <n v="36614"/>
    <n v="475982"/>
    <n v="475982"/>
  </r>
  <r>
    <n v="11359"/>
    <d v="2023-01-28T00:00:00"/>
    <x v="1"/>
    <x v="2"/>
    <x v="0"/>
    <n v="18"/>
    <n v="1570"/>
    <n v="28260"/>
    <n v="28260"/>
  </r>
  <r>
    <n v="11360"/>
    <d v="2023-01-21T00:00:00"/>
    <x v="6"/>
    <x v="1"/>
    <x v="2"/>
    <n v="14"/>
    <n v="51748"/>
    <n v="724472"/>
    <n v="724472"/>
  </r>
  <r>
    <n v="11361"/>
    <d v="2023-11-07T00:00:00"/>
    <x v="1"/>
    <x v="3"/>
    <x v="0"/>
    <n v="20"/>
    <n v="730"/>
    <n v="14600"/>
    <n v="14600"/>
  </r>
  <r>
    <n v="11362"/>
    <d v="2023-02-07T00:00:00"/>
    <x v="4"/>
    <x v="2"/>
    <x v="5"/>
    <n v="11"/>
    <n v="10557"/>
    <n v="116127"/>
    <n v="116127"/>
  </r>
  <r>
    <n v="11363"/>
    <d v="2023-03-12T00:00:00"/>
    <x v="6"/>
    <x v="3"/>
    <x v="4"/>
    <n v="13"/>
    <n v="34954"/>
    <n v="454402"/>
    <n v="454402"/>
  </r>
  <r>
    <n v="11364"/>
    <d v="2023-04-29T00:00:00"/>
    <x v="5"/>
    <x v="2"/>
    <x v="3"/>
    <n v="1"/>
    <n v="9569"/>
    <n v="9569"/>
    <n v="9569"/>
  </r>
  <r>
    <n v="11365"/>
    <d v="2023-03-29T00:00:00"/>
    <x v="3"/>
    <x v="0"/>
    <x v="5"/>
    <n v="13"/>
    <n v="49426"/>
    <n v="642538"/>
    <n v="642538"/>
  </r>
  <r>
    <n v="11366"/>
    <d v="2023-03-31T00:00:00"/>
    <x v="5"/>
    <x v="3"/>
    <x v="0"/>
    <n v="6"/>
    <n v="40605"/>
    <n v="243630"/>
    <n v="243630"/>
  </r>
  <r>
    <n v="11367"/>
    <d v="2023-12-29T00:00:00"/>
    <x v="1"/>
    <x v="2"/>
    <x v="5"/>
    <n v="12"/>
    <n v="27594"/>
    <n v="331128"/>
    <n v="331128"/>
  </r>
  <r>
    <n v="11368"/>
    <d v="2023-11-03T00:00:00"/>
    <x v="3"/>
    <x v="2"/>
    <x v="3"/>
    <n v="15"/>
    <n v="37163"/>
    <n v="557445"/>
    <n v="557445"/>
  </r>
  <r>
    <n v="11369"/>
    <d v="2023-09-07T00:00:00"/>
    <x v="2"/>
    <x v="1"/>
    <x v="3"/>
    <n v="9"/>
    <n v="39020"/>
    <n v="351180"/>
    <n v="351180"/>
  </r>
  <r>
    <n v="11370"/>
    <d v="2023-08-31T00:00:00"/>
    <x v="4"/>
    <x v="0"/>
    <x v="1"/>
    <n v="9"/>
    <n v="19035"/>
    <n v="171315"/>
    <n v="171315"/>
  </r>
  <r>
    <n v="11371"/>
    <d v="2023-10-29T00:00:00"/>
    <x v="5"/>
    <x v="1"/>
    <x v="5"/>
    <n v="5"/>
    <n v="44587"/>
    <n v="222935"/>
    <n v="222935"/>
  </r>
  <r>
    <n v="11372"/>
    <d v="2024-01-01T00:00:00"/>
    <x v="1"/>
    <x v="1"/>
    <x v="5"/>
    <n v="5"/>
    <n v="56406"/>
    <n v="282030"/>
    <n v="282030"/>
  </r>
  <r>
    <n v="11373"/>
    <d v="2023-05-15T00:00:00"/>
    <x v="2"/>
    <x v="0"/>
    <x v="0"/>
    <n v="12"/>
    <n v="58117"/>
    <n v="697404"/>
    <n v="697404"/>
  </r>
  <r>
    <n v="11374"/>
    <d v="2023-08-05T00:00:00"/>
    <x v="0"/>
    <x v="3"/>
    <x v="1"/>
    <n v="10"/>
    <n v="15035"/>
    <n v="150350"/>
    <n v="150350"/>
  </r>
  <r>
    <n v="11375"/>
    <d v="2023-03-28T00:00:00"/>
    <x v="3"/>
    <x v="0"/>
    <x v="4"/>
    <n v="10"/>
    <n v="12490"/>
    <n v="124900"/>
    <n v="124900"/>
  </r>
  <r>
    <n v="11376"/>
    <d v="2023-02-22T00:00:00"/>
    <x v="3"/>
    <x v="1"/>
    <x v="2"/>
    <n v="16"/>
    <n v="43054"/>
    <n v="688864"/>
    <n v="688864"/>
  </r>
  <r>
    <n v="11377"/>
    <d v="2023-10-26T00:00:00"/>
    <x v="6"/>
    <x v="1"/>
    <x v="5"/>
    <n v="17"/>
    <n v="9521"/>
    <n v="161857"/>
    <n v="161857"/>
  </r>
  <r>
    <n v="11378"/>
    <d v="2023-03-13T00:00:00"/>
    <x v="1"/>
    <x v="3"/>
    <x v="3"/>
    <n v="19"/>
    <n v="24465"/>
    <n v="464835"/>
    <n v="464835"/>
  </r>
  <r>
    <n v="11379"/>
    <d v="2023-07-19T00:00:00"/>
    <x v="2"/>
    <x v="1"/>
    <x v="1"/>
    <n v="11"/>
    <n v="23001"/>
    <n v="253011"/>
    <n v="253011"/>
  </r>
  <r>
    <n v="11380"/>
    <d v="2023-10-29T00:00:00"/>
    <x v="4"/>
    <x v="0"/>
    <x v="0"/>
    <n v="15"/>
    <n v="24524"/>
    <n v="367860"/>
    <n v="367860"/>
  </r>
  <r>
    <n v="11381"/>
    <d v="2023-08-04T00:00:00"/>
    <x v="6"/>
    <x v="1"/>
    <x v="0"/>
    <n v="17"/>
    <n v="10427"/>
    <n v="177259"/>
    <n v="177259"/>
  </r>
  <r>
    <n v="11382"/>
    <d v="2023-02-09T00:00:00"/>
    <x v="3"/>
    <x v="1"/>
    <x v="3"/>
    <n v="3"/>
    <n v="57188"/>
    <n v="171564"/>
    <n v="171564"/>
  </r>
  <r>
    <n v="11383"/>
    <d v="2023-08-16T00:00:00"/>
    <x v="1"/>
    <x v="1"/>
    <x v="4"/>
    <n v="17"/>
    <n v="43300"/>
    <n v="736100"/>
    <n v="736100"/>
  </r>
  <r>
    <n v="11384"/>
    <d v="2023-07-27T00:00:00"/>
    <x v="3"/>
    <x v="0"/>
    <x v="4"/>
    <n v="16"/>
    <n v="26513"/>
    <n v="424208"/>
    <n v="424208"/>
  </r>
  <r>
    <n v="11385"/>
    <d v="2023-02-17T00:00:00"/>
    <x v="3"/>
    <x v="0"/>
    <x v="0"/>
    <n v="1"/>
    <n v="13926"/>
    <n v="13926"/>
    <n v="13926"/>
  </r>
  <r>
    <n v="11386"/>
    <d v="2023-11-22T00:00:00"/>
    <x v="5"/>
    <x v="2"/>
    <x v="2"/>
    <n v="9"/>
    <n v="20740"/>
    <n v="186660"/>
    <n v="186660"/>
  </r>
  <r>
    <n v="11387"/>
    <d v="2023-09-12T00:00:00"/>
    <x v="4"/>
    <x v="2"/>
    <x v="2"/>
    <n v="19"/>
    <n v="34166"/>
    <n v="649154"/>
    <n v="649154"/>
  </r>
  <r>
    <n v="11388"/>
    <d v="2023-05-04T00:00:00"/>
    <x v="2"/>
    <x v="3"/>
    <x v="5"/>
    <n v="5"/>
    <n v="24591"/>
    <n v="122955"/>
    <n v="122955"/>
  </r>
  <r>
    <n v="11389"/>
    <d v="2023-08-14T00:00:00"/>
    <x v="3"/>
    <x v="0"/>
    <x v="5"/>
    <n v="11"/>
    <n v="19887"/>
    <n v="218757"/>
    <n v="218757"/>
  </r>
  <r>
    <n v="11390"/>
    <d v="2023-03-18T00:00:00"/>
    <x v="1"/>
    <x v="2"/>
    <x v="3"/>
    <n v="15"/>
    <n v="3406"/>
    <n v="51090"/>
    <n v="51090"/>
  </r>
  <r>
    <n v="11391"/>
    <d v="2023-10-14T00:00:00"/>
    <x v="1"/>
    <x v="3"/>
    <x v="2"/>
    <n v="9"/>
    <n v="57515"/>
    <n v="517635"/>
    <n v="517635"/>
  </r>
  <r>
    <n v="11392"/>
    <d v="2023-02-03T00:00:00"/>
    <x v="0"/>
    <x v="0"/>
    <x v="4"/>
    <n v="12"/>
    <n v="2424"/>
    <n v="29088"/>
    <n v="29088"/>
  </r>
  <r>
    <n v="11393"/>
    <d v="2023-08-15T00:00:00"/>
    <x v="3"/>
    <x v="0"/>
    <x v="2"/>
    <n v="5"/>
    <n v="34572"/>
    <n v="172860"/>
    <n v="172860"/>
  </r>
  <r>
    <n v="11394"/>
    <d v="2023-03-13T00:00:00"/>
    <x v="2"/>
    <x v="2"/>
    <x v="3"/>
    <n v="20"/>
    <n v="17573"/>
    <n v="351460"/>
    <n v="351460"/>
  </r>
  <r>
    <n v="11395"/>
    <d v="2023-06-08T00:00:00"/>
    <x v="6"/>
    <x v="2"/>
    <x v="4"/>
    <n v="8"/>
    <n v="3648"/>
    <n v="29184"/>
    <n v="29184"/>
  </r>
  <r>
    <n v="11396"/>
    <d v="2023-11-01T00:00:00"/>
    <x v="5"/>
    <x v="1"/>
    <x v="3"/>
    <n v="19"/>
    <n v="7140"/>
    <n v="135660"/>
    <n v="135660"/>
  </r>
  <r>
    <n v="11397"/>
    <d v="2023-09-13T00:00:00"/>
    <x v="0"/>
    <x v="2"/>
    <x v="1"/>
    <n v="3"/>
    <n v="51009"/>
    <n v="153027"/>
    <n v="153027"/>
  </r>
  <r>
    <n v="11398"/>
    <d v="2023-11-30T00:00:00"/>
    <x v="6"/>
    <x v="2"/>
    <x v="1"/>
    <n v="11"/>
    <n v="33760"/>
    <n v="371360"/>
    <n v="371360"/>
  </r>
  <r>
    <n v="11399"/>
    <d v="2023-10-20T00:00:00"/>
    <x v="3"/>
    <x v="0"/>
    <x v="4"/>
    <n v="7"/>
    <n v="17911"/>
    <n v="125377"/>
    <n v="125377"/>
  </r>
  <r>
    <n v="11400"/>
    <d v="2023-03-29T00:00:00"/>
    <x v="5"/>
    <x v="3"/>
    <x v="0"/>
    <n v="19"/>
    <n v="29545"/>
    <n v="561355"/>
    <n v="561355"/>
  </r>
  <r>
    <n v="11401"/>
    <d v="2023-02-10T00:00:00"/>
    <x v="4"/>
    <x v="3"/>
    <x v="4"/>
    <n v="11"/>
    <n v="31846"/>
    <n v="350306"/>
    <n v="350306"/>
  </r>
  <r>
    <n v="11402"/>
    <d v="2023-04-26T00:00:00"/>
    <x v="1"/>
    <x v="2"/>
    <x v="3"/>
    <n v="13"/>
    <n v="15719"/>
    <n v="204347"/>
    <n v="204347"/>
  </r>
  <r>
    <n v="11403"/>
    <d v="2023-01-19T00:00:00"/>
    <x v="2"/>
    <x v="3"/>
    <x v="1"/>
    <n v="8"/>
    <n v="25076"/>
    <n v="200608"/>
    <n v="200608"/>
  </r>
  <r>
    <n v="11404"/>
    <d v="2023-05-10T00:00:00"/>
    <x v="0"/>
    <x v="1"/>
    <x v="5"/>
    <n v="12"/>
    <n v="11652"/>
    <n v="139824"/>
    <n v="139824"/>
  </r>
  <r>
    <n v="11405"/>
    <d v="2023-03-03T00:00:00"/>
    <x v="1"/>
    <x v="3"/>
    <x v="4"/>
    <n v="15"/>
    <n v="43265"/>
    <n v="648975"/>
    <n v="648975"/>
  </r>
  <r>
    <n v="11406"/>
    <d v="2023-10-20T00:00:00"/>
    <x v="1"/>
    <x v="0"/>
    <x v="4"/>
    <n v="10"/>
    <n v="2325"/>
    <n v="23250"/>
    <n v="23250"/>
  </r>
  <r>
    <n v="11407"/>
    <d v="2023-07-09T00:00:00"/>
    <x v="2"/>
    <x v="2"/>
    <x v="2"/>
    <n v="9"/>
    <n v="49457"/>
    <n v="445113"/>
    <n v="445113"/>
  </r>
  <r>
    <n v="11408"/>
    <d v="2023-12-22T00:00:00"/>
    <x v="0"/>
    <x v="0"/>
    <x v="2"/>
    <n v="13"/>
    <n v="29238"/>
    <n v="380094"/>
    <n v="380094"/>
  </r>
  <r>
    <n v="11409"/>
    <d v="2023-10-07T00:00:00"/>
    <x v="1"/>
    <x v="2"/>
    <x v="1"/>
    <n v="15"/>
    <n v="37679"/>
    <n v="565185"/>
    <n v="565185"/>
  </r>
  <r>
    <n v="11410"/>
    <d v="2023-09-21T00:00:00"/>
    <x v="2"/>
    <x v="3"/>
    <x v="4"/>
    <n v="18"/>
    <n v="53921"/>
    <n v="970578"/>
    <n v="970578"/>
  </r>
  <r>
    <n v="11411"/>
    <d v="2023-01-20T00:00:00"/>
    <x v="2"/>
    <x v="3"/>
    <x v="3"/>
    <n v="12"/>
    <n v="38730"/>
    <n v="464760"/>
    <n v="464760"/>
  </r>
  <r>
    <n v="11412"/>
    <d v="2023-04-06T00:00:00"/>
    <x v="0"/>
    <x v="2"/>
    <x v="3"/>
    <n v="13"/>
    <n v="9088"/>
    <n v="118144"/>
    <n v="118144"/>
  </r>
  <r>
    <n v="11413"/>
    <d v="2023-12-18T00:00:00"/>
    <x v="1"/>
    <x v="2"/>
    <x v="1"/>
    <n v="17"/>
    <n v="42835"/>
    <n v="728195"/>
    <n v="728195"/>
  </r>
  <r>
    <n v="11414"/>
    <d v="2023-02-16T00:00:00"/>
    <x v="5"/>
    <x v="3"/>
    <x v="1"/>
    <n v="17"/>
    <n v="53895"/>
    <n v="916215"/>
    <n v="916215"/>
  </r>
  <r>
    <n v="11415"/>
    <d v="2023-12-20T00:00:00"/>
    <x v="0"/>
    <x v="0"/>
    <x v="2"/>
    <n v="14"/>
    <n v="37812"/>
    <n v="529368"/>
    <n v="529368"/>
  </r>
  <r>
    <n v="11416"/>
    <d v="2023-02-11T00:00:00"/>
    <x v="1"/>
    <x v="0"/>
    <x v="5"/>
    <n v="13"/>
    <n v="4553"/>
    <n v="59189"/>
    <n v="59189"/>
  </r>
  <r>
    <n v="11417"/>
    <d v="2023-11-11T00:00:00"/>
    <x v="1"/>
    <x v="3"/>
    <x v="1"/>
    <n v="19"/>
    <n v="32996"/>
    <n v="626924"/>
    <n v="626924"/>
  </r>
  <r>
    <n v="11418"/>
    <d v="2023-10-24T00:00:00"/>
    <x v="5"/>
    <x v="0"/>
    <x v="5"/>
    <n v="14"/>
    <n v="17816"/>
    <n v="249424"/>
    <n v="249424"/>
  </r>
  <r>
    <n v="11419"/>
    <d v="2023-10-19T00:00:00"/>
    <x v="0"/>
    <x v="2"/>
    <x v="2"/>
    <n v="14"/>
    <n v="9196"/>
    <n v="128744"/>
    <n v="128744"/>
  </r>
  <r>
    <n v="11420"/>
    <d v="2023-11-13T00:00:00"/>
    <x v="6"/>
    <x v="1"/>
    <x v="3"/>
    <n v="2"/>
    <n v="55702"/>
    <n v="111404"/>
    <n v="111404"/>
  </r>
  <r>
    <n v="11421"/>
    <d v="2023-06-18T00:00:00"/>
    <x v="5"/>
    <x v="0"/>
    <x v="2"/>
    <n v="8"/>
    <n v="39323"/>
    <n v="314584"/>
    <n v="314584"/>
  </r>
  <r>
    <n v="11422"/>
    <d v="2023-10-24T00:00:00"/>
    <x v="5"/>
    <x v="0"/>
    <x v="1"/>
    <n v="16"/>
    <n v="57883"/>
    <n v="926128"/>
    <n v="926128"/>
  </r>
  <r>
    <n v="11423"/>
    <d v="2023-09-28T00:00:00"/>
    <x v="6"/>
    <x v="3"/>
    <x v="4"/>
    <n v="19"/>
    <n v="35111"/>
    <n v="667109"/>
    <n v="667109"/>
  </r>
  <r>
    <n v="11424"/>
    <d v="2023-09-03T00:00:00"/>
    <x v="5"/>
    <x v="0"/>
    <x v="1"/>
    <n v="8"/>
    <n v="10993"/>
    <n v="87944"/>
    <n v="87944"/>
  </r>
  <r>
    <n v="11425"/>
    <d v="2023-06-23T00:00:00"/>
    <x v="1"/>
    <x v="1"/>
    <x v="5"/>
    <n v="19"/>
    <n v="40114"/>
    <n v="762166"/>
    <n v="762166"/>
  </r>
  <r>
    <n v="11426"/>
    <d v="2023-02-02T00:00:00"/>
    <x v="6"/>
    <x v="2"/>
    <x v="4"/>
    <n v="5"/>
    <n v="17883"/>
    <n v="89415"/>
    <n v="89415"/>
  </r>
  <r>
    <n v="11427"/>
    <d v="2023-05-18T00:00:00"/>
    <x v="2"/>
    <x v="3"/>
    <x v="5"/>
    <n v="19"/>
    <n v="26785"/>
    <n v="508915"/>
    <n v="508915"/>
  </r>
  <r>
    <n v="11428"/>
    <d v="2023-03-01T00:00:00"/>
    <x v="4"/>
    <x v="3"/>
    <x v="3"/>
    <n v="20"/>
    <n v="1900"/>
    <n v="38000"/>
    <n v="38000"/>
  </r>
  <r>
    <n v="11429"/>
    <d v="2023-09-23T00:00:00"/>
    <x v="0"/>
    <x v="0"/>
    <x v="1"/>
    <n v="11"/>
    <n v="22450"/>
    <n v="246950"/>
    <n v="246950"/>
  </r>
  <r>
    <n v="11430"/>
    <d v="2023-06-30T00:00:00"/>
    <x v="1"/>
    <x v="2"/>
    <x v="3"/>
    <n v="5"/>
    <n v="29726"/>
    <n v="148630"/>
    <n v="148630"/>
  </r>
  <r>
    <n v="11431"/>
    <d v="2023-03-13T00:00:00"/>
    <x v="4"/>
    <x v="3"/>
    <x v="4"/>
    <n v="12"/>
    <n v="6994"/>
    <n v="83928"/>
    <n v="83928"/>
  </r>
  <r>
    <n v="11432"/>
    <d v="2023-04-09T00:00:00"/>
    <x v="4"/>
    <x v="0"/>
    <x v="1"/>
    <n v="17"/>
    <n v="41723"/>
    <n v="709291"/>
    <n v="709291"/>
  </r>
  <r>
    <n v="11433"/>
    <d v="2023-05-18T00:00:00"/>
    <x v="6"/>
    <x v="3"/>
    <x v="4"/>
    <n v="5"/>
    <n v="41526"/>
    <n v="207630"/>
    <n v="207630"/>
  </r>
  <r>
    <n v="11434"/>
    <d v="2023-03-25T00:00:00"/>
    <x v="5"/>
    <x v="0"/>
    <x v="4"/>
    <n v="11"/>
    <n v="32729"/>
    <n v="360019"/>
    <n v="360019"/>
  </r>
  <r>
    <n v="11435"/>
    <d v="2023-04-11T00:00:00"/>
    <x v="0"/>
    <x v="3"/>
    <x v="4"/>
    <n v="10"/>
    <n v="9939"/>
    <n v="99390"/>
    <n v="99390"/>
  </r>
  <r>
    <n v="11436"/>
    <d v="2023-06-29T00:00:00"/>
    <x v="5"/>
    <x v="3"/>
    <x v="4"/>
    <n v="6"/>
    <n v="47855"/>
    <n v="287130"/>
    <n v="287130"/>
  </r>
  <r>
    <n v="11437"/>
    <d v="2023-06-02T00:00:00"/>
    <x v="4"/>
    <x v="0"/>
    <x v="4"/>
    <n v="12"/>
    <n v="33244"/>
    <n v="398928"/>
    <n v="398928"/>
  </r>
  <r>
    <n v="11438"/>
    <d v="2023-06-07T00:00:00"/>
    <x v="3"/>
    <x v="3"/>
    <x v="5"/>
    <n v="9"/>
    <n v="53941"/>
    <n v="485469"/>
    <n v="485469"/>
  </r>
  <r>
    <n v="11439"/>
    <d v="2023-04-19T00:00:00"/>
    <x v="2"/>
    <x v="3"/>
    <x v="4"/>
    <n v="12"/>
    <n v="33569"/>
    <n v="402828"/>
    <n v="402828"/>
  </r>
  <r>
    <n v="11440"/>
    <d v="2023-05-10T00:00:00"/>
    <x v="0"/>
    <x v="1"/>
    <x v="3"/>
    <n v="5"/>
    <n v="44431"/>
    <n v="222155"/>
    <n v="222155"/>
  </r>
  <r>
    <n v="11441"/>
    <d v="2023-06-20T00:00:00"/>
    <x v="3"/>
    <x v="1"/>
    <x v="0"/>
    <n v="8"/>
    <n v="18531"/>
    <n v="148248"/>
    <n v="148248"/>
  </r>
  <r>
    <n v="11442"/>
    <d v="2023-12-28T00:00:00"/>
    <x v="1"/>
    <x v="3"/>
    <x v="1"/>
    <n v="4"/>
    <n v="32785"/>
    <n v="131140"/>
    <n v="131140"/>
  </r>
  <r>
    <n v="11443"/>
    <d v="2023-05-17T00:00:00"/>
    <x v="0"/>
    <x v="1"/>
    <x v="5"/>
    <n v="10"/>
    <n v="26505"/>
    <n v="265050"/>
    <n v="265050"/>
  </r>
  <r>
    <n v="11444"/>
    <d v="2023-08-16T00:00:00"/>
    <x v="1"/>
    <x v="1"/>
    <x v="3"/>
    <n v="6"/>
    <n v="30126"/>
    <n v="180756"/>
    <n v="180756"/>
  </r>
  <r>
    <n v="11445"/>
    <d v="2023-04-14T00:00:00"/>
    <x v="1"/>
    <x v="3"/>
    <x v="4"/>
    <n v="9"/>
    <n v="4434"/>
    <n v="39906"/>
    <n v="39906"/>
  </r>
  <r>
    <n v="11446"/>
    <d v="2023-09-07T00:00:00"/>
    <x v="5"/>
    <x v="1"/>
    <x v="1"/>
    <n v="3"/>
    <n v="39880"/>
    <n v="119640"/>
    <n v="119640"/>
  </r>
  <r>
    <n v="11447"/>
    <d v="2023-01-13T00:00:00"/>
    <x v="4"/>
    <x v="0"/>
    <x v="5"/>
    <n v="1"/>
    <n v="50846"/>
    <n v="50846"/>
    <n v="50846"/>
  </r>
  <r>
    <n v="11448"/>
    <d v="2023-08-18T00:00:00"/>
    <x v="1"/>
    <x v="1"/>
    <x v="1"/>
    <n v="8"/>
    <n v="10020"/>
    <n v="80160"/>
    <n v="80160"/>
  </r>
  <r>
    <n v="11449"/>
    <d v="2023-09-30T00:00:00"/>
    <x v="1"/>
    <x v="3"/>
    <x v="1"/>
    <n v="14"/>
    <n v="56606"/>
    <n v="792484"/>
    <n v="792484"/>
  </r>
  <r>
    <n v="11450"/>
    <d v="2023-10-19T00:00:00"/>
    <x v="1"/>
    <x v="2"/>
    <x v="5"/>
    <n v="11"/>
    <n v="29814"/>
    <n v="327954"/>
    <n v="327954"/>
  </r>
  <r>
    <n v="11451"/>
    <d v="2023-07-02T00:00:00"/>
    <x v="5"/>
    <x v="0"/>
    <x v="5"/>
    <n v="13"/>
    <n v="30025"/>
    <n v="390325"/>
    <n v="390325"/>
  </r>
  <r>
    <n v="11452"/>
    <d v="2023-02-11T00:00:00"/>
    <x v="0"/>
    <x v="3"/>
    <x v="3"/>
    <n v="18"/>
    <n v="54591"/>
    <n v="982638"/>
    <n v="982638"/>
  </r>
  <r>
    <n v="11453"/>
    <d v="2023-10-05T00:00:00"/>
    <x v="0"/>
    <x v="2"/>
    <x v="1"/>
    <n v="20"/>
    <n v="2748"/>
    <n v="54960"/>
    <n v="54960"/>
  </r>
  <r>
    <n v="11454"/>
    <d v="2023-01-19T00:00:00"/>
    <x v="3"/>
    <x v="3"/>
    <x v="1"/>
    <n v="4"/>
    <n v="36085"/>
    <n v="144340"/>
    <n v="144340"/>
  </r>
  <r>
    <n v="11455"/>
    <d v="2023-11-01T00:00:00"/>
    <x v="1"/>
    <x v="3"/>
    <x v="1"/>
    <n v="12"/>
    <n v="51222"/>
    <n v="614664"/>
    <n v="614664"/>
  </r>
  <r>
    <n v="11456"/>
    <d v="2023-01-15T00:00:00"/>
    <x v="6"/>
    <x v="1"/>
    <x v="1"/>
    <n v="4"/>
    <n v="41921"/>
    <n v="167684"/>
    <n v="167684"/>
  </r>
  <r>
    <n v="11457"/>
    <d v="2023-08-31T00:00:00"/>
    <x v="2"/>
    <x v="1"/>
    <x v="0"/>
    <n v="6"/>
    <n v="2041"/>
    <n v="12246"/>
    <n v="12246"/>
  </r>
  <r>
    <n v="11458"/>
    <d v="2023-08-03T00:00:00"/>
    <x v="6"/>
    <x v="1"/>
    <x v="0"/>
    <n v="10"/>
    <n v="35406"/>
    <n v="354060"/>
    <n v="354060"/>
  </r>
  <r>
    <n v="11459"/>
    <d v="2023-02-18T00:00:00"/>
    <x v="0"/>
    <x v="2"/>
    <x v="4"/>
    <n v="13"/>
    <n v="44245"/>
    <n v="575185"/>
    <n v="575185"/>
  </r>
  <r>
    <n v="11460"/>
    <d v="2023-02-11T00:00:00"/>
    <x v="1"/>
    <x v="2"/>
    <x v="0"/>
    <n v="19"/>
    <n v="56866"/>
    <n v="1080454"/>
    <n v="1080454"/>
  </r>
  <r>
    <n v="11461"/>
    <d v="2023-05-17T00:00:00"/>
    <x v="6"/>
    <x v="0"/>
    <x v="2"/>
    <n v="3"/>
    <n v="22063"/>
    <n v="66189"/>
    <n v="66189"/>
  </r>
  <r>
    <n v="11462"/>
    <d v="2023-08-24T00:00:00"/>
    <x v="0"/>
    <x v="0"/>
    <x v="4"/>
    <n v="11"/>
    <n v="54675"/>
    <n v="601425"/>
    <n v="601425"/>
  </r>
  <r>
    <n v="11463"/>
    <d v="2024-01-01T00:00:00"/>
    <x v="5"/>
    <x v="3"/>
    <x v="5"/>
    <n v="9"/>
    <n v="39357"/>
    <n v="354213"/>
    <n v="354213"/>
  </r>
  <r>
    <n v="11464"/>
    <d v="2023-01-03T00:00:00"/>
    <x v="3"/>
    <x v="0"/>
    <x v="3"/>
    <n v="3"/>
    <n v="45081"/>
    <n v="135243"/>
    <n v="135243"/>
  </r>
  <r>
    <n v="11465"/>
    <d v="2023-11-03T00:00:00"/>
    <x v="3"/>
    <x v="2"/>
    <x v="0"/>
    <n v="7"/>
    <n v="5621"/>
    <n v="39347"/>
    <n v="39347"/>
  </r>
  <r>
    <n v="11466"/>
    <d v="2023-01-02T00:00:00"/>
    <x v="6"/>
    <x v="2"/>
    <x v="3"/>
    <n v="4"/>
    <n v="3595"/>
    <n v="14380"/>
    <n v="14380"/>
  </r>
  <r>
    <n v="11467"/>
    <d v="2023-07-30T00:00:00"/>
    <x v="3"/>
    <x v="0"/>
    <x v="4"/>
    <n v="4"/>
    <n v="28465"/>
    <n v="113860"/>
    <n v="113860"/>
  </r>
  <r>
    <n v="11468"/>
    <d v="2023-06-10T00:00:00"/>
    <x v="3"/>
    <x v="1"/>
    <x v="1"/>
    <n v="16"/>
    <n v="41170"/>
    <n v="658720"/>
    <n v="658720"/>
  </r>
  <r>
    <n v="11469"/>
    <d v="2023-02-23T00:00:00"/>
    <x v="0"/>
    <x v="1"/>
    <x v="2"/>
    <n v="7"/>
    <n v="16869"/>
    <n v="118083"/>
    <n v="118083"/>
  </r>
  <r>
    <n v="11470"/>
    <d v="2023-03-19T00:00:00"/>
    <x v="0"/>
    <x v="2"/>
    <x v="3"/>
    <n v="7"/>
    <n v="22130"/>
    <n v="154910"/>
    <n v="154910"/>
  </r>
  <r>
    <n v="11471"/>
    <d v="2023-02-01T00:00:00"/>
    <x v="5"/>
    <x v="0"/>
    <x v="0"/>
    <n v="12"/>
    <n v="29551"/>
    <n v="354612"/>
    <n v="354612"/>
  </r>
  <r>
    <n v="11472"/>
    <d v="2023-10-17T00:00:00"/>
    <x v="6"/>
    <x v="0"/>
    <x v="5"/>
    <n v="3"/>
    <n v="39477"/>
    <n v="118431"/>
    <n v="118431"/>
  </r>
  <r>
    <n v="11473"/>
    <d v="2023-12-08T00:00:00"/>
    <x v="4"/>
    <x v="2"/>
    <x v="3"/>
    <n v="8"/>
    <n v="35564"/>
    <n v="284512"/>
    <n v="284512"/>
  </r>
  <r>
    <n v="11474"/>
    <d v="2023-08-24T00:00:00"/>
    <x v="0"/>
    <x v="0"/>
    <x v="4"/>
    <n v="3"/>
    <n v="26320"/>
    <n v="78960"/>
    <n v="78960"/>
  </r>
  <r>
    <n v="11475"/>
    <d v="2023-03-30T00:00:00"/>
    <x v="1"/>
    <x v="3"/>
    <x v="4"/>
    <n v="4"/>
    <n v="36849"/>
    <n v="147396"/>
    <n v="147396"/>
  </r>
  <r>
    <n v="11476"/>
    <d v="2023-06-22T00:00:00"/>
    <x v="4"/>
    <x v="1"/>
    <x v="0"/>
    <n v="5"/>
    <n v="23042"/>
    <n v="115210"/>
    <n v="115210"/>
  </r>
  <r>
    <n v="11477"/>
    <d v="2023-06-26T00:00:00"/>
    <x v="4"/>
    <x v="1"/>
    <x v="4"/>
    <n v="14"/>
    <n v="32184"/>
    <n v="450576"/>
    <n v="450576"/>
  </r>
  <r>
    <n v="11478"/>
    <d v="2023-09-21T00:00:00"/>
    <x v="6"/>
    <x v="1"/>
    <x v="5"/>
    <n v="19"/>
    <n v="39431"/>
    <n v="749189"/>
    <n v="749189"/>
  </r>
  <r>
    <n v="11479"/>
    <d v="2023-12-25T00:00:00"/>
    <x v="4"/>
    <x v="3"/>
    <x v="2"/>
    <n v="3"/>
    <n v="43624"/>
    <n v="130872"/>
    <n v="130872"/>
  </r>
  <r>
    <n v="11480"/>
    <d v="2023-11-30T00:00:00"/>
    <x v="3"/>
    <x v="1"/>
    <x v="3"/>
    <n v="12"/>
    <n v="41358"/>
    <n v="496296"/>
    <n v="496296"/>
  </r>
  <r>
    <n v="11481"/>
    <d v="2023-04-16T00:00:00"/>
    <x v="4"/>
    <x v="0"/>
    <x v="4"/>
    <n v="12"/>
    <n v="14262"/>
    <n v="171144"/>
    <n v="171144"/>
  </r>
  <r>
    <n v="11482"/>
    <d v="2023-07-27T00:00:00"/>
    <x v="4"/>
    <x v="2"/>
    <x v="1"/>
    <n v="13"/>
    <n v="25951"/>
    <n v="337363"/>
    <n v="337363"/>
  </r>
  <r>
    <n v="11483"/>
    <d v="2023-10-13T00:00:00"/>
    <x v="2"/>
    <x v="3"/>
    <x v="5"/>
    <n v="2"/>
    <n v="52103"/>
    <n v="104206"/>
    <n v="104206"/>
  </r>
  <r>
    <n v="11484"/>
    <d v="2023-08-06T00:00:00"/>
    <x v="5"/>
    <x v="1"/>
    <x v="5"/>
    <n v="14"/>
    <n v="44213"/>
    <n v="618982"/>
    <n v="618982"/>
  </r>
  <r>
    <n v="11485"/>
    <d v="2023-09-17T00:00:00"/>
    <x v="6"/>
    <x v="0"/>
    <x v="0"/>
    <n v="15"/>
    <n v="37038"/>
    <n v="555570"/>
    <n v="555570"/>
  </r>
  <r>
    <n v="11486"/>
    <d v="2023-01-10T00:00:00"/>
    <x v="1"/>
    <x v="0"/>
    <x v="3"/>
    <n v="16"/>
    <n v="52824"/>
    <n v="845184"/>
    <n v="845184"/>
  </r>
  <r>
    <n v="11487"/>
    <d v="2023-08-31T00:00:00"/>
    <x v="2"/>
    <x v="3"/>
    <x v="5"/>
    <n v="1"/>
    <n v="40621"/>
    <n v="40621"/>
    <n v="40621"/>
  </r>
  <r>
    <n v="11488"/>
    <d v="2023-08-25T00:00:00"/>
    <x v="2"/>
    <x v="3"/>
    <x v="2"/>
    <n v="13"/>
    <n v="2171"/>
    <n v="28223"/>
    <n v="28223"/>
  </r>
  <r>
    <n v="11489"/>
    <d v="2023-08-12T00:00:00"/>
    <x v="0"/>
    <x v="3"/>
    <x v="3"/>
    <n v="6"/>
    <n v="6049"/>
    <n v="36294"/>
    <n v="36294"/>
  </r>
  <r>
    <n v="11490"/>
    <d v="2023-06-09T00:00:00"/>
    <x v="6"/>
    <x v="2"/>
    <x v="0"/>
    <n v="9"/>
    <n v="14870"/>
    <n v="133830"/>
    <n v="133830"/>
  </r>
  <r>
    <n v="11491"/>
    <d v="2023-03-27T00:00:00"/>
    <x v="1"/>
    <x v="0"/>
    <x v="1"/>
    <n v="6"/>
    <n v="1778"/>
    <n v="10668"/>
    <n v="10668"/>
  </r>
  <r>
    <n v="11492"/>
    <d v="2023-08-14T00:00:00"/>
    <x v="6"/>
    <x v="0"/>
    <x v="5"/>
    <n v="6"/>
    <n v="23887"/>
    <n v="143322"/>
    <n v="143322"/>
  </r>
  <r>
    <n v="11493"/>
    <d v="2023-10-12T00:00:00"/>
    <x v="5"/>
    <x v="2"/>
    <x v="3"/>
    <n v="12"/>
    <n v="48466"/>
    <n v="581592"/>
    <n v="581592"/>
  </r>
  <r>
    <n v="11494"/>
    <d v="2023-02-13T00:00:00"/>
    <x v="0"/>
    <x v="3"/>
    <x v="5"/>
    <n v="8"/>
    <n v="32689"/>
    <n v="261512"/>
    <n v="261512"/>
  </r>
  <r>
    <n v="11495"/>
    <d v="2023-12-21T00:00:00"/>
    <x v="0"/>
    <x v="1"/>
    <x v="0"/>
    <n v="9"/>
    <n v="1581"/>
    <n v="14229"/>
    <n v="14229"/>
  </r>
  <r>
    <n v="11496"/>
    <d v="2023-12-22T00:00:00"/>
    <x v="1"/>
    <x v="0"/>
    <x v="0"/>
    <n v="4"/>
    <n v="43904"/>
    <n v="175616"/>
    <n v="175616"/>
  </r>
  <r>
    <n v="11497"/>
    <d v="2023-02-01T00:00:00"/>
    <x v="2"/>
    <x v="0"/>
    <x v="1"/>
    <n v="17"/>
    <n v="20249"/>
    <n v="344233"/>
    <n v="344233"/>
  </r>
  <r>
    <n v="11498"/>
    <d v="2023-08-28T00:00:00"/>
    <x v="2"/>
    <x v="2"/>
    <x v="4"/>
    <n v="1"/>
    <n v="13402"/>
    <n v="13402"/>
    <n v="13402"/>
  </r>
  <r>
    <n v="11499"/>
    <d v="2023-01-30T00:00:00"/>
    <x v="5"/>
    <x v="0"/>
    <x v="5"/>
    <n v="4"/>
    <n v="21183"/>
    <n v="84732"/>
    <n v="84732"/>
  </r>
  <r>
    <n v="11500"/>
    <d v="2023-11-04T00:00:00"/>
    <x v="1"/>
    <x v="2"/>
    <x v="2"/>
    <n v="4"/>
    <n v="11826"/>
    <n v="47304"/>
    <n v="47304"/>
  </r>
  <r>
    <n v="11501"/>
    <d v="2023-01-29T00:00:00"/>
    <x v="4"/>
    <x v="2"/>
    <x v="5"/>
    <n v="16"/>
    <n v="51369"/>
    <n v="821904"/>
    <n v="821904"/>
  </r>
  <r>
    <n v="11502"/>
    <d v="2023-08-19T00:00:00"/>
    <x v="2"/>
    <x v="1"/>
    <x v="0"/>
    <n v="14"/>
    <n v="26993"/>
    <n v="377902"/>
    <n v="377902"/>
  </r>
  <r>
    <n v="11503"/>
    <d v="2023-11-27T00:00:00"/>
    <x v="3"/>
    <x v="3"/>
    <x v="3"/>
    <n v="15"/>
    <n v="31554"/>
    <n v="473310"/>
    <n v="473310"/>
  </r>
  <r>
    <n v="11504"/>
    <d v="2023-01-16T00:00:00"/>
    <x v="1"/>
    <x v="2"/>
    <x v="3"/>
    <n v="13"/>
    <n v="37393"/>
    <n v="486109"/>
    <n v="486109"/>
  </r>
  <r>
    <n v="11505"/>
    <d v="2023-11-21T00:00:00"/>
    <x v="4"/>
    <x v="2"/>
    <x v="0"/>
    <n v="9"/>
    <n v="28877"/>
    <n v="259893"/>
    <n v="259893"/>
  </r>
  <r>
    <n v="11506"/>
    <d v="2023-03-17T00:00:00"/>
    <x v="2"/>
    <x v="3"/>
    <x v="2"/>
    <n v="19"/>
    <n v="25772"/>
    <n v="489668"/>
    <n v="489668"/>
  </r>
  <r>
    <n v="11507"/>
    <d v="2023-01-11T00:00:00"/>
    <x v="4"/>
    <x v="3"/>
    <x v="4"/>
    <n v="20"/>
    <n v="19434"/>
    <n v="388680"/>
    <n v="388680"/>
  </r>
  <r>
    <n v="11508"/>
    <d v="2023-06-07T00:00:00"/>
    <x v="2"/>
    <x v="3"/>
    <x v="2"/>
    <n v="20"/>
    <n v="55964"/>
    <n v="1119280"/>
    <n v="1119280"/>
  </r>
  <r>
    <n v="11509"/>
    <d v="2023-11-28T00:00:00"/>
    <x v="5"/>
    <x v="2"/>
    <x v="0"/>
    <n v="14"/>
    <n v="13654"/>
    <n v="191156"/>
    <n v="191156"/>
  </r>
  <r>
    <n v="11510"/>
    <d v="2023-11-27T00:00:00"/>
    <x v="6"/>
    <x v="0"/>
    <x v="3"/>
    <n v="1"/>
    <n v="11348"/>
    <n v="11348"/>
    <n v="11348"/>
  </r>
  <r>
    <n v="11511"/>
    <d v="2023-02-22T00:00:00"/>
    <x v="1"/>
    <x v="1"/>
    <x v="5"/>
    <n v="7"/>
    <n v="17331"/>
    <n v="121317"/>
    <n v="121317"/>
  </r>
  <r>
    <n v="11512"/>
    <d v="2023-04-28T00:00:00"/>
    <x v="5"/>
    <x v="1"/>
    <x v="1"/>
    <n v="6"/>
    <n v="48449"/>
    <n v="290694"/>
    <n v="290694"/>
  </r>
  <r>
    <n v="11513"/>
    <d v="2023-11-16T00:00:00"/>
    <x v="3"/>
    <x v="1"/>
    <x v="1"/>
    <n v="16"/>
    <n v="56260"/>
    <n v="900160"/>
    <n v="900160"/>
  </r>
  <r>
    <n v="11514"/>
    <d v="2023-11-23T00:00:00"/>
    <x v="4"/>
    <x v="1"/>
    <x v="4"/>
    <n v="15"/>
    <n v="19810"/>
    <n v="297150"/>
    <n v="297150"/>
  </r>
  <r>
    <n v="11515"/>
    <d v="2023-11-17T00:00:00"/>
    <x v="4"/>
    <x v="3"/>
    <x v="5"/>
    <n v="9"/>
    <n v="30642"/>
    <n v="275778"/>
    <n v="275778"/>
  </r>
  <r>
    <n v="11516"/>
    <d v="2023-10-25T00:00:00"/>
    <x v="5"/>
    <x v="2"/>
    <x v="5"/>
    <n v="20"/>
    <n v="33128"/>
    <n v="662560"/>
    <n v="662560"/>
  </r>
  <r>
    <n v="11517"/>
    <d v="2023-04-12T00:00:00"/>
    <x v="4"/>
    <x v="3"/>
    <x v="0"/>
    <n v="11"/>
    <n v="18651"/>
    <n v="205161"/>
    <n v="205161"/>
  </r>
  <r>
    <n v="11518"/>
    <d v="2023-01-18T00:00:00"/>
    <x v="3"/>
    <x v="0"/>
    <x v="5"/>
    <n v="3"/>
    <n v="8386"/>
    <n v="25158"/>
    <n v="25158"/>
  </r>
  <r>
    <n v="11519"/>
    <d v="2023-10-28T00:00:00"/>
    <x v="3"/>
    <x v="2"/>
    <x v="2"/>
    <n v="12"/>
    <n v="52590"/>
    <n v="631080"/>
    <n v="631080"/>
  </r>
  <r>
    <n v="11520"/>
    <d v="2023-07-29T00:00:00"/>
    <x v="6"/>
    <x v="3"/>
    <x v="1"/>
    <n v="3"/>
    <n v="15158"/>
    <n v="45474"/>
    <n v="45474"/>
  </r>
  <r>
    <n v="11521"/>
    <d v="2023-09-10T00:00:00"/>
    <x v="1"/>
    <x v="1"/>
    <x v="0"/>
    <n v="11"/>
    <n v="7672"/>
    <n v="84392"/>
    <n v="84392"/>
  </r>
  <r>
    <n v="11522"/>
    <d v="2023-07-12T00:00:00"/>
    <x v="1"/>
    <x v="2"/>
    <x v="2"/>
    <n v="16"/>
    <n v="41394"/>
    <n v="662304"/>
    <n v="662304"/>
  </r>
  <r>
    <n v="11523"/>
    <d v="2023-11-27T00:00:00"/>
    <x v="6"/>
    <x v="2"/>
    <x v="4"/>
    <n v="11"/>
    <n v="38868"/>
    <n v="427548"/>
    <n v="427548"/>
  </r>
  <r>
    <n v="11524"/>
    <d v="2023-11-17T00:00:00"/>
    <x v="5"/>
    <x v="3"/>
    <x v="3"/>
    <n v="10"/>
    <n v="5198"/>
    <n v="51980"/>
    <n v="51980"/>
  </r>
  <r>
    <n v="11525"/>
    <d v="2023-06-07T00:00:00"/>
    <x v="1"/>
    <x v="1"/>
    <x v="2"/>
    <n v="4"/>
    <n v="3530"/>
    <n v="14120"/>
    <n v="14120"/>
  </r>
  <r>
    <n v="11526"/>
    <d v="2023-08-19T00:00:00"/>
    <x v="0"/>
    <x v="2"/>
    <x v="5"/>
    <n v="17"/>
    <n v="38343"/>
    <n v="651831"/>
    <n v="651831"/>
  </r>
  <r>
    <n v="11527"/>
    <d v="2023-12-24T00:00:00"/>
    <x v="1"/>
    <x v="0"/>
    <x v="2"/>
    <n v="18"/>
    <n v="11601"/>
    <n v="208818"/>
    <n v="208818"/>
  </r>
  <r>
    <n v="11528"/>
    <d v="2023-06-17T00:00:00"/>
    <x v="1"/>
    <x v="1"/>
    <x v="3"/>
    <n v="5"/>
    <n v="29614"/>
    <n v="148070"/>
    <n v="148070"/>
  </r>
  <r>
    <n v="11529"/>
    <d v="2023-12-28T00:00:00"/>
    <x v="3"/>
    <x v="3"/>
    <x v="2"/>
    <n v="13"/>
    <n v="14215"/>
    <n v="184795"/>
    <n v="184795"/>
  </r>
  <r>
    <n v="11530"/>
    <d v="2023-09-12T00:00:00"/>
    <x v="2"/>
    <x v="3"/>
    <x v="5"/>
    <n v="14"/>
    <n v="14830"/>
    <n v="207620"/>
    <n v="207620"/>
  </r>
  <r>
    <n v="11531"/>
    <d v="2023-07-29T00:00:00"/>
    <x v="6"/>
    <x v="0"/>
    <x v="5"/>
    <n v="18"/>
    <n v="34162"/>
    <n v="614916"/>
    <n v="614916"/>
  </r>
  <r>
    <n v="11532"/>
    <d v="2023-03-10T00:00:00"/>
    <x v="4"/>
    <x v="0"/>
    <x v="4"/>
    <n v="20"/>
    <n v="52065"/>
    <n v="1041300"/>
    <n v="1041300"/>
  </r>
  <r>
    <n v="11533"/>
    <d v="2023-09-08T00:00:00"/>
    <x v="2"/>
    <x v="0"/>
    <x v="2"/>
    <n v="3"/>
    <n v="23023"/>
    <n v="69069"/>
    <n v="69069"/>
  </r>
  <r>
    <n v="11534"/>
    <d v="2023-08-19T00:00:00"/>
    <x v="3"/>
    <x v="1"/>
    <x v="1"/>
    <n v="4"/>
    <n v="12776"/>
    <n v="51104"/>
    <n v="51104"/>
  </r>
  <r>
    <n v="11535"/>
    <d v="2023-03-22T00:00:00"/>
    <x v="2"/>
    <x v="2"/>
    <x v="3"/>
    <n v="14"/>
    <n v="10717"/>
    <n v="150038"/>
    <n v="150038"/>
  </r>
  <r>
    <n v="11536"/>
    <d v="2023-09-25T00:00:00"/>
    <x v="2"/>
    <x v="0"/>
    <x v="5"/>
    <n v="20"/>
    <n v="38414"/>
    <n v="768280"/>
    <n v="768280"/>
  </r>
  <r>
    <n v="11537"/>
    <d v="2023-06-05T00:00:00"/>
    <x v="4"/>
    <x v="2"/>
    <x v="1"/>
    <n v="7"/>
    <n v="36017"/>
    <n v="252119"/>
    <n v="252119"/>
  </r>
  <r>
    <n v="11538"/>
    <d v="2023-05-04T00:00:00"/>
    <x v="3"/>
    <x v="0"/>
    <x v="2"/>
    <n v="12"/>
    <n v="34659"/>
    <n v="415908"/>
    <n v="415908"/>
  </r>
  <r>
    <n v="11539"/>
    <d v="2024-01-01T00:00:00"/>
    <x v="5"/>
    <x v="0"/>
    <x v="0"/>
    <n v="4"/>
    <n v="19638"/>
    <n v="78552"/>
    <n v="78552"/>
  </r>
  <r>
    <n v="11540"/>
    <d v="2023-08-18T00:00:00"/>
    <x v="6"/>
    <x v="3"/>
    <x v="4"/>
    <n v="13"/>
    <n v="15029"/>
    <n v="195377"/>
    <n v="195377"/>
  </r>
  <r>
    <n v="11541"/>
    <d v="2023-12-20T00:00:00"/>
    <x v="1"/>
    <x v="3"/>
    <x v="3"/>
    <n v="6"/>
    <n v="59013"/>
    <n v="354078"/>
    <n v="354078"/>
  </r>
  <r>
    <n v="11542"/>
    <d v="2023-02-26T00:00:00"/>
    <x v="0"/>
    <x v="0"/>
    <x v="0"/>
    <n v="17"/>
    <n v="36474"/>
    <n v="620058"/>
    <n v="620058"/>
  </r>
  <r>
    <n v="11543"/>
    <d v="2023-09-06T00:00:00"/>
    <x v="0"/>
    <x v="0"/>
    <x v="1"/>
    <n v="10"/>
    <n v="57000"/>
    <n v="570000"/>
    <n v="570000"/>
  </r>
  <r>
    <n v="11544"/>
    <d v="2023-03-26T00:00:00"/>
    <x v="0"/>
    <x v="1"/>
    <x v="5"/>
    <n v="9"/>
    <n v="50556"/>
    <n v="455004"/>
    <n v="455004"/>
  </r>
  <r>
    <n v="11545"/>
    <d v="2023-05-04T00:00:00"/>
    <x v="1"/>
    <x v="0"/>
    <x v="3"/>
    <n v="11"/>
    <n v="26624"/>
    <n v="292864"/>
    <n v="292864"/>
  </r>
  <r>
    <n v="11546"/>
    <d v="2023-08-06T00:00:00"/>
    <x v="4"/>
    <x v="1"/>
    <x v="5"/>
    <n v="14"/>
    <n v="7200"/>
    <n v="100800"/>
    <n v="100800"/>
  </r>
  <r>
    <n v="11547"/>
    <d v="2023-09-23T00:00:00"/>
    <x v="4"/>
    <x v="3"/>
    <x v="4"/>
    <n v="14"/>
    <n v="26018"/>
    <n v="364252"/>
    <n v="364252"/>
  </r>
  <r>
    <n v="11548"/>
    <d v="2023-10-18T00:00:00"/>
    <x v="3"/>
    <x v="1"/>
    <x v="1"/>
    <n v="11"/>
    <n v="32540"/>
    <n v="357940"/>
    <n v="357940"/>
  </r>
  <r>
    <n v="11549"/>
    <d v="2023-05-02T00:00:00"/>
    <x v="0"/>
    <x v="1"/>
    <x v="4"/>
    <n v="4"/>
    <n v="37623"/>
    <n v="150492"/>
    <n v="150492"/>
  </r>
  <r>
    <n v="11550"/>
    <d v="2023-05-27T00:00:00"/>
    <x v="6"/>
    <x v="3"/>
    <x v="1"/>
    <n v="14"/>
    <n v="48862"/>
    <n v="684068"/>
    <n v="684068"/>
  </r>
  <r>
    <n v="11551"/>
    <d v="2023-01-28T00:00:00"/>
    <x v="3"/>
    <x v="0"/>
    <x v="2"/>
    <n v="19"/>
    <n v="52969"/>
    <n v="1006411"/>
    <n v="1006411"/>
  </r>
  <r>
    <n v="11552"/>
    <d v="2023-02-08T00:00:00"/>
    <x v="6"/>
    <x v="3"/>
    <x v="1"/>
    <n v="7"/>
    <n v="23666"/>
    <n v="165662"/>
    <n v="165662"/>
  </r>
  <r>
    <n v="11553"/>
    <d v="2023-12-31T00:00:00"/>
    <x v="4"/>
    <x v="0"/>
    <x v="1"/>
    <n v="6"/>
    <n v="39631"/>
    <n v="237786"/>
    <n v="237786"/>
  </r>
  <r>
    <n v="11554"/>
    <d v="2023-02-10T00:00:00"/>
    <x v="4"/>
    <x v="1"/>
    <x v="4"/>
    <n v="11"/>
    <n v="34318"/>
    <n v="377498"/>
    <n v="377498"/>
  </r>
  <r>
    <n v="11555"/>
    <d v="2023-09-29T00:00:00"/>
    <x v="6"/>
    <x v="3"/>
    <x v="2"/>
    <n v="11"/>
    <n v="41658"/>
    <n v="458238"/>
    <n v="458238"/>
  </r>
  <r>
    <n v="11556"/>
    <d v="2023-02-02T00:00:00"/>
    <x v="3"/>
    <x v="2"/>
    <x v="5"/>
    <n v="12"/>
    <n v="27181"/>
    <n v="326172"/>
    <n v="326172"/>
  </r>
  <r>
    <n v="11557"/>
    <d v="2023-03-31T00:00:00"/>
    <x v="3"/>
    <x v="2"/>
    <x v="0"/>
    <n v="16"/>
    <n v="1485"/>
    <n v="23760"/>
    <n v="23760"/>
  </r>
  <r>
    <n v="11558"/>
    <d v="2023-10-08T00:00:00"/>
    <x v="5"/>
    <x v="0"/>
    <x v="5"/>
    <n v="1"/>
    <n v="57200"/>
    <n v="57200"/>
    <n v="57200"/>
  </r>
  <r>
    <n v="11559"/>
    <d v="2023-11-12T00:00:00"/>
    <x v="1"/>
    <x v="1"/>
    <x v="3"/>
    <n v="6"/>
    <n v="12091"/>
    <n v="72546"/>
    <n v="72546"/>
  </r>
  <r>
    <n v="11560"/>
    <d v="2023-08-13T00:00:00"/>
    <x v="3"/>
    <x v="1"/>
    <x v="4"/>
    <n v="9"/>
    <n v="8423"/>
    <n v="75807"/>
    <n v="75807"/>
  </r>
  <r>
    <n v="11561"/>
    <d v="2023-10-03T00:00:00"/>
    <x v="1"/>
    <x v="3"/>
    <x v="0"/>
    <n v="14"/>
    <n v="15474"/>
    <n v="216636"/>
    <n v="216636"/>
  </r>
  <r>
    <n v="11562"/>
    <d v="2023-09-01T00:00:00"/>
    <x v="2"/>
    <x v="3"/>
    <x v="1"/>
    <n v="15"/>
    <n v="1367"/>
    <n v="20505"/>
    <n v="20505"/>
  </r>
  <r>
    <n v="11563"/>
    <d v="2023-12-10T00:00:00"/>
    <x v="3"/>
    <x v="2"/>
    <x v="4"/>
    <n v="18"/>
    <n v="53008"/>
    <n v="954144"/>
    <n v="954144"/>
  </r>
  <r>
    <n v="11564"/>
    <d v="2023-10-28T00:00:00"/>
    <x v="2"/>
    <x v="2"/>
    <x v="5"/>
    <n v="2"/>
    <n v="36075"/>
    <n v="72150"/>
    <n v="72150"/>
  </r>
  <r>
    <n v="11565"/>
    <d v="2023-06-08T00:00:00"/>
    <x v="5"/>
    <x v="1"/>
    <x v="4"/>
    <n v="2"/>
    <n v="52884"/>
    <n v="105768"/>
    <n v="105768"/>
  </r>
  <r>
    <n v="11566"/>
    <d v="2023-12-18T00:00:00"/>
    <x v="0"/>
    <x v="1"/>
    <x v="5"/>
    <n v="16"/>
    <n v="13361"/>
    <n v="213776"/>
    <n v="213776"/>
  </r>
  <r>
    <n v="11567"/>
    <d v="2023-11-06T00:00:00"/>
    <x v="3"/>
    <x v="1"/>
    <x v="0"/>
    <n v="1"/>
    <n v="48516"/>
    <n v="48516"/>
    <n v="48516"/>
  </r>
  <r>
    <n v="11568"/>
    <d v="2023-07-13T00:00:00"/>
    <x v="2"/>
    <x v="0"/>
    <x v="4"/>
    <n v="3"/>
    <n v="32524"/>
    <n v="97572"/>
    <n v="97572"/>
  </r>
  <r>
    <n v="11569"/>
    <d v="2023-08-03T00:00:00"/>
    <x v="2"/>
    <x v="3"/>
    <x v="0"/>
    <n v="8"/>
    <n v="9348"/>
    <n v="74784"/>
    <n v="74784"/>
  </r>
  <r>
    <n v="11570"/>
    <d v="2023-09-14T00:00:00"/>
    <x v="6"/>
    <x v="1"/>
    <x v="2"/>
    <n v="17"/>
    <n v="47956"/>
    <n v="815252"/>
    <n v="815252"/>
  </r>
  <r>
    <n v="11571"/>
    <d v="2023-01-19T00:00:00"/>
    <x v="1"/>
    <x v="2"/>
    <x v="3"/>
    <n v="18"/>
    <n v="55736"/>
    <n v="1003248"/>
    <n v="1003248"/>
  </r>
  <r>
    <n v="11572"/>
    <d v="2023-08-15T00:00:00"/>
    <x v="0"/>
    <x v="3"/>
    <x v="4"/>
    <n v="20"/>
    <n v="54207"/>
    <n v="1084140"/>
    <n v="1084140"/>
  </r>
  <r>
    <n v="11573"/>
    <d v="2023-04-08T00:00:00"/>
    <x v="3"/>
    <x v="2"/>
    <x v="3"/>
    <n v="18"/>
    <n v="10628"/>
    <n v="191304"/>
    <n v="191304"/>
  </r>
  <r>
    <n v="11574"/>
    <d v="2023-04-10T00:00:00"/>
    <x v="1"/>
    <x v="1"/>
    <x v="5"/>
    <n v="8"/>
    <n v="58912"/>
    <n v="471296"/>
    <n v="471296"/>
  </r>
  <r>
    <n v="11575"/>
    <d v="2023-07-20T00:00:00"/>
    <x v="2"/>
    <x v="2"/>
    <x v="0"/>
    <n v="17"/>
    <n v="59405"/>
    <n v="1009885"/>
    <n v="1009885"/>
  </r>
  <r>
    <n v="11576"/>
    <d v="2023-10-30T00:00:00"/>
    <x v="3"/>
    <x v="1"/>
    <x v="2"/>
    <n v="20"/>
    <n v="37118"/>
    <n v="742360"/>
    <n v="742360"/>
  </r>
  <r>
    <n v="11577"/>
    <d v="2023-09-14T00:00:00"/>
    <x v="6"/>
    <x v="1"/>
    <x v="4"/>
    <n v="19"/>
    <n v="22580"/>
    <n v="429020"/>
    <n v="429020"/>
  </r>
  <r>
    <n v="11578"/>
    <d v="2023-05-14T00:00:00"/>
    <x v="1"/>
    <x v="1"/>
    <x v="0"/>
    <n v="20"/>
    <n v="35658"/>
    <n v="713160"/>
    <n v="713160"/>
  </r>
  <r>
    <n v="11579"/>
    <d v="2023-12-27T00:00:00"/>
    <x v="0"/>
    <x v="3"/>
    <x v="1"/>
    <n v="15"/>
    <n v="17064"/>
    <n v="255960"/>
    <n v="255960"/>
  </r>
  <r>
    <n v="11580"/>
    <d v="2023-10-27T00:00:00"/>
    <x v="2"/>
    <x v="1"/>
    <x v="3"/>
    <n v="6"/>
    <n v="51973"/>
    <n v="311838"/>
    <n v="311838"/>
  </r>
  <r>
    <n v="11581"/>
    <d v="2023-11-10T00:00:00"/>
    <x v="3"/>
    <x v="3"/>
    <x v="1"/>
    <n v="3"/>
    <n v="24991"/>
    <n v="74973"/>
    <n v="74973"/>
  </r>
  <r>
    <n v="11582"/>
    <d v="2023-12-03T00:00:00"/>
    <x v="4"/>
    <x v="3"/>
    <x v="5"/>
    <n v="17"/>
    <n v="27332"/>
    <n v="464644"/>
    <n v="464644"/>
  </r>
  <r>
    <n v="11583"/>
    <d v="2023-12-29T00:00:00"/>
    <x v="5"/>
    <x v="3"/>
    <x v="0"/>
    <n v="18"/>
    <n v="2858"/>
    <n v="51444"/>
    <n v="51444"/>
  </r>
  <r>
    <n v="11584"/>
    <d v="2023-02-26T00:00:00"/>
    <x v="2"/>
    <x v="1"/>
    <x v="0"/>
    <n v="4"/>
    <n v="51953"/>
    <n v="207812"/>
    <n v="207812"/>
  </r>
  <r>
    <n v="11585"/>
    <d v="2023-08-09T00:00:00"/>
    <x v="5"/>
    <x v="0"/>
    <x v="2"/>
    <n v="4"/>
    <n v="20239"/>
    <n v="80956"/>
    <n v="80956"/>
  </r>
  <r>
    <n v="11586"/>
    <d v="2023-11-30T00:00:00"/>
    <x v="2"/>
    <x v="1"/>
    <x v="5"/>
    <n v="11"/>
    <n v="45907"/>
    <n v="504977"/>
    <n v="504977"/>
  </r>
  <r>
    <n v="11587"/>
    <d v="2023-07-14T00:00:00"/>
    <x v="1"/>
    <x v="2"/>
    <x v="2"/>
    <n v="20"/>
    <n v="48330"/>
    <n v="966600"/>
    <n v="966600"/>
  </r>
  <r>
    <n v="11588"/>
    <d v="2024-01-01T00:00:00"/>
    <x v="2"/>
    <x v="1"/>
    <x v="3"/>
    <n v="8"/>
    <n v="14113"/>
    <n v="112904"/>
    <n v="112904"/>
  </r>
  <r>
    <n v="11589"/>
    <d v="2023-01-19T00:00:00"/>
    <x v="2"/>
    <x v="0"/>
    <x v="0"/>
    <n v="17"/>
    <n v="15731"/>
    <n v="267427"/>
    <n v="267427"/>
  </r>
  <r>
    <n v="11590"/>
    <d v="2023-02-26T00:00:00"/>
    <x v="0"/>
    <x v="1"/>
    <x v="5"/>
    <n v="2"/>
    <n v="50458"/>
    <n v="100916"/>
    <n v="100916"/>
  </r>
  <r>
    <n v="11591"/>
    <d v="2023-09-11T00:00:00"/>
    <x v="4"/>
    <x v="3"/>
    <x v="1"/>
    <n v="4"/>
    <n v="5213"/>
    <n v="20852"/>
    <n v="20852"/>
  </r>
  <r>
    <n v="11592"/>
    <d v="2023-03-18T00:00:00"/>
    <x v="1"/>
    <x v="3"/>
    <x v="2"/>
    <n v="13"/>
    <n v="5968"/>
    <n v="77584"/>
    <n v="77584"/>
  </r>
  <r>
    <n v="11593"/>
    <d v="2023-06-30T00:00:00"/>
    <x v="0"/>
    <x v="2"/>
    <x v="4"/>
    <n v="4"/>
    <n v="54407"/>
    <n v="217628"/>
    <n v="217628"/>
  </r>
  <r>
    <n v="11594"/>
    <d v="2023-03-12T00:00:00"/>
    <x v="5"/>
    <x v="2"/>
    <x v="3"/>
    <n v="17"/>
    <n v="27932"/>
    <n v="474844"/>
    <n v="474844"/>
  </r>
  <r>
    <n v="11595"/>
    <d v="2023-08-30T00:00:00"/>
    <x v="5"/>
    <x v="3"/>
    <x v="1"/>
    <n v="11"/>
    <n v="26839"/>
    <n v="295229"/>
    <n v="295229"/>
  </r>
  <r>
    <n v="11596"/>
    <d v="2023-06-15T00:00:00"/>
    <x v="6"/>
    <x v="3"/>
    <x v="5"/>
    <n v="16"/>
    <n v="31888"/>
    <n v="510208"/>
    <n v="510208"/>
  </r>
  <r>
    <n v="11597"/>
    <d v="2023-07-14T00:00:00"/>
    <x v="5"/>
    <x v="0"/>
    <x v="3"/>
    <n v="11"/>
    <n v="16721"/>
    <n v="183931"/>
    <n v="183931"/>
  </r>
  <r>
    <n v="11598"/>
    <d v="2023-07-21T00:00:00"/>
    <x v="2"/>
    <x v="0"/>
    <x v="5"/>
    <n v="8"/>
    <n v="45753"/>
    <n v="366024"/>
    <n v="366024"/>
  </r>
  <r>
    <n v="11599"/>
    <d v="2023-10-24T00:00:00"/>
    <x v="3"/>
    <x v="3"/>
    <x v="0"/>
    <n v="18"/>
    <n v="56896"/>
    <n v="1024128"/>
    <n v="1024128"/>
  </r>
  <r>
    <n v="11600"/>
    <d v="2023-06-22T00:00:00"/>
    <x v="5"/>
    <x v="2"/>
    <x v="2"/>
    <n v="12"/>
    <n v="17380"/>
    <n v="208560"/>
    <n v="208560"/>
  </r>
  <r>
    <n v="11601"/>
    <d v="2023-07-13T00:00:00"/>
    <x v="3"/>
    <x v="1"/>
    <x v="4"/>
    <n v="4"/>
    <n v="19731"/>
    <n v="78924"/>
    <n v="78924"/>
  </r>
  <r>
    <n v="11602"/>
    <d v="2023-03-27T00:00:00"/>
    <x v="6"/>
    <x v="2"/>
    <x v="1"/>
    <n v="18"/>
    <n v="40358"/>
    <n v="726444"/>
    <n v="726444"/>
  </r>
  <r>
    <n v="11603"/>
    <d v="2023-10-11T00:00:00"/>
    <x v="3"/>
    <x v="0"/>
    <x v="5"/>
    <n v="2"/>
    <n v="58448"/>
    <n v="116896"/>
    <n v="116896"/>
  </r>
  <r>
    <n v="11604"/>
    <d v="2023-06-28T00:00:00"/>
    <x v="0"/>
    <x v="0"/>
    <x v="1"/>
    <n v="6"/>
    <n v="29409"/>
    <n v="176454"/>
    <n v="176454"/>
  </r>
  <r>
    <n v="11605"/>
    <d v="2023-08-25T00:00:00"/>
    <x v="6"/>
    <x v="3"/>
    <x v="5"/>
    <n v="10"/>
    <n v="33275"/>
    <n v="332750"/>
    <n v="332750"/>
  </r>
  <r>
    <n v="11606"/>
    <d v="2023-05-13T00:00:00"/>
    <x v="3"/>
    <x v="0"/>
    <x v="2"/>
    <n v="3"/>
    <n v="32739"/>
    <n v="98217"/>
    <n v="98217"/>
  </r>
  <r>
    <n v="11607"/>
    <d v="2023-02-16T00:00:00"/>
    <x v="3"/>
    <x v="3"/>
    <x v="0"/>
    <n v="12"/>
    <n v="16954"/>
    <n v="203448"/>
    <n v="203448"/>
  </r>
  <r>
    <n v="11608"/>
    <d v="2023-02-01T00:00:00"/>
    <x v="4"/>
    <x v="1"/>
    <x v="3"/>
    <n v="3"/>
    <n v="21520"/>
    <n v="64560"/>
    <n v="64560"/>
  </r>
  <r>
    <n v="11609"/>
    <d v="2023-11-14T00:00:00"/>
    <x v="5"/>
    <x v="2"/>
    <x v="5"/>
    <n v="19"/>
    <n v="21174"/>
    <n v="402306"/>
    <n v="402306"/>
  </r>
  <r>
    <n v="11610"/>
    <d v="2023-08-16T00:00:00"/>
    <x v="5"/>
    <x v="0"/>
    <x v="3"/>
    <n v="15"/>
    <n v="11689"/>
    <n v="175335"/>
    <n v="175335"/>
  </r>
  <r>
    <n v="11611"/>
    <d v="2023-05-20T00:00:00"/>
    <x v="5"/>
    <x v="3"/>
    <x v="1"/>
    <n v="7"/>
    <n v="16697"/>
    <n v="116879"/>
    <n v="116879"/>
  </r>
  <r>
    <n v="11612"/>
    <d v="2023-01-31T00:00:00"/>
    <x v="6"/>
    <x v="2"/>
    <x v="0"/>
    <n v="16"/>
    <n v="44134"/>
    <n v="706144"/>
    <n v="706144"/>
  </r>
  <r>
    <n v="11613"/>
    <d v="2023-04-12T00:00:00"/>
    <x v="1"/>
    <x v="3"/>
    <x v="1"/>
    <n v="7"/>
    <n v="45867"/>
    <n v="321069"/>
    <n v="321069"/>
  </r>
  <r>
    <n v="11614"/>
    <d v="2023-09-17T00:00:00"/>
    <x v="1"/>
    <x v="2"/>
    <x v="2"/>
    <n v="20"/>
    <n v="8871"/>
    <n v="177420"/>
    <n v="177420"/>
  </r>
  <r>
    <n v="11615"/>
    <d v="2023-01-02T00:00:00"/>
    <x v="3"/>
    <x v="2"/>
    <x v="0"/>
    <n v="5"/>
    <n v="36108"/>
    <n v="180540"/>
    <n v="180540"/>
  </r>
  <r>
    <n v="11616"/>
    <d v="2023-09-04T00:00:00"/>
    <x v="1"/>
    <x v="2"/>
    <x v="5"/>
    <n v="14"/>
    <n v="39614"/>
    <n v="554596"/>
    <n v="554596"/>
  </r>
  <r>
    <n v="11617"/>
    <d v="2023-06-08T00:00:00"/>
    <x v="0"/>
    <x v="0"/>
    <x v="3"/>
    <n v="1"/>
    <n v="16262"/>
    <n v="16262"/>
    <n v="16262"/>
  </r>
  <r>
    <n v="11618"/>
    <d v="2023-05-26T00:00:00"/>
    <x v="2"/>
    <x v="0"/>
    <x v="0"/>
    <n v="7"/>
    <n v="2412"/>
    <n v="16884"/>
    <n v="16884"/>
  </r>
  <r>
    <n v="11619"/>
    <d v="2023-09-10T00:00:00"/>
    <x v="4"/>
    <x v="1"/>
    <x v="5"/>
    <n v="13"/>
    <n v="50427"/>
    <n v="655551"/>
    <n v="655551"/>
  </r>
  <r>
    <n v="11620"/>
    <d v="2023-01-17T00:00:00"/>
    <x v="5"/>
    <x v="3"/>
    <x v="0"/>
    <n v="15"/>
    <n v="53634"/>
    <n v="804510"/>
    <n v="804510"/>
  </r>
  <r>
    <n v="11621"/>
    <d v="2023-03-01T00:00:00"/>
    <x v="0"/>
    <x v="0"/>
    <x v="2"/>
    <n v="6"/>
    <n v="53190"/>
    <n v="319140"/>
    <n v="319140"/>
  </r>
  <r>
    <n v="11622"/>
    <d v="2023-04-08T00:00:00"/>
    <x v="1"/>
    <x v="2"/>
    <x v="5"/>
    <n v="18"/>
    <n v="46723"/>
    <n v="841014"/>
    <n v="841014"/>
  </r>
  <r>
    <n v="11623"/>
    <d v="2023-12-19T00:00:00"/>
    <x v="6"/>
    <x v="1"/>
    <x v="4"/>
    <n v="4"/>
    <n v="18015"/>
    <n v="72060"/>
    <n v="72060"/>
  </r>
  <r>
    <n v="11624"/>
    <d v="2023-06-24T00:00:00"/>
    <x v="2"/>
    <x v="3"/>
    <x v="1"/>
    <n v="8"/>
    <n v="49995"/>
    <n v="399960"/>
    <n v="399960"/>
  </r>
  <r>
    <n v="11625"/>
    <d v="2023-06-11T00:00:00"/>
    <x v="2"/>
    <x v="3"/>
    <x v="5"/>
    <n v="19"/>
    <n v="2181"/>
    <n v="41439"/>
    <n v="41439"/>
  </r>
  <r>
    <n v="11626"/>
    <d v="2023-06-07T00:00:00"/>
    <x v="0"/>
    <x v="0"/>
    <x v="4"/>
    <n v="19"/>
    <n v="6829"/>
    <n v="129751"/>
    <n v="129751"/>
  </r>
  <r>
    <n v="11627"/>
    <d v="2023-12-04T00:00:00"/>
    <x v="4"/>
    <x v="3"/>
    <x v="3"/>
    <n v="9"/>
    <n v="50611"/>
    <n v="455499"/>
    <n v="455499"/>
  </r>
  <r>
    <n v="11628"/>
    <d v="2023-12-23T00:00:00"/>
    <x v="1"/>
    <x v="1"/>
    <x v="5"/>
    <n v="2"/>
    <n v="7881"/>
    <n v="15762"/>
    <n v="15762"/>
  </r>
  <r>
    <n v="11629"/>
    <d v="2023-12-29T00:00:00"/>
    <x v="3"/>
    <x v="0"/>
    <x v="5"/>
    <n v="12"/>
    <n v="38951"/>
    <n v="467412"/>
    <n v="467412"/>
  </r>
  <r>
    <n v="11630"/>
    <d v="2023-05-16T00:00:00"/>
    <x v="4"/>
    <x v="0"/>
    <x v="5"/>
    <n v="11"/>
    <n v="48332"/>
    <n v="531652"/>
    <n v="531652"/>
  </r>
  <r>
    <n v="11631"/>
    <d v="2023-11-30T00:00:00"/>
    <x v="0"/>
    <x v="3"/>
    <x v="3"/>
    <n v="9"/>
    <n v="40237"/>
    <n v="362133"/>
    <n v="362133"/>
  </r>
  <r>
    <n v="11632"/>
    <d v="2023-11-17T00:00:00"/>
    <x v="5"/>
    <x v="3"/>
    <x v="3"/>
    <n v="2"/>
    <n v="15218"/>
    <n v="30436"/>
    <n v="30436"/>
  </r>
  <r>
    <n v="11633"/>
    <d v="2023-12-02T00:00:00"/>
    <x v="3"/>
    <x v="1"/>
    <x v="1"/>
    <n v="9"/>
    <n v="15725"/>
    <n v="141525"/>
    <n v="141525"/>
  </r>
  <r>
    <n v="11634"/>
    <d v="2023-08-17T00:00:00"/>
    <x v="4"/>
    <x v="3"/>
    <x v="5"/>
    <n v="12"/>
    <n v="46609"/>
    <n v="559308"/>
    <n v="559308"/>
  </r>
  <r>
    <n v="11635"/>
    <d v="2023-07-20T00:00:00"/>
    <x v="4"/>
    <x v="2"/>
    <x v="4"/>
    <n v="7"/>
    <n v="2343"/>
    <n v="16401"/>
    <n v="16401"/>
  </r>
  <r>
    <n v="11636"/>
    <d v="2023-07-23T00:00:00"/>
    <x v="5"/>
    <x v="1"/>
    <x v="0"/>
    <n v="7"/>
    <n v="17739"/>
    <n v="124173"/>
    <n v="124173"/>
  </r>
  <r>
    <n v="11637"/>
    <d v="2023-11-21T00:00:00"/>
    <x v="1"/>
    <x v="0"/>
    <x v="1"/>
    <n v="12"/>
    <n v="13602"/>
    <n v="163224"/>
    <n v="163224"/>
  </r>
  <r>
    <n v="11638"/>
    <d v="2023-02-14T00:00:00"/>
    <x v="5"/>
    <x v="1"/>
    <x v="2"/>
    <n v="15"/>
    <n v="13821"/>
    <n v="207315"/>
    <n v="207315"/>
  </r>
  <r>
    <n v="11639"/>
    <d v="2023-08-21T00:00:00"/>
    <x v="0"/>
    <x v="3"/>
    <x v="5"/>
    <n v="19"/>
    <n v="56485"/>
    <n v="1073215"/>
    <n v="1073215"/>
  </r>
  <r>
    <n v="11640"/>
    <d v="2023-12-23T00:00:00"/>
    <x v="3"/>
    <x v="0"/>
    <x v="4"/>
    <n v="14"/>
    <n v="46117"/>
    <n v="645638"/>
    <n v="645638"/>
  </r>
  <r>
    <n v="11641"/>
    <d v="2023-07-05T00:00:00"/>
    <x v="1"/>
    <x v="2"/>
    <x v="5"/>
    <n v="7"/>
    <n v="45133"/>
    <n v="315931"/>
    <n v="315931"/>
  </r>
  <r>
    <n v="11642"/>
    <d v="2023-05-17T00:00:00"/>
    <x v="0"/>
    <x v="3"/>
    <x v="1"/>
    <n v="10"/>
    <n v="29502"/>
    <n v="295020"/>
    <n v="295020"/>
  </r>
  <r>
    <n v="11643"/>
    <d v="2023-12-19T00:00:00"/>
    <x v="5"/>
    <x v="1"/>
    <x v="0"/>
    <n v="9"/>
    <n v="25336"/>
    <n v="228024"/>
    <n v="228024"/>
  </r>
  <r>
    <n v="11644"/>
    <d v="2023-09-01T00:00:00"/>
    <x v="5"/>
    <x v="2"/>
    <x v="4"/>
    <n v="12"/>
    <n v="50740"/>
    <n v="608880"/>
    <n v="608880"/>
  </r>
  <r>
    <n v="11645"/>
    <d v="2023-05-27T00:00:00"/>
    <x v="5"/>
    <x v="1"/>
    <x v="4"/>
    <n v="12"/>
    <n v="29730"/>
    <n v="356760"/>
    <n v="356760"/>
  </r>
  <r>
    <n v="11646"/>
    <d v="2023-10-16T00:00:00"/>
    <x v="0"/>
    <x v="2"/>
    <x v="5"/>
    <n v="4"/>
    <n v="53660"/>
    <n v="214640"/>
    <n v="214640"/>
  </r>
  <r>
    <n v="11647"/>
    <d v="2023-12-24T00:00:00"/>
    <x v="3"/>
    <x v="2"/>
    <x v="5"/>
    <n v="2"/>
    <n v="16161"/>
    <n v="32322"/>
    <n v="32322"/>
  </r>
  <r>
    <n v="11648"/>
    <d v="2023-02-25T00:00:00"/>
    <x v="0"/>
    <x v="2"/>
    <x v="5"/>
    <n v="14"/>
    <n v="49488"/>
    <n v="692832"/>
    <n v="692832"/>
  </r>
  <r>
    <n v="11649"/>
    <d v="2023-10-02T00:00:00"/>
    <x v="4"/>
    <x v="0"/>
    <x v="3"/>
    <n v="20"/>
    <n v="27864"/>
    <n v="557280"/>
    <n v="557280"/>
  </r>
  <r>
    <n v="11650"/>
    <d v="2023-01-03T00:00:00"/>
    <x v="2"/>
    <x v="1"/>
    <x v="4"/>
    <n v="2"/>
    <n v="28378"/>
    <n v="56756"/>
    <n v="56756"/>
  </r>
  <r>
    <n v="11651"/>
    <d v="2023-11-06T00:00:00"/>
    <x v="4"/>
    <x v="1"/>
    <x v="0"/>
    <n v="11"/>
    <n v="43465"/>
    <n v="478115"/>
    <n v="478115"/>
  </r>
  <r>
    <n v="11652"/>
    <d v="2023-09-05T00:00:00"/>
    <x v="0"/>
    <x v="0"/>
    <x v="0"/>
    <n v="12"/>
    <n v="39470"/>
    <n v="473640"/>
    <n v="473640"/>
  </r>
  <r>
    <n v="11653"/>
    <d v="2023-07-16T00:00:00"/>
    <x v="6"/>
    <x v="0"/>
    <x v="1"/>
    <n v="7"/>
    <n v="11855"/>
    <n v="82985"/>
    <n v="82985"/>
  </r>
  <r>
    <n v="11654"/>
    <d v="2023-08-18T00:00:00"/>
    <x v="3"/>
    <x v="0"/>
    <x v="4"/>
    <n v="6"/>
    <n v="12917"/>
    <n v="77502"/>
    <n v="77502"/>
  </r>
  <r>
    <n v="11655"/>
    <d v="2023-06-03T00:00:00"/>
    <x v="2"/>
    <x v="0"/>
    <x v="1"/>
    <n v="5"/>
    <n v="9128"/>
    <n v="45640"/>
    <n v="45640"/>
  </r>
  <r>
    <n v="11656"/>
    <d v="2023-11-10T00:00:00"/>
    <x v="0"/>
    <x v="2"/>
    <x v="4"/>
    <n v="15"/>
    <n v="30371"/>
    <n v="455565"/>
    <n v="455565"/>
  </r>
  <r>
    <n v="11657"/>
    <d v="2023-04-07T00:00:00"/>
    <x v="3"/>
    <x v="2"/>
    <x v="5"/>
    <n v="11"/>
    <n v="14393"/>
    <n v="158323"/>
    <n v="158323"/>
  </r>
  <r>
    <n v="11658"/>
    <d v="2023-05-14T00:00:00"/>
    <x v="2"/>
    <x v="3"/>
    <x v="4"/>
    <n v="20"/>
    <n v="48573"/>
    <n v="971460"/>
    <n v="971460"/>
  </r>
  <r>
    <n v="11659"/>
    <d v="2023-05-23T00:00:00"/>
    <x v="6"/>
    <x v="0"/>
    <x v="4"/>
    <n v="16"/>
    <n v="14595"/>
    <n v="233520"/>
    <n v="233520"/>
  </r>
  <r>
    <n v="11660"/>
    <d v="2023-03-24T00:00:00"/>
    <x v="1"/>
    <x v="2"/>
    <x v="4"/>
    <n v="19"/>
    <n v="15792"/>
    <n v="300048"/>
    <n v="300048"/>
  </r>
  <r>
    <n v="11661"/>
    <d v="2023-03-28T00:00:00"/>
    <x v="4"/>
    <x v="2"/>
    <x v="4"/>
    <n v="1"/>
    <n v="15018"/>
    <n v="15018"/>
    <n v="15018"/>
  </r>
  <r>
    <n v="11662"/>
    <d v="2023-04-01T00:00:00"/>
    <x v="4"/>
    <x v="0"/>
    <x v="4"/>
    <n v="6"/>
    <n v="55518"/>
    <n v="333108"/>
    <n v="333108"/>
  </r>
  <r>
    <n v="11663"/>
    <d v="2023-12-16T00:00:00"/>
    <x v="5"/>
    <x v="2"/>
    <x v="0"/>
    <n v="10"/>
    <n v="32637"/>
    <n v="326370"/>
    <n v="326370"/>
  </r>
  <r>
    <n v="11664"/>
    <d v="2023-05-29T00:00:00"/>
    <x v="0"/>
    <x v="3"/>
    <x v="1"/>
    <n v="13"/>
    <n v="55216"/>
    <n v="717808"/>
    <n v="717808"/>
  </r>
  <r>
    <n v="11665"/>
    <d v="2023-06-24T00:00:00"/>
    <x v="1"/>
    <x v="3"/>
    <x v="0"/>
    <n v="11"/>
    <n v="25421"/>
    <n v="279631"/>
    <n v="279631"/>
  </r>
  <r>
    <n v="11666"/>
    <d v="2023-08-21T00:00:00"/>
    <x v="0"/>
    <x v="0"/>
    <x v="2"/>
    <n v="13"/>
    <n v="8539"/>
    <n v="111007"/>
    <n v="111007"/>
  </r>
  <r>
    <n v="11667"/>
    <d v="2023-05-22T00:00:00"/>
    <x v="1"/>
    <x v="0"/>
    <x v="2"/>
    <n v="10"/>
    <n v="25091"/>
    <n v="250910"/>
    <n v="250910"/>
  </r>
  <r>
    <n v="11668"/>
    <d v="2023-11-30T00:00:00"/>
    <x v="4"/>
    <x v="0"/>
    <x v="1"/>
    <n v="2"/>
    <n v="39222"/>
    <n v="78444"/>
    <n v="78444"/>
  </r>
  <r>
    <n v="11669"/>
    <d v="2023-02-18T00:00:00"/>
    <x v="1"/>
    <x v="0"/>
    <x v="4"/>
    <n v="7"/>
    <n v="43302"/>
    <n v="303114"/>
    <n v="303114"/>
  </r>
  <r>
    <n v="11670"/>
    <d v="2023-12-12T00:00:00"/>
    <x v="4"/>
    <x v="2"/>
    <x v="4"/>
    <n v="5"/>
    <n v="48800"/>
    <n v="244000"/>
    <n v="244000"/>
  </r>
  <r>
    <n v="11671"/>
    <d v="2023-08-22T00:00:00"/>
    <x v="2"/>
    <x v="1"/>
    <x v="4"/>
    <n v="1"/>
    <n v="50462"/>
    <n v="50462"/>
    <n v="50462"/>
  </r>
  <r>
    <n v="11672"/>
    <d v="2023-10-27T00:00:00"/>
    <x v="6"/>
    <x v="3"/>
    <x v="2"/>
    <n v="12"/>
    <n v="54186"/>
    <n v="650232"/>
    <n v="650232"/>
  </r>
  <r>
    <n v="11673"/>
    <d v="2023-06-30T00:00:00"/>
    <x v="4"/>
    <x v="2"/>
    <x v="3"/>
    <n v="13"/>
    <n v="16984"/>
    <n v="220792"/>
    <n v="220792"/>
  </r>
  <r>
    <n v="11674"/>
    <d v="2023-05-19T00:00:00"/>
    <x v="4"/>
    <x v="0"/>
    <x v="3"/>
    <n v="10"/>
    <n v="27032"/>
    <n v="270320"/>
    <n v="270320"/>
  </r>
  <r>
    <n v="11675"/>
    <d v="2023-04-18T00:00:00"/>
    <x v="6"/>
    <x v="0"/>
    <x v="4"/>
    <n v="8"/>
    <n v="45806"/>
    <n v="366448"/>
    <n v="366448"/>
  </r>
  <r>
    <n v="11676"/>
    <d v="2023-04-06T00:00:00"/>
    <x v="4"/>
    <x v="0"/>
    <x v="0"/>
    <n v="19"/>
    <n v="14358"/>
    <n v="272802"/>
    <n v="272802"/>
  </r>
  <r>
    <n v="11677"/>
    <d v="2023-01-11T00:00:00"/>
    <x v="3"/>
    <x v="1"/>
    <x v="5"/>
    <n v="1"/>
    <n v="20556"/>
    <n v="20556"/>
    <n v="20556"/>
  </r>
  <r>
    <n v="11678"/>
    <d v="2023-05-10T00:00:00"/>
    <x v="6"/>
    <x v="0"/>
    <x v="4"/>
    <n v="6"/>
    <n v="50786"/>
    <n v="304716"/>
    <n v="304716"/>
  </r>
  <r>
    <n v="11679"/>
    <d v="2023-02-04T00:00:00"/>
    <x v="5"/>
    <x v="3"/>
    <x v="4"/>
    <n v="14"/>
    <n v="23676"/>
    <n v="331464"/>
    <n v="331464"/>
  </r>
  <r>
    <n v="11680"/>
    <d v="2023-07-19T00:00:00"/>
    <x v="1"/>
    <x v="1"/>
    <x v="3"/>
    <n v="10"/>
    <n v="10377"/>
    <n v="103770"/>
    <n v="103770"/>
  </r>
  <r>
    <n v="11681"/>
    <d v="2023-05-22T00:00:00"/>
    <x v="2"/>
    <x v="2"/>
    <x v="2"/>
    <n v="11"/>
    <n v="32812"/>
    <n v="360932"/>
    <n v="360932"/>
  </r>
  <r>
    <n v="11682"/>
    <d v="2023-12-07T00:00:00"/>
    <x v="5"/>
    <x v="2"/>
    <x v="1"/>
    <n v="6"/>
    <n v="46842"/>
    <n v="281052"/>
    <n v="281052"/>
  </r>
  <r>
    <n v="11683"/>
    <d v="2023-10-02T00:00:00"/>
    <x v="4"/>
    <x v="2"/>
    <x v="0"/>
    <n v="6"/>
    <n v="17804"/>
    <n v="106824"/>
    <n v="106824"/>
  </r>
  <r>
    <n v="11684"/>
    <d v="2023-01-11T00:00:00"/>
    <x v="6"/>
    <x v="0"/>
    <x v="2"/>
    <n v="19"/>
    <n v="7655"/>
    <n v="145445"/>
    <n v="145445"/>
  </r>
  <r>
    <n v="11685"/>
    <d v="2023-10-21T00:00:00"/>
    <x v="3"/>
    <x v="0"/>
    <x v="4"/>
    <n v="5"/>
    <n v="24332"/>
    <n v="121660"/>
    <n v="121660"/>
  </r>
  <r>
    <n v="11686"/>
    <d v="2023-03-24T00:00:00"/>
    <x v="5"/>
    <x v="1"/>
    <x v="0"/>
    <n v="17"/>
    <n v="26498"/>
    <n v="450466"/>
    <n v="450466"/>
  </r>
  <r>
    <n v="11687"/>
    <d v="2023-11-20T00:00:00"/>
    <x v="0"/>
    <x v="2"/>
    <x v="5"/>
    <n v="17"/>
    <n v="6818"/>
    <n v="115906"/>
    <n v="115906"/>
  </r>
  <r>
    <n v="11688"/>
    <d v="2023-04-24T00:00:00"/>
    <x v="3"/>
    <x v="3"/>
    <x v="3"/>
    <n v="20"/>
    <n v="30078"/>
    <n v="601560"/>
    <n v="601560"/>
  </r>
  <r>
    <n v="11689"/>
    <d v="2023-03-08T00:00:00"/>
    <x v="0"/>
    <x v="3"/>
    <x v="4"/>
    <n v="19"/>
    <n v="28361"/>
    <n v="538859"/>
    <n v="538859"/>
  </r>
  <r>
    <n v="11690"/>
    <d v="2023-04-06T00:00:00"/>
    <x v="3"/>
    <x v="2"/>
    <x v="0"/>
    <n v="12"/>
    <n v="17930"/>
    <n v="215160"/>
    <n v="215160"/>
  </r>
  <r>
    <n v="11691"/>
    <d v="2023-05-09T00:00:00"/>
    <x v="4"/>
    <x v="1"/>
    <x v="5"/>
    <n v="17"/>
    <n v="17976"/>
    <n v="305592"/>
    <n v="305592"/>
  </r>
  <r>
    <n v="11692"/>
    <d v="2023-01-21T00:00:00"/>
    <x v="2"/>
    <x v="0"/>
    <x v="2"/>
    <n v="17"/>
    <n v="7429"/>
    <n v="126293"/>
    <n v="126293"/>
  </r>
  <r>
    <n v="11693"/>
    <d v="2023-10-25T00:00:00"/>
    <x v="0"/>
    <x v="0"/>
    <x v="0"/>
    <n v="20"/>
    <n v="31424"/>
    <n v="628480"/>
    <n v="628480"/>
  </r>
  <r>
    <n v="11694"/>
    <d v="2023-10-19T00:00:00"/>
    <x v="5"/>
    <x v="0"/>
    <x v="0"/>
    <n v="2"/>
    <n v="13029"/>
    <n v="26058"/>
    <n v="26058"/>
  </r>
  <r>
    <n v="11695"/>
    <d v="2023-04-27T00:00:00"/>
    <x v="1"/>
    <x v="1"/>
    <x v="2"/>
    <n v="6"/>
    <n v="5792"/>
    <n v="34752"/>
    <n v="34752"/>
  </r>
  <r>
    <n v="11696"/>
    <d v="2023-08-29T00:00:00"/>
    <x v="2"/>
    <x v="3"/>
    <x v="1"/>
    <n v="3"/>
    <n v="54018"/>
    <n v="162054"/>
    <n v="162054"/>
  </r>
  <r>
    <n v="11697"/>
    <d v="2023-06-14T00:00:00"/>
    <x v="4"/>
    <x v="2"/>
    <x v="2"/>
    <n v="18"/>
    <n v="33794"/>
    <n v="608292"/>
    <n v="608292"/>
  </r>
  <r>
    <n v="11698"/>
    <d v="2023-09-21T00:00:00"/>
    <x v="2"/>
    <x v="0"/>
    <x v="0"/>
    <n v="9"/>
    <n v="28433"/>
    <n v="255897"/>
    <n v="255897"/>
  </r>
  <r>
    <n v="11699"/>
    <d v="2023-05-12T00:00:00"/>
    <x v="3"/>
    <x v="3"/>
    <x v="3"/>
    <n v="17"/>
    <n v="24660"/>
    <n v="419220"/>
    <n v="419220"/>
  </r>
  <r>
    <n v="11700"/>
    <d v="2023-05-21T00:00:00"/>
    <x v="3"/>
    <x v="3"/>
    <x v="5"/>
    <n v="2"/>
    <n v="23468"/>
    <n v="46936"/>
    <n v="46936"/>
  </r>
  <r>
    <n v="11701"/>
    <d v="2023-09-12T00:00:00"/>
    <x v="6"/>
    <x v="0"/>
    <x v="3"/>
    <n v="1"/>
    <n v="15175"/>
    <n v="15175"/>
    <n v="15175"/>
  </r>
  <r>
    <n v="11702"/>
    <d v="2023-03-24T00:00:00"/>
    <x v="1"/>
    <x v="3"/>
    <x v="2"/>
    <n v="15"/>
    <n v="47444"/>
    <n v="711660"/>
    <n v="711660"/>
  </r>
  <r>
    <n v="11703"/>
    <d v="2023-03-20T00:00:00"/>
    <x v="1"/>
    <x v="2"/>
    <x v="1"/>
    <n v="8"/>
    <n v="22517"/>
    <n v="180136"/>
    <n v="180136"/>
  </r>
  <r>
    <n v="11704"/>
    <d v="2023-11-14T00:00:00"/>
    <x v="0"/>
    <x v="2"/>
    <x v="5"/>
    <n v="11"/>
    <n v="54132"/>
    <n v="595452"/>
    <n v="595452"/>
  </r>
  <r>
    <n v="11705"/>
    <d v="2023-09-06T00:00:00"/>
    <x v="4"/>
    <x v="3"/>
    <x v="4"/>
    <n v="7"/>
    <n v="48010"/>
    <n v="336070"/>
    <n v="336070"/>
  </r>
  <r>
    <n v="11706"/>
    <d v="2023-02-03T00:00:00"/>
    <x v="3"/>
    <x v="3"/>
    <x v="5"/>
    <n v="12"/>
    <n v="27974"/>
    <n v="335688"/>
    <n v="335688"/>
  </r>
  <r>
    <n v="11707"/>
    <d v="2023-07-11T00:00:00"/>
    <x v="5"/>
    <x v="1"/>
    <x v="5"/>
    <n v="3"/>
    <n v="35810"/>
    <n v="107430"/>
    <n v="107430"/>
  </r>
  <r>
    <n v="11708"/>
    <d v="2023-12-29T00:00:00"/>
    <x v="2"/>
    <x v="0"/>
    <x v="1"/>
    <n v="16"/>
    <n v="33624"/>
    <n v="537984"/>
    <n v="537984"/>
  </r>
  <r>
    <n v="11709"/>
    <d v="2023-11-02T00:00:00"/>
    <x v="6"/>
    <x v="2"/>
    <x v="3"/>
    <n v="6"/>
    <n v="32438"/>
    <n v="194628"/>
    <n v="194628"/>
  </r>
  <r>
    <n v="11710"/>
    <d v="2023-06-27T00:00:00"/>
    <x v="4"/>
    <x v="2"/>
    <x v="0"/>
    <n v="12"/>
    <n v="56615"/>
    <n v="679380"/>
    <n v="679380"/>
  </r>
  <r>
    <n v="11711"/>
    <d v="2023-04-09T00:00:00"/>
    <x v="0"/>
    <x v="0"/>
    <x v="4"/>
    <n v="10"/>
    <n v="34397"/>
    <n v="343970"/>
    <n v="343970"/>
  </r>
  <r>
    <n v="11712"/>
    <d v="2023-12-04T00:00:00"/>
    <x v="4"/>
    <x v="2"/>
    <x v="1"/>
    <n v="15"/>
    <n v="50019"/>
    <n v="750285"/>
    <n v="750285"/>
  </r>
  <r>
    <n v="11713"/>
    <d v="2023-04-14T00:00:00"/>
    <x v="4"/>
    <x v="3"/>
    <x v="1"/>
    <n v="20"/>
    <n v="21206"/>
    <n v="424120"/>
    <n v="424120"/>
  </r>
  <r>
    <n v="11714"/>
    <d v="2023-05-10T00:00:00"/>
    <x v="3"/>
    <x v="3"/>
    <x v="5"/>
    <n v="19"/>
    <n v="59864"/>
    <n v="1137416"/>
    <n v="1137416"/>
  </r>
  <r>
    <n v="11715"/>
    <d v="2023-05-14T00:00:00"/>
    <x v="3"/>
    <x v="3"/>
    <x v="5"/>
    <n v="9"/>
    <n v="50522"/>
    <n v="454698"/>
    <n v="454698"/>
  </r>
  <r>
    <n v="11716"/>
    <d v="2023-01-24T00:00:00"/>
    <x v="5"/>
    <x v="3"/>
    <x v="1"/>
    <n v="14"/>
    <n v="39095"/>
    <n v="547330"/>
    <n v="547330"/>
  </r>
  <r>
    <n v="11717"/>
    <d v="2023-01-15T00:00:00"/>
    <x v="3"/>
    <x v="2"/>
    <x v="4"/>
    <n v="16"/>
    <n v="47499"/>
    <n v="759984"/>
    <n v="759984"/>
  </r>
  <r>
    <n v="11718"/>
    <d v="2023-10-03T00:00:00"/>
    <x v="4"/>
    <x v="3"/>
    <x v="1"/>
    <n v="20"/>
    <n v="53526"/>
    <n v="1070520"/>
    <n v="1070520"/>
  </r>
  <r>
    <n v="11719"/>
    <d v="2023-01-31T00:00:00"/>
    <x v="3"/>
    <x v="1"/>
    <x v="5"/>
    <n v="17"/>
    <n v="24756"/>
    <n v="420852"/>
    <n v="420852"/>
  </r>
  <r>
    <n v="11720"/>
    <d v="2023-06-20T00:00:00"/>
    <x v="2"/>
    <x v="2"/>
    <x v="0"/>
    <n v="17"/>
    <n v="16915"/>
    <n v="287555"/>
    <n v="287555"/>
  </r>
  <r>
    <n v="11721"/>
    <d v="2023-11-20T00:00:00"/>
    <x v="1"/>
    <x v="2"/>
    <x v="2"/>
    <n v="19"/>
    <n v="3618"/>
    <n v="68742"/>
    <n v="68742"/>
  </r>
  <r>
    <n v="11722"/>
    <d v="2023-06-01T00:00:00"/>
    <x v="5"/>
    <x v="3"/>
    <x v="1"/>
    <n v="7"/>
    <n v="11107"/>
    <n v="77749"/>
    <n v="77749"/>
  </r>
  <r>
    <n v="11723"/>
    <d v="2023-07-03T00:00:00"/>
    <x v="1"/>
    <x v="1"/>
    <x v="0"/>
    <n v="16"/>
    <n v="49400"/>
    <n v="790400"/>
    <n v="790400"/>
  </r>
  <r>
    <n v="11724"/>
    <d v="2023-12-14T00:00:00"/>
    <x v="0"/>
    <x v="3"/>
    <x v="5"/>
    <n v="20"/>
    <n v="58322"/>
    <n v="1166440"/>
    <n v="1166440"/>
  </r>
  <r>
    <n v="11725"/>
    <d v="2023-11-17T00:00:00"/>
    <x v="2"/>
    <x v="1"/>
    <x v="1"/>
    <n v="20"/>
    <n v="45358"/>
    <n v="907160"/>
    <n v="907160"/>
  </r>
  <r>
    <n v="11726"/>
    <d v="2023-10-11T00:00:00"/>
    <x v="6"/>
    <x v="3"/>
    <x v="3"/>
    <n v="13"/>
    <n v="51246"/>
    <n v="666198"/>
    <n v="666198"/>
  </r>
  <r>
    <n v="11727"/>
    <d v="2023-07-17T00:00:00"/>
    <x v="3"/>
    <x v="1"/>
    <x v="5"/>
    <n v="19"/>
    <n v="16106"/>
    <n v="306014"/>
    <n v="306014"/>
  </r>
  <r>
    <n v="11728"/>
    <d v="2023-07-22T00:00:00"/>
    <x v="6"/>
    <x v="1"/>
    <x v="3"/>
    <n v="9"/>
    <n v="45990"/>
    <n v="413910"/>
    <n v="413910"/>
  </r>
  <r>
    <n v="11729"/>
    <d v="2023-01-19T00:00:00"/>
    <x v="6"/>
    <x v="1"/>
    <x v="0"/>
    <n v="16"/>
    <n v="57233"/>
    <n v="915728"/>
    <n v="915728"/>
  </r>
  <r>
    <n v="11730"/>
    <d v="2023-05-06T00:00:00"/>
    <x v="2"/>
    <x v="0"/>
    <x v="0"/>
    <n v="14"/>
    <n v="10488"/>
    <n v="146832"/>
    <n v="146832"/>
  </r>
  <r>
    <n v="11731"/>
    <d v="2023-08-21T00:00:00"/>
    <x v="6"/>
    <x v="1"/>
    <x v="4"/>
    <n v="14"/>
    <n v="47079"/>
    <n v="659106"/>
    <n v="659106"/>
  </r>
  <r>
    <n v="11732"/>
    <d v="2023-12-24T00:00:00"/>
    <x v="6"/>
    <x v="0"/>
    <x v="3"/>
    <n v="17"/>
    <n v="11512"/>
    <n v="195704"/>
    <n v="195704"/>
  </r>
  <r>
    <n v="11733"/>
    <d v="2023-10-10T00:00:00"/>
    <x v="5"/>
    <x v="0"/>
    <x v="4"/>
    <n v="2"/>
    <n v="50485"/>
    <n v="100970"/>
    <n v="100970"/>
  </r>
  <r>
    <n v="11734"/>
    <d v="2023-09-16T00:00:00"/>
    <x v="1"/>
    <x v="0"/>
    <x v="0"/>
    <n v="6"/>
    <n v="14040"/>
    <n v="84240"/>
    <n v="84240"/>
  </r>
  <r>
    <n v="11735"/>
    <d v="2023-02-25T00:00:00"/>
    <x v="1"/>
    <x v="1"/>
    <x v="2"/>
    <n v="8"/>
    <n v="34503"/>
    <n v="276024"/>
    <n v="276024"/>
  </r>
  <r>
    <n v="11736"/>
    <d v="2023-09-17T00:00:00"/>
    <x v="5"/>
    <x v="1"/>
    <x v="4"/>
    <n v="13"/>
    <n v="18918"/>
    <n v="245934"/>
    <n v="245934"/>
  </r>
  <r>
    <n v="11737"/>
    <d v="2023-12-18T00:00:00"/>
    <x v="0"/>
    <x v="0"/>
    <x v="5"/>
    <n v="15"/>
    <n v="49200"/>
    <n v="738000"/>
    <n v="738000"/>
  </r>
  <r>
    <n v="11738"/>
    <d v="2023-02-18T00:00:00"/>
    <x v="5"/>
    <x v="2"/>
    <x v="2"/>
    <n v="3"/>
    <n v="13415"/>
    <n v="40245"/>
    <n v="40245"/>
  </r>
  <r>
    <n v="11739"/>
    <d v="2023-10-31T00:00:00"/>
    <x v="4"/>
    <x v="1"/>
    <x v="5"/>
    <n v="9"/>
    <n v="23485"/>
    <n v="211365"/>
    <n v="211365"/>
  </r>
  <r>
    <n v="11740"/>
    <d v="2023-06-06T00:00:00"/>
    <x v="0"/>
    <x v="1"/>
    <x v="1"/>
    <n v="18"/>
    <n v="55426"/>
    <n v="997668"/>
    <n v="997668"/>
  </r>
  <r>
    <n v="11741"/>
    <d v="2023-12-04T00:00:00"/>
    <x v="5"/>
    <x v="2"/>
    <x v="3"/>
    <n v="12"/>
    <n v="33379"/>
    <n v="400548"/>
    <n v="400548"/>
  </r>
  <r>
    <n v="11742"/>
    <d v="2023-10-29T00:00:00"/>
    <x v="2"/>
    <x v="0"/>
    <x v="3"/>
    <n v="11"/>
    <n v="14396"/>
    <n v="158356"/>
    <n v="158356"/>
  </r>
  <r>
    <n v="11743"/>
    <d v="2023-11-29T00:00:00"/>
    <x v="4"/>
    <x v="0"/>
    <x v="1"/>
    <n v="8"/>
    <n v="49155"/>
    <n v="393240"/>
    <n v="393240"/>
  </r>
  <r>
    <n v="11744"/>
    <d v="2023-08-09T00:00:00"/>
    <x v="1"/>
    <x v="3"/>
    <x v="5"/>
    <n v="15"/>
    <n v="23839"/>
    <n v="357585"/>
    <n v="357585"/>
  </r>
  <r>
    <n v="11745"/>
    <d v="2023-02-26T00:00:00"/>
    <x v="5"/>
    <x v="0"/>
    <x v="4"/>
    <n v="7"/>
    <n v="19740"/>
    <n v="138180"/>
    <n v="138180"/>
  </r>
  <r>
    <n v="11746"/>
    <d v="2023-05-13T00:00:00"/>
    <x v="1"/>
    <x v="2"/>
    <x v="2"/>
    <n v="20"/>
    <n v="4867"/>
    <n v="97340"/>
    <n v="97340"/>
  </r>
  <r>
    <n v="11747"/>
    <d v="2023-06-04T00:00:00"/>
    <x v="6"/>
    <x v="3"/>
    <x v="4"/>
    <n v="15"/>
    <n v="16294"/>
    <n v="244410"/>
    <n v="244410"/>
  </r>
  <r>
    <n v="11748"/>
    <d v="2023-05-01T00:00:00"/>
    <x v="4"/>
    <x v="3"/>
    <x v="2"/>
    <n v="9"/>
    <n v="17545"/>
    <n v="157905"/>
    <n v="157905"/>
  </r>
  <r>
    <n v="11749"/>
    <d v="2023-08-05T00:00:00"/>
    <x v="4"/>
    <x v="2"/>
    <x v="0"/>
    <n v="19"/>
    <n v="29764"/>
    <n v="565516"/>
    <n v="565516"/>
  </r>
  <r>
    <n v="11750"/>
    <d v="2023-04-20T00:00:00"/>
    <x v="6"/>
    <x v="3"/>
    <x v="1"/>
    <n v="18"/>
    <n v="25964"/>
    <n v="467352"/>
    <n v="467352"/>
  </r>
  <r>
    <n v="11751"/>
    <d v="2023-05-13T00:00:00"/>
    <x v="5"/>
    <x v="1"/>
    <x v="0"/>
    <n v="9"/>
    <n v="15499"/>
    <n v="139491"/>
    <n v="139491"/>
  </r>
  <r>
    <n v="11752"/>
    <d v="2023-11-29T00:00:00"/>
    <x v="1"/>
    <x v="3"/>
    <x v="3"/>
    <n v="12"/>
    <n v="41005"/>
    <n v="492060"/>
    <n v="492060"/>
  </r>
  <r>
    <n v="11753"/>
    <d v="2023-03-24T00:00:00"/>
    <x v="1"/>
    <x v="1"/>
    <x v="0"/>
    <n v="16"/>
    <n v="54525"/>
    <n v="872400"/>
    <n v="872400"/>
  </r>
  <r>
    <n v="11754"/>
    <d v="2023-08-26T00:00:00"/>
    <x v="3"/>
    <x v="1"/>
    <x v="3"/>
    <n v="2"/>
    <n v="58487"/>
    <n v="116974"/>
    <n v="116974"/>
  </r>
  <r>
    <n v="11755"/>
    <d v="2023-04-28T00:00:00"/>
    <x v="4"/>
    <x v="3"/>
    <x v="5"/>
    <n v="7"/>
    <n v="25456"/>
    <n v="178192"/>
    <n v="178192"/>
  </r>
  <r>
    <n v="11756"/>
    <d v="2023-04-04T00:00:00"/>
    <x v="0"/>
    <x v="1"/>
    <x v="4"/>
    <n v="7"/>
    <n v="16278"/>
    <n v="113946"/>
    <n v="113946"/>
  </r>
  <r>
    <n v="11757"/>
    <d v="2023-06-14T00:00:00"/>
    <x v="2"/>
    <x v="3"/>
    <x v="2"/>
    <n v="11"/>
    <n v="31631"/>
    <n v="347941"/>
    <n v="347941"/>
  </r>
  <r>
    <n v="11758"/>
    <d v="2023-01-29T00:00:00"/>
    <x v="0"/>
    <x v="1"/>
    <x v="1"/>
    <n v="5"/>
    <n v="12678"/>
    <n v="63390"/>
    <n v="63390"/>
  </r>
  <r>
    <n v="11759"/>
    <d v="2023-02-18T00:00:00"/>
    <x v="2"/>
    <x v="0"/>
    <x v="2"/>
    <n v="16"/>
    <n v="27381"/>
    <n v="438096"/>
    <n v="438096"/>
  </r>
  <r>
    <n v="11760"/>
    <d v="2023-09-16T00:00:00"/>
    <x v="1"/>
    <x v="2"/>
    <x v="3"/>
    <n v="8"/>
    <n v="56993"/>
    <n v="455944"/>
    <n v="455944"/>
  </r>
  <r>
    <n v="11761"/>
    <d v="2023-05-02T00:00:00"/>
    <x v="4"/>
    <x v="3"/>
    <x v="3"/>
    <n v="8"/>
    <n v="33570"/>
    <n v="268560"/>
    <n v="268560"/>
  </r>
  <r>
    <n v="11762"/>
    <d v="2023-07-15T00:00:00"/>
    <x v="3"/>
    <x v="3"/>
    <x v="4"/>
    <n v="12"/>
    <n v="18255"/>
    <n v="219060"/>
    <n v="219060"/>
  </r>
  <r>
    <n v="11763"/>
    <d v="2023-06-21T00:00:00"/>
    <x v="6"/>
    <x v="3"/>
    <x v="2"/>
    <n v="5"/>
    <n v="5163"/>
    <n v="25815"/>
    <n v="25815"/>
  </r>
  <r>
    <n v="11764"/>
    <d v="2023-10-20T00:00:00"/>
    <x v="4"/>
    <x v="1"/>
    <x v="5"/>
    <n v="9"/>
    <n v="59571"/>
    <n v="536139"/>
    <n v="536139"/>
  </r>
  <r>
    <n v="11765"/>
    <d v="2023-02-11T00:00:00"/>
    <x v="0"/>
    <x v="2"/>
    <x v="0"/>
    <n v="2"/>
    <n v="42502"/>
    <n v="85004"/>
    <n v="85004"/>
  </r>
  <r>
    <n v="11766"/>
    <d v="2023-12-05T00:00:00"/>
    <x v="0"/>
    <x v="3"/>
    <x v="0"/>
    <n v="10"/>
    <n v="44534"/>
    <n v="445340"/>
    <n v="445340"/>
  </r>
  <r>
    <n v="11767"/>
    <d v="2023-02-21T00:00:00"/>
    <x v="4"/>
    <x v="2"/>
    <x v="1"/>
    <n v="16"/>
    <n v="29799"/>
    <n v="476784"/>
    <n v="476784"/>
  </r>
  <r>
    <n v="11768"/>
    <d v="2023-11-20T00:00:00"/>
    <x v="5"/>
    <x v="0"/>
    <x v="3"/>
    <n v="5"/>
    <n v="41726"/>
    <n v="208630"/>
    <n v="208630"/>
  </r>
  <r>
    <n v="11769"/>
    <d v="2023-08-16T00:00:00"/>
    <x v="1"/>
    <x v="1"/>
    <x v="2"/>
    <n v="17"/>
    <n v="59329"/>
    <n v="1008593"/>
    <n v="1008593"/>
  </r>
  <r>
    <n v="11770"/>
    <d v="2023-01-16T00:00:00"/>
    <x v="2"/>
    <x v="0"/>
    <x v="4"/>
    <n v="19"/>
    <n v="58523"/>
    <n v="1111937"/>
    <n v="1111937"/>
  </r>
  <r>
    <n v="11771"/>
    <d v="2023-01-20T00:00:00"/>
    <x v="2"/>
    <x v="1"/>
    <x v="4"/>
    <n v="20"/>
    <n v="15040"/>
    <n v="300800"/>
    <n v="300800"/>
  </r>
  <r>
    <n v="11772"/>
    <d v="2023-09-01T00:00:00"/>
    <x v="2"/>
    <x v="3"/>
    <x v="2"/>
    <n v="13"/>
    <n v="56847"/>
    <n v="739011"/>
    <n v="739011"/>
  </r>
  <r>
    <n v="11773"/>
    <d v="2023-07-17T00:00:00"/>
    <x v="2"/>
    <x v="2"/>
    <x v="2"/>
    <n v="14"/>
    <n v="46084"/>
    <n v="645176"/>
    <n v="645176"/>
  </r>
  <r>
    <n v="11774"/>
    <d v="2023-06-30T00:00:00"/>
    <x v="2"/>
    <x v="0"/>
    <x v="2"/>
    <n v="20"/>
    <n v="41971"/>
    <n v="839420"/>
    <n v="839420"/>
  </r>
  <r>
    <n v="11775"/>
    <d v="2023-01-18T00:00:00"/>
    <x v="0"/>
    <x v="2"/>
    <x v="3"/>
    <n v="8"/>
    <n v="58110"/>
    <n v="464880"/>
    <n v="464880"/>
  </r>
  <r>
    <n v="11776"/>
    <d v="2023-11-07T00:00:00"/>
    <x v="3"/>
    <x v="1"/>
    <x v="4"/>
    <n v="12"/>
    <n v="55670"/>
    <n v="668040"/>
    <n v="668040"/>
  </r>
  <r>
    <n v="11777"/>
    <d v="2023-01-23T00:00:00"/>
    <x v="2"/>
    <x v="0"/>
    <x v="3"/>
    <n v="16"/>
    <n v="11720"/>
    <n v="187520"/>
    <n v="187520"/>
  </r>
  <r>
    <n v="11778"/>
    <d v="2023-11-02T00:00:00"/>
    <x v="0"/>
    <x v="3"/>
    <x v="0"/>
    <n v="2"/>
    <n v="31990"/>
    <n v="63980"/>
    <n v="63980"/>
  </r>
  <r>
    <n v="11779"/>
    <d v="2023-05-31T00:00:00"/>
    <x v="5"/>
    <x v="2"/>
    <x v="1"/>
    <n v="3"/>
    <n v="2402"/>
    <n v="7206"/>
    <n v="7206"/>
  </r>
  <r>
    <n v="11780"/>
    <d v="2023-08-03T00:00:00"/>
    <x v="6"/>
    <x v="2"/>
    <x v="5"/>
    <n v="4"/>
    <n v="37896"/>
    <n v="151584"/>
    <n v="151584"/>
  </r>
  <r>
    <n v="11781"/>
    <d v="2023-07-29T00:00:00"/>
    <x v="0"/>
    <x v="1"/>
    <x v="2"/>
    <n v="9"/>
    <n v="9124"/>
    <n v="82116"/>
    <n v="82116"/>
  </r>
  <r>
    <n v="11782"/>
    <d v="2023-09-09T00:00:00"/>
    <x v="3"/>
    <x v="0"/>
    <x v="3"/>
    <n v="6"/>
    <n v="23537"/>
    <n v="141222"/>
    <n v="141222"/>
  </r>
  <r>
    <n v="11783"/>
    <d v="2023-01-20T00:00:00"/>
    <x v="6"/>
    <x v="2"/>
    <x v="3"/>
    <n v="10"/>
    <n v="22687"/>
    <n v="226870"/>
    <n v="226870"/>
  </r>
  <r>
    <n v="11784"/>
    <d v="2023-02-27T00:00:00"/>
    <x v="3"/>
    <x v="0"/>
    <x v="1"/>
    <n v="6"/>
    <n v="40990"/>
    <n v="245940"/>
    <n v="245940"/>
  </r>
  <r>
    <n v="11785"/>
    <d v="2023-12-04T00:00:00"/>
    <x v="4"/>
    <x v="0"/>
    <x v="1"/>
    <n v="15"/>
    <n v="6911"/>
    <n v="103665"/>
    <n v="103665"/>
  </r>
  <r>
    <n v="11786"/>
    <d v="2023-05-09T00:00:00"/>
    <x v="4"/>
    <x v="2"/>
    <x v="3"/>
    <n v="12"/>
    <n v="57262"/>
    <n v="687144"/>
    <n v="687144"/>
  </r>
  <r>
    <n v="11787"/>
    <d v="2023-07-12T00:00:00"/>
    <x v="1"/>
    <x v="0"/>
    <x v="3"/>
    <n v="9"/>
    <n v="37372"/>
    <n v="336348"/>
    <n v="336348"/>
  </r>
  <r>
    <n v="11788"/>
    <d v="2023-12-22T00:00:00"/>
    <x v="0"/>
    <x v="3"/>
    <x v="1"/>
    <n v="3"/>
    <n v="33575"/>
    <n v="100725"/>
    <n v="100725"/>
  </r>
  <r>
    <n v="11789"/>
    <d v="2023-01-12T00:00:00"/>
    <x v="1"/>
    <x v="2"/>
    <x v="5"/>
    <n v="10"/>
    <n v="22421"/>
    <n v="224210"/>
    <n v="224210"/>
  </r>
  <r>
    <n v="11790"/>
    <d v="2023-07-29T00:00:00"/>
    <x v="4"/>
    <x v="2"/>
    <x v="3"/>
    <n v="4"/>
    <n v="51040"/>
    <n v="204160"/>
    <n v="204160"/>
  </r>
  <r>
    <n v="11791"/>
    <d v="2023-06-23T00:00:00"/>
    <x v="4"/>
    <x v="3"/>
    <x v="0"/>
    <n v="6"/>
    <n v="52597"/>
    <n v="315582"/>
    <n v="315582"/>
  </r>
  <r>
    <n v="11792"/>
    <d v="2023-01-04T00:00:00"/>
    <x v="5"/>
    <x v="2"/>
    <x v="2"/>
    <n v="4"/>
    <n v="53024"/>
    <n v="212096"/>
    <n v="212096"/>
  </r>
  <r>
    <n v="11793"/>
    <d v="2023-02-19T00:00:00"/>
    <x v="1"/>
    <x v="2"/>
    <x v="3"/>
    <n v="14"/>
    <n v="48097"/>
    <n v="673358"/>
    <n v="673358"/>
  </r>
  <r>
    <n v="11794"/>
    <d v="2023-11-19T00:00:00"/>
    <x v="6"/>
    <x v="0"/>
    <x v="2"/>
    <n v="7"/>
    <n v="39204"/>
    <n v="274428"/>
    <n v="274428"/>
  </r>
  <r>
    <n v="11795"/>
    <d v="2023-02-06T00:00:00"/>
    <x v="4"/>
    <x v="1"/>
    <x v="1"/>
    <n v="6"/>
    <n v="36511"/>
    <n v="219066"/>
    <n v="219066"/>
  </r>
  <r>
    <n v="11796"/>
    <d v="2023-03-17T00:00:00"/>
    <x v="2"/>
    <x v="3"/>
    <x v="3"/>
    <n v="2"/>
    <n v="1197"/>
    <n v="2394"/>
    <n v="2394"/>
  </r>
  <r>
    <n v="11797"/>
    <d v="2023-07-19T00:00:00"/>
    <x v="3"/>
    <x v="3"/>
    <x v="5"/>
    <n v="7"/>
    <n v="55701"/>
    <n v="389907"/>
    <n v="389907"/>
  </r>
  <r>
    <n v="11798"/>
    <d v="2023-01-21T00:00:00"/>
    <x v="3"/>
    <x v="1"/>
    <x v="4"/>
    <n v="13"/>
    <n v="26073"/>
    <n v="338949"/>
    <n v="338949"/>
  </r>
  <r>
    <n v="11799"/>
    <d v="2023-11-13T00:00:00"/>
    <x v="2"/>
    <x v="1"/>
    <x v="0"/>
    <n v="19"/>
    <n v="37414"/>
    <n v="710866"/>
    <n v="710866"/>
  </r>
  <r>
    <n v="11800"/>
    <d v="2023-11-09T00:00:00"/>
    <x v="3"/>
    <x v="0"/>
    <x v="0"/>
    <n v="16"/>
    <n v="18082"/>
    <n v="289312"/>
    <n v="289312"/>
  </r>
  <r>
    <n v="11801"/>
    <d v="2023-09-14T00:00:00"/>
    <x v="5"/>
    <x v="2"/>
    <x v="2"/>
    <n v="4"/>
    <n v="47503"/>
    <n v="190012"/>
    <n v="190012"/>
  </r>
  <r>
    <n v="11802"/>
    <d v="2023-04-07T00:00:00"/>
    <x v="4"/>
    <x v="0"/>
    <x v="3"/>
    <n v="5"/>
    <n v="32010"/>
    <n v="160050"/>
    <n v="160050"/>
  </r>
  <r>
    <n v="11803"/>
    <d v="2023-04-26T00:00:00"/>
    <x v="4"/>
    <x v="1"/>
    <x v="3"/>
    <n v="17"/>
    <n v="49541"/>
    <n v="842197"/>
    <n v="842197"/>
  </r>
  <r>
    <n v="11804"/>
    <d v="2023-06-24T00:00:00"/>
    <x v="3"/>
    <x v="2"/>
    <x v="5"/>
    <n v="18"/>
    <n v="44619"/>
    <n v="803142"/>
    <n v="803142"/>
  </r>
  <r>
    <n v="11805"/>
    <d v="2023-07-08T00:00:00"/>
    <x v="4"/>
    <x v="1"/>
    <x v="0"/>
    <n v="14"/>
    <n v="56228"/>
    <n v="787192"/>
    <n v="787192"/>
  </r>
  <r>
    <n v="11806"/>
    <d v="2023-03-20T00:00:00"/>
    <x v="6"/>
    <x v="2"/>
    <x v="3"/>
    <n v="13"/>
    <n v="52877"/>
    <n v="687401"/>
    <n v="687401"/>
  </r>
  <r>
    <n v="11807"/>
    <d v="2023-07-13T00:00:00"/>
    <x v="5"/>
    <x v="2"/>
    <x v="1"/>
    <n v="12"/>
    <n v="52608"/>
    <n v="631296"/>
    <n v="631296"/>
  </r>
  <r>
    <n v="11808"/>
    <d v="2023-10-24T00:00:00"/>
    <x v="2"/>
    <x v="1"/>
    <x v="0"/>
    <n v="5"/>
    <n v="43635"/>
    <n v="218175"/>
    <n v="218175"/>
  </r>
  <r>
    <n v="11809"/>
    <d v="2023-12-22T00:00:00"/>
    <x v="1"/>
    <x v="2"/>
    <x v="1"/>
    <n v="13"/>
    <n v="5693"/>
    <n v="74009"/>
    <n v="74009"/>
  </r>
  <r>
    <n v="11810"/>
    <d v="2023-05-08T00:00:00"/>
    <x v="4"/>
    <x v="0"/>
    <x v="2"/>
    <n v="17"/>
    <n v="51225"/>
    <n v="870825"/>
    <n v="870825"/>
  </r>
  <r>
    <n v="11811"/>
    <d v="2023-04-13T00:00:00"/>
    <x v="6"/>
    <x v="0"/>
    <x v="5"/>
    <n v="2"/>
    <n v="5705"/>
    <n v="11410"/>
    <n v="11410"/>
  </r>
  <r>
    <n v="11812"/>
    <d v="2023-12-31T00:00:00"/>
    <x v="4"/>
    <x v="2"/>
    <x v="4"/>
    <n v="5"/>
    <n v="30261"/>
    <n v="151305"/>
    <n v="151305"/>
  </r>
  <r>
    <n v="11813"/>
    <d v="2023-11-24T00:00:00"/>
    <x v="4"/>
    <x v="3"/>
    <x v="2"/>
    <n v="18"/>
    <n v="39337"/>
    <n v="708066"/>
    <n v="708066"/>
  </r>
  <r>
    <n v="11814"/>
    <d v="2023-02-02T00:00:00"/>
    <x v="1"/>
    <x v="1"/>
    <x v="3"/>
    <n v="19"/>
    <n v="22732"/>
    <n v="431908"/>
    <n v="431908"/>
  </r>
  <r>
    <n v="11815"/>
    <d v="2023-07-08T00:00:00"/>
    <x v="0"/>
    <x v="2"/>
    <x v="1"/>
    <n v="20"/>
    <n v="29841"/>
    <n v="596820"/>
    <n v="596820"/>
  </r>
  <r>
    <n v="11816"/>
    <d v="2023-07-17T00:00:00"/>
    <x v="0"/>
    <x v="2"/>
    <x v="0"/>
    <n v="8"/>
    <n v="24792"/>
    <n v="198336"/>
    <n v="198336"/>
  </r>
  <r>
    <n v="11817"/>
    <d v="2023-07-15T00:00:00"/>
    <x v="6"/>
    <x v="0"/>
    <x v="0"/>
    <n v="4"/>
    <n v="24952"/>
    <n v="99808"/>
    <n v="99808"/>
  </r>
  <r>
    <n v="11818"/>
    <d v="2023-04-22T00:00:00"/>
    <x v="6"/>
    <x v="3"/>
    <x v="4"/>
    <n v="15"/>
    <n v="9803"/>
    <n v="147045"/>
    <n v="147045"/>
  </r>
  <r>
    <n v="11819"/>
    <d v="2023-08-29T00:00:00"/>
    <x v="2"/>
    <x v="1"/>
    <x v="4"/>
    <n v="18"/>
    <n v="3079"/>
    <n v="55422"/>
    <n v="55422"/>
  </r>
  <r>
    <n v="11820"/>
    <d v="2023-10-22T00:00:00"/>
    <x v="6"/>
    <x v="1"/>
    <x v="0"/>
    <n v="12"/>
    <n v="40187"/>
    <n v="482244"/>
    <n v="482244"/>
  </r>
  <r>
    <n v="11821"/>
    <d v="2023-07-26T00:00:00"/>
    <x v="2"/>
    <x v="1"/>
    <x v="0"/>
    <n v="2"/>
    <n v="15379"/>
    <n v="30758"/>
    <n v="30758"/>
  </r>
  <r>
    <n v="11822"/>
    <d v="2023-02-12T00:00:00"/>
    <x v="1"/>
    <x v="3"/>
    <x v="4"/>
    <n v="9"/>
    <n v="54178"/>
    <n v="487602"/>
    <n v="487602"/>
  </r>
  <r>
    <n v="11823"/>
    <d v="2023-10-28T00:00:00"/>
    <x v="5"/>
    <x v="1"/>
    <x v="3"/>
    <n v="10"/>
    <n v="57306"/>
    <n v="573060"/>
    <n v="573060"/>
  </r>
  <r>
    <n v="11824"/>
    <d v="2023-09-25T00:00:00"/>
    <x v="4"/>
    <x v="3"/>
    <x v="3"/>
    <n v="5"/>
    <n v="48448"/>
    <n v="242240"/>
    <n v="242240"/>
  </r>
  <r>
    <n v="11825"/>
    <d v="2023-02-08T00:00:00"/>
    <x v="5"/>
    <x v="2"/>
    <x v="5"/>
    <n v="4"/>
    <n v="52029"/>
    <n v="208116"/>
    <n v="208116"/>
  </r>
  <r>
    <n v="11826"/>
    <d v="2023-04-20T00:00:00"/>
    <x v="5"/>
    <x v="1"/>
    <x v="0"/>
    <n v="6"/>
    <n v="49864"/>
    <n v="299184"/>
    <n v="299184"/>
  </r>
  <r>
    <n v="11827"/>
    <d v="2023-04-16T00:00:00"/>
    <x v="5"/>
    <x v="1"/>
    <x v="4"/>
    <n v="12"/>
    <n v="24542"/>
    <n v="294504"/>
    <n v="294504"/>
  </r>
  <r>
    <n v="11828"/>
    <d v="2023-11-29T00:00:00"/>
    <x v="5"/>
    <x v="3"/>
    <x v="5"/>
    <n v="7"/>
    <n v="45140"/>
    <n v="315980"/>
    <n v="315980"/>
  </r>
  <r>
    <n v="11829"/>
    <d v="2023-01-31T00:00:00"/>
    <x v="6"/>
    <x v="0"/>
    <x v="3"/>
    <n v="2"/>
    <n v="28298"/>
    <n v="56596"/>
    <n v="56596"/>
  </r>
  <r>
    <n v="11830"/>
    <d v="2023-09-15T00:00:00"/>
    <x v="3"/>
    <x v="3"/>
    <x v="3"/>
    <n v="14"/>
    <n v="57269"/>
    <n v="801766"/>
    <n v="801766"/>
  </r>
  <r>
    <n v="11831"/>
    <d v="2023-03-15T00:00:00"/>
    <x v="6"/>
    <x v="2"/>
    <x v="1"/>
    <n v="16"/>
    <n v="44077"/>
    <n v="705232"/>
    <n v="705232"/>
  </r>
  <r>
    <n v="11832"/>
    <d v="2023-01-08T00:00:00"/>
    <x v="0"/>
    <x v="3"/>
    <x v="0"/>
    <n v="15"/>
    <n v="14049"/>
    <n v="210735"/>
    <n v="210735"/>
  </r>
  <r>
    <n v="11833"/>
    <d v="2023-04-07T00:00:00"/>
    <x v="5"/>
    <x v="1"/>
    <x v="3"/>
    <n v="17"/>
    <n v="43296"/>
    <n v="736032"/>
    <n v="736032"/>
  </r>
  <r>
    <n v="11834"/>
    <d v="2023-12-16T00:00:00"/>
    <x v="0"/>
    <x v="2"/>
    <x v="3"/>
    <n v="19"/>
    <n v="18480"/>
    <n v="351120"/>
    <n v="351120"/>
  </r>
  <r>
    <n v="11835"/>
    <d v="2023-07-23T00:00:00"/>
    <x v="0"/>
    <x v="3"/>
    <x v="4"/>
    <n v="6"/>
    <n v="6892"/>
    <n v="41352"/>
    <n v="41352"/>
  </r>
  <r>
    <n v="11836"/>
    <d v="2023-12-09T00:00:00"/>
    <x v="0"/>
    <x v="2"/>
    <x v="4"/>
    <n v="11"/>
    <n v="11504"/>
    <n v="126544"/>
    <n v="126544"/>
  </r>
  <r>
    <n v="11837"/>
    <d v="2023-02-13T00:00:00"/>
    <x v="0"/>
    <x v="0"/>
    <x v="5"/>
    <n v="8"/>
    <n v="59337"/>
    <n v="474696"/>
    <n v="474696"/>
  </r>
  <r>
    <n v="11838"/>
    <d v="2023-08-27T00:00:00"/>
    <x v="0"/>
    <x v="1"/>
    <x v="2"/>
    <n v="2"/>
    <n v="2636"/>
    <n v="5272"/>
    <n v="5272"/>
  </r>
  <r>
    <n v="11839"/>
    <d v="2023-01-27T00:00:00"/>
    <x v="4"/>
    <x v="3"/>
    <x v="2"/>
    <n v="15"/>
    <n v="37251"/>
    <n v="558765"/>
    <n v="558765"/>
  </r>
  <r>
    <n v="11840"/>
    <d v="2023-07-30T00:00:00"/>
    <x v="5"/>
    <x v="0"/>
    <x v="3"/>
    <n v="4"/>
    <n v="1045"/>
    <n v="4180"/>
    <n v="4180"/>
  </r>
  <r>
    <n v="11841"/>
    <d v="2023-12-04T00:00:00"/>
    <x v="5"/>
    <x v="2"/>
    <x v="0"/>
    <n v="20"/>
    <n v="32631"/>
    <n v="652620"/>
    <n v="652620"/>
  </r>
  <r>
    <n v="11842"/>
    <d v="2023-02-26T00:00:00"/>
    <x v="2"/>
    <x v="0"/>
    <x v="2"/>
    <n v="9"/>
    <n v="30383"/>
    <n v="273447"/>
    <n v="273447"/>
  </r>
  <r>
    <n v="11843"/>
    <d v="2023-10-04T00:00:00"/>
    <x v="1"/>
    <x v="0"/>
    <x v="3"/>
    <n v="13"/>
    <n v="4806"/>
    <n v="62478"/>
    <n v="62478"/>
  </r>
  <r>
    <n v="11844"/>
    <d v="2023-05-28T00:00:00"/>
    <x v="4"/>
    <x v="0"/>
    <x v="4"/>
    <n v="3"/>
    <n v="59400"/>
    <n v="178200"/>
    <n v="178200"/>
  </r>
  <r>
    <n v="11845"/>
    <d v="2023-03-05T00:00:00"/>
    <x v="0"/>
    <x v="2"/>
    <x v="1"/>
    <n v="4"/>
    <n v="59483"/>
    <n v="237932"/>
    <n v="237932"/>
  </r>
  <r>
    <n v="11846"/>
    <d v="2023-12-31T00:00:00"/>
    <x v="4"/>
    <x v="1"/>
    <x v="1"/>
    <n v="5"/>
    <n v="11986"/>
    <n v="59930"/>
    <n v="59930"/>
  </r>
  <r>
    <n v="11847"/>
    <d v="2023-08-05T00:00:00"/>
    <x v="1"/>
    <x v="3"/>
    <x v="1"/>
    <n v="10"/>
    <n v="26638"/>
    <n v="266380"/>
    <n v="266380"/>
  </r>
  <r>
    <n v="11848"/>
    <d v="2023-07-14T00:00:00"/>
    <x v="0"/>
    <x v="1"/>
    <x v="1"/>
    <n v="10"/>
    <n v="7461"/>
    <n v="74610"/>
    <n v="74610"/>
  </r>
  <r>
    <n v="11849"/>
    <d v="2023-06-20T00:00:00"/>
    <x v="0"/>
    <x v="0"/>
    <x v="3"/>
    <n v="5"/>
    <n v="42997"/>
    <n v="214985"/>
    <n v="214985"/>
  </r>
  <r>
    <n v="11850"/>
    <d v="2023-07-25T00:00:00"/>
    <x v="3"/>
    <x v="1"/>
    <x v="5"/>
    <n v="15"/>
    <n v="22364"/>
    <n v="335460"/>
    <n v="335460"/>
  </r>
  <r>
    <n v="11851"/>
    <d v="2023-03-18T00:00:00"/>
    <x v="1"/>
    <x v="1"/>
    <x v="5"/>
    <n v="13"/>
    <n v="59141"/>
    <n v="768833"/>
    <n v="768833"/>
  </r>
  <r>
    <n v="11852"/>
    <d v="2023-05-01T00:00:00"/>
    <x v="1"/>
    <x v="2"/>
    <x v="3"/>
    <n v="20"/>
    <n v="51907"/>
    <n v="1038140"/>
    <n v="1038140"/>
  </r>
  <r>
    <n v="11853"/>
    <d v="2023-08-21T00:00:00"/>
    <x v="3"/>
    <x v="3"/>
    <x v="5"/>
    <n v="18"/>
    <n v="11262"/>
    <n v="202716"/>
    <n v="202716"/>
  </r>
  <r>
    <n v="11854"/>
    <d v="2023-08-23T00:00:00"/>
    <x v="3"/>
    <x v="1"/>
    <x v="3"/>
    <n v="3"/>
    <n v="10670"/>
    <n v="32010"/>
    <n v="32010"/>
  </r>
  <r>
    <n v="11855"/>
    <d v="2023-02-14T00:00:00"/>
    <x v="3"/>
    <x v="1"/>
    <x v="1"/>
    <n v="12"/>
    <n v="44045"/>
    <n v="528540"/>
    <n v="528540"/>
  </r>
  <r>
    <n v="11856"/>
    <d v="2023-12-23T00:00:00"/>
    <x v="4"/>
    <x v="0"/>
    <x v="1"/>
    <n v="20"/>
    <n v="36078"/>
    <n v="721560"/>
    <n v="721560"/>
  </r>
  <r>
    <n v="11857"/>
    <d v="2023-10-16T00:00:00"/>
    <x v="5"/>
    <x v="0"/>
    <x v="3"/>
    <n v="15"/>
    <n v="25668"/>
    <n v="385020"/>
    <n v="385020"/>
  </r>
  <r>
    <n v="11858"/>
    <d v="2023-05-17T00:00:00"/>
    <x v="5"/>
    <x v="0"/>
    <x v="2"/>
    <n v="15"/>
    <n v="24687"/>
    <n v="370305"/>
    <n v="370305"/>
  </r>
  <r>
    <n v="11859"/>
    <d v="2023-09-14T00:00:00"/>
    <x v="5"/>
    <x v="0"/>
    <x v="4"/>
    <n v="11"/>
    <n v="19475"/>
    <n v="214225"/>
    <n v="214225"/>
  </r>
  <r>
    <n v="11860"/>
    <d v="2023-03-04T00:00:00"/>
    <x v="6"/>
    <x v="1"/>
    <x v="0"/>
    <n v="6"/>
    <n v="23303"/>
    <n v="139818"/>
    <n v="139818"/>
  </r>
  <r>
    <n v="11861"/>
    <d v="2023-09-26T00:00:00"/>
    <x v="3"/>
    <x v="2"/>
    <x v="1"/>
    <n v="10"/>
    <n v="36754"/>
    <n v="367540"/>
    <n v="367540"/>
  </r>
  <r>
    <n v="11862"/>
    <d v="2023-12-10T00:00:00"/>
    <x v="6"/>
    <x v="3"/>
    <x v="2"/>
    <n v="14"/>
    <n v="43822"/>
    <n v="613508"/>
    <n v="613508"/>
  </r>
  <r>
    <n v="11863"/>
    <d v="2023-07-30T00:00:00"/>
    <x v="3"/>
    <x v="1"/>
    <x v="1"/>
    <n v="1"/>
    <n v="1555"/>
    <n v="1555"/>
    <n v="1555"/>
  </r>
  <r>
    <n v="11864"/>
    <d v="2023-11-27T00:00:00"/>
    <x v="0"/>
    <x v="2"/>
    <x v="0"/>
    <n v="9"/>
    <n v="48224"/>
    <n v="434016"/>
    <n v="434016"/>
  </r>
  <r>
    <n v="11865"/>
    <d v="2023-08-12T00:00:00"/>
    <x v="5"/>
    <x v="2"/>
    <x v="5"/>
    <n v="16"/>
    <n v="39240"/>
    <n v="627840"/>
    <n v="627840"/>
  </r>
  <r>
    <n v="11866"/>
    <d v="2023-01-13T00:00:00"/>
    <x v="2"/>
    <x v="3"/>
    <x v="1"/>
    <n v="3"/>
    <n v="5511"/>
    <n v="16533"/>
    <n v="16533"/>
  </r>
  <r>
    <n v="11867"/>
    <d v="2023-12-15T00:00:00"/>
    <x v="1"/>
    <x v="0"/>
    <x v="1"/>
    <n v="2"/>
    <n v="55686"/>
    <n v="111372"/>
    <n v="111372"/>
  </r>
  <r>
    <n v="11868"/>
    <d v="2023-11-27T00:00:00"/>
    <x v="4"/>
    <x v="2"/>
    <x v="2"/>
    <n v="9"/>
    <n v="52357"/>
    <n v="471213"/>
    <n v="471213"/>
  </r>
  <r>
    <n v="11869"/>
    <d v="2023-04-12T00:00:00"/>
    <x v="3"/>
    <x v="0"/>
    <x v="0"/>
    <n v="15"/>
    <n v="43167"/>
    <n v="647505"/>
    <n v="647505"/>
  </r>
  <r>
    <n v="11870"/>
    <d v="2023-04-04T00:00:00"/>
    <x v="4"/>
    <x v="1"/>
    <x v="4"/>
    <n v="13"/>
    <n v="38662"/>
    <n v="502606"/>
    <n v="502606"/>
  </r>
  <r>
    <n v="11871"/>
    <d v="2023-07-29T00:00:00"/>
    <x v="0"/>
    <x v="3"/>
    <x v="1"/>
    <n v="20"/>
    <n v="59850"/>
    <n v="1197000"/>
    <n v="1197000"/>
  </r>
  <r>
    <n v="11872"/>
    <d v="2023-03-08T00:00:00"/>
    <x v="0"/>
    <x v="0"/>
    <x v="3"/>
    <n v="19"/>
    <n v="50007"/>
    <n v="950133"/>
    <n v="950133"/>
  </r>
  <r>
    <n v="11873"/>
    <d v="2023-01-27T00:00:00"/>
    <x v="1"/>
    <x v="2"/>
    <x v="1"/>
    <n v="13"/>
    <n v="29566"/>
    <n v="384358"/>
    <n v="384358"/>
  </r>
  <r>
    <n v="11874"/>
    <d v="2023-08-13T00:00:00"/>
    <x v="4"/>
    <x v="1"/>
    <x v="3"/>
    <n v="11"/>
    <n v="27327"/>
    <n v="300597"/>
    <n v="300597"/>
  </r>
  <r>
    <n v="11875"/>
    <d v="2023-06-15T00:00:00"/>
    <x v="1"/>
    <x v="2"/>
    <x v="4"/>
    <n v="1"/>
    <n v="46324"/>
    <n v="46324"/>
    <n v="46324"/>
  </r>
  <r>
    <n v="11876"/>
    <d v="2023-07-20T00:00:00"/>
    <x v="5"/>
    <x v="3"/>
    <x v="3"/>
    <n v="15"/>
    <n v="24627"/>
    <n v="369405"/>
    <n v="369405"/>
  </r>
  <r>
    <n v="11877"/>
    <d v="2023-10-24T00:00:00"/>
    <x v="6"/>
    <x v="1"/>
    <x v="4"/>
    <n v="10"/>
    <n v="10731"/>
    <n v="107310"/>
    <n v="107310"/>
  </r>
  <r>
    <n v="11878"/>
    <d v="2023-11-21T00:00:00"/>
    <x v="4"/>
    <x v="2"/>
    <x v="0"/>
    <n v="6"/>
    <n v="28775"/>
    <n v="172650"/>
    <n v="172650"/>
  </r>
  <r>
    <n v="11879"/>
    <d v="2023-04-16T00:00:00"/>
    <x v="2"/>
    <x v="2"/>
    <x v="3"/>
    <n v="20"/>
    <n v="32343"/>
    <n v="646860"/>
    <n v="646860"/>
  </r>
  <r>
    <n v="11880"/>
    <d v="2023-08-15T00:00:00"/>
    <x v="5"/>
    <x v="3"/>
    <x v="5"/>
    <n v="15"/>
    <n v="5751"/>
    <n v="86265"/>
    <n v="86265"/>
  </r>
  <r>
    <n v="11881"/>
    <d v="2023-06-06T00:00:00"/>
    <x v="2"/>
    <x v="0"/>
    <x v="0"/>
    <n v="2"/>
    <n v="51826"/>
    <n v="103652"/>
    <n v="103652"/>
  </r>
  <r>
    <n v="11882"/>
    <d v="2023-05-28T00:00:00"/>
    <x v="4"/>
    <x v="0"/>
    <x v="5"/>
    <n v="19"/>
    <n v="43186"/>
    <n v="820534"/>
    <n v="820534"/>
  </r>
  <r>
    <n v="11883"/>
    <d v="2023-05-20T00:00:00"/>
    <x v="3"/>
    <x v="1"/>
    <x v="0"/>
    <n v="5"/>
    <n v="29118"/>
    <n v="145590"/>
    <n v="145590"/>
  </r>
  <r>
    <n v="11884"/>
    <d v="2023-08-18T00:00:00"/>
    <x v="0"/>
    <x v="1"/>
    <x v="5"/>
    <n v="18"/>
    <n v="56832"/>
    <n v="1022976"/>
    <n v="1022976"/>
  </r>
  <r>
    <n v="11885"/>
    <d v="2023-06-02T00:00:00"/>
    <x v="4"/>
    <x v="3"/>
    <x v="3"/>
    <n v="11"/>
    <n v="52764"/>
    <n v="580404"/>
    <n v="580404"/>
  </r>
  <r>
    <n v="11886"/>
    <d v="2023-10-01T00:00:00"/>
    <x v="3"/>
    <x v="2"/>
    <x v="3"/>
    <n v="19"/>
    <n v="5200"/>
    <n v="98800"/>
    <n v="98800"/>
  </r>
  <r>
    <n v="11887"/>
    <d v="2023-10-08T00:00:00"/>
    <x v="0"/>
    <x v="1"/>
    <x v="1"/>
    <n v="9"/>
    <n v="16583"/>
    <n v="149247"/>
    <n v="149247"/>
  </r>
  <r>
    <n v="11888"/>
    <d v="2023-02-20T00:00:00"/>
    <x v="4"/>
    <x v="1"/>
    <x v="5"/>
    <n v="10"/>
    <n v="27519"/>
    <n v="275190"/>
    <n v="275190"/>
  </r>
  <r>
    <n v="11889"/>
    <d v="2023-11-24T00:00:00"/>
    <x v="6"/>
    <x v="3"/>
    <x v="2"/>
    <n v="10"/>
    <n v="3888"/>
    <n v="38880"/>
    <n v="38880"/>
  </r>
  <r>
    <n v="11890"/>
    <d v="2023-06-23T00:00:00"/>
    <x v="1"/>
    <x v="1"/>
    <x v="2"/>
    <n v="9"/>
    <n v="16223"/>
    <n v="146007"/>
    <n v="146007"/>
  </r>
  <r>
    <n v="11891"/>
    <d v="2023-06-14T00:00:00"/>
    <x v="2"/>
    <x v="3"/>
    <x v="3"/>
    <n v="9"/>
    <n v="4276"/>
    <n v="38484"/>
    <n v="38484"/>
  </r>
  <r>
    <n v="11892"/>
    <d v="2023-10-27T00:00:00"/>
    <x v="2"/>
    <x v="0"/>
    <x v="3"/>
    <n v="7"/>
    <n v="45773"/>
    <n v="320411"/>
    <n v="320411"/>
  </r>
  <r>
    <n v="11893"/>
    <d v="2023-02-07T00:00:00"/>
    <x v="5"/>
    <x v="0"/>
    <x v="0"/>
    <n v="9"/>
    <n v="25946"/>
    <n v="233514"/>
    <n v="233514"/>
  </r>
  <r>
    <n v="11894"/>
    <d v="2023-05-14T00:00:00"/>
    <x v="1"/>
    <x v="2"/>
    <x v="3"/>
    <n v="19"/>
    <n v="17256"/>
    <n v="327864"/>
    <n v="327864"/>
  </r>
  <r>
    <n v="11895"/>
    <d v="2023-04-22T00:00:00"/>
    <x v="6"/>
    <x v="0"/>
    <x v="1"/>
    <n v="7"/>
    <n v="29840"/>
    <n v="208880"/>
    <n v="208880"/>
  </r>
  <r>
    <n v="11896"/>
    <d v="2023-08-14T00:00:00"/>
    <x v="2"/>
    <x v="0"/>
    <x v="5"/>
    <n v="4"/>
    <n v="22818"/>
    <n v="91272"/>
    <n v="91272"/>
  </r>
  <r>
    <n v="11897"/>
    <d v="2023-12-21T00:00:00"/>
    <x v="1"/>
    <x v="1"/>
    <x v="5"/>
    <n v="20"/>
    <n v="30993"/>
    <n v="619860"/>
    <n v="619860"/>
  </r>
  <r>
    <n v="11898"/>
    <d v="2023-03-16T00:00:00"/>
    <x v="5"/>
    <x v="3"/>
    <x v="0"/>
    <n v="14"/>
    <n v="40153"/>
    <n v="562142"/>
    <n v="562142"/>
  </r>
  <r>
    <n v="11899"/>
    <d v="2023-03-05T00:00:00"/>
    <x v="3"/>
    <x v="3"/>
    <x v="2"/>
    <n v="3"/>
    <n v="14074"/>
    <n v="42222"/>
    <n v="42222"/>
  </r>
  <r>
    <n v="11900"/>
    <d v="2023-01-18T00:00:00"/>
    <x v="4"/>
    <x v="0"/>
    <x v="2"/>
    <n v="12"/>
    <n v="24833"/>
    <n v="297996"/>
    <n v="297996"/>
  </r>
  <r>
    <n v="11901"/>
    <d v="2023-02-25T00:00:00"/>
    <x v="6"/>
    <x v="0"/>
    <x v="1"/>
    <n v="3"/>
    <n v="22253"/>
    <n v="66759"/>
    <n v="66759"/>
  </r>
  <r>
    <n v="11902"/>
    <d v="2023-09-27T00:00:00"/>
    <x v="1"/>
    <x v="1"/>
    <x v="2"/>
    <n v="16"/>
    <n v="45082"/>
    <n v="721312"/>
    <n v="721312"/>
  </r>
  <r>
    <n v="11903"/>
    <d v="2023-11-08T00:00:00"/>
    <x v="6"/>
    <x v="1"/>
    <x v="4"/>
    <n v="13"/>
    <n v="54269"/>
    <n v="705497"/>
    <n v="705497"/>
  </r>
  <r>
    <n v="11904"/>
    <d v="2023-02-24T00:00:00"/>
    <x v="5"/>
    <x v="1"/>
    <x v="5"/>
    <n v="3"/>
    <n v="57727"/>
    <n v="173181"/>
    <n v="173181"/>
  </r>
  <r>
    <n v="11905"/>
    <d v="2023-05-31T00:00:00"/>
    <x v="6"/>
    <x v="3"/>
    <x v="3"/>
    <n v="14"/>
    <n v="48373"/>
    <n v="677222"/>
    <n v="677222"/>
  </r>
  <r>
    <n v="11906"/>
    <d v="2023-07-25T00:00:00"/>
    <x v="3"/>
    <x v="3"/>
    <x v="5"/>
    <n v="6"/>
    <n v="40595"/>
    <n v="243570"/>
    <n v="243570"/>
  </r>
  <r>
    <n v="11907"/>
    <d v="2023-06-29T00:00:00"/>
    <x v="2"/>
    <x v="3"/>
    <x v="4"/>
    <n v="1"/>
    <n v="1397"/>
    <n v="1397"/>
    <n v="1397"/>
  </r>
  <r>
    <n v="11908"/>
    <d v="2023-12-08T00:00:00"/>
    <x v="4"/>
    <x v="3"/>
    <x v="2"/>
    <n v="8"/>
    <n v="34664"/>
    <n v="277312"/>
    <n v="277312"/>
  </r>
  <r>
    <n v="11909"/>
    <d v="2023-09-06T00:00:00"/>
    <x v="3"/>
    <x v="0"/>
    <x v="3"/>
    <n v="5"/>
    <n v="57040"/>
    <n v="285200"/>
    <n v="285200"/>
  </r>
  <r>
    <n v="11910"/>
    <d v="2023-05-19T00:00:00"/>
    <x v="0"/>
    <x v="1"/>
    <x v="1"/>
    <n v="3"/>
    <n v="57811"/>
    <n v="173433"/>
    <n v="173433"/>
  </r>
  <r>
    <n v="11911"/>
    <d v="2023-06-27T00:00:00"/>
    <x v="5"/>
    <x v="3"/>
    <x v="2"/>
    <n v="18"/>
    <n v="12063"/>
    <n v="217134"/>
    <n v="217134"/>
  </r>
  <r>
    <n v="11912"/>
    <d v="2023-11-07T00:00:00"/>
    <x v="5"/>
    <x v="1"/>
    <x v="4"/>
    <n v="5"/>
    <n v="19082"/>
    <n v="95410"/>
    <n v="95410"/>
  </r>
  <r>
    <n v="11913"/>
    <d v="2023-03-09T00:00:00"/>
    <x v="0"/>
    <x v="1"/>
    <x v="3"/>
    <n v="16"/>
    <n v="50559"/>
    <n v="808944"/>
    <n v="808944"/>
  </r>
  <r>
    <n v="11914"/>
    <d v="2023-09-10T00:00:00"/>
    <x v="2"/>
    <x v="3"/>
    <x v="5"/>
    <n v="16"/>
    <n v="52569"/>
    <n v="841104"/>
    <n v="841104"/>
  </r>
  <r>
    <n v="11915"/>
    <d v="2023-10-31T00:00:00"/>
    <x v="3"/>
    <x v="0"/>
    <x v="3"/>
    <n v="5"/>
    <n v="15343"/>
    <n v="76715"/>
    <n v="76715"/>
  </r>
  <r>
    <n v="11916"/>
    <d v="2023-09-14T00:00:00"/>
    <x v="6"/>
    <x v="1"/>
    <x v="3"/>
    <n v="1"/>
    <n v="48042"/>
    <n v="48042"/>
    <n v="48042"/>
  </r>
  <r>
    <n v="11917"/>
    <d v="2023-08-19T00:00:00"/>
    <x v="0"/>
    <x v="3"/>
    <x v="0"/>
    <n v="2"/>
    <n v="18197"/>
    <n v="36394"/>
    <n v="36394"/>
  </r>
  <r>
    <n v="11918"/>
    <d v="2023-03-25T00:00:00"/>
    <x v="3"/>
    <x v="2"/>
    <x v="0"/>
    <n v="10"/>
    <n v="19522"/>
    <n v="195220"/>
    <n v="195220"/>
  </r>
  <r>
    <n v="11919"/>
    <d v="2023-10-14T00:00:00"/>
    <x v="4"/>
    <x v="3"/>
    <x v="2"/>
    <n v="12"/>
    <n v="47955"/>
    <n v="575460"/>
    <n v="575460"/>
  </r>
  <r>
    <n v="11920"/>
    <d v="2023-10-31T00:00:00"/>
    <x v="4"/>
    <x v="2"/>
    <x v="5"/>
    <n v="4"/>
    <n v="47812"/>
    <n v="191248"/>
    <n v="191248"/>
  </r>
  <r>
    <n v="11921"/>
    <d v="2023-10-18T00:00:00"/>
    <x v="5"/>
    <x v="2"/>
    <x v="3"/>
    <n v="15"/>
    <n v="54796"/>
    <n v="821940"/>
    <n v="821940"/>
  </r>
  <r>
    <n v="11922"/>
    <d v="2023-04-09T00:00:00"/>
    <x v="0"/>
    <x v="1"/>
    <x v="0"/>
    <n v="8"/>
    <n v="10218"/>
    <n v="81744"/>
    <n v="81744"/>
  </r>
  <r>
    <n v="11923"/>
    <d v="2023-07-17T00:00:00"/>
    <x v="3"/>
    <x v="0"/>
    <x v="3"/>
    <n v="14"/>
    <n v="2515"/>
    <n v="35210"/>
    <n v="35210"/>
  </r>
  <r>
    <n v="11924"/>
    <d v="2023-12-26T00:00:00"/>
    <x v="1"/>
    <x v="2"/>
    <x v="5"/>
    <n v="5"/>
    <n v="12544"/>
    <n v="62720"/>
    <n v="62720"/>
  </r>
  <r>
    <n v="11925"/>
    <d v="2023-09-14T00:00:00"/>
    <x v="1"/>
    <x v="3"/>
    <x v="3"/>
    <n v="1"/>
    <n v="34188"/>
    <n v="34188"/>
    <n v="34188"/>
  </r>
  <r>
    <n v="11926"/>
    <d v="2023-10-13T00:00:00"/>
    <x v="2"/>
    <x v="3"/>
    <x v="4"/>
    <n v="2"/>
    <n v="4698"/>
    <n v="9396"/>
    <n v="9396"/>
  </r>
  <r>
    <n v="11927"/>
    <d v="2023-09-07T00:00:00"/>
    <x v="4"/>
    <x v="1"/>
    <x v="2"/>
    <n v="10"/>
    <n v="56884"/>
    <n v="568840"/>
    <n v="568840"/>
  </r>
  <r>
    <n v="11928"/>
    <d v="2023-03-05T00:00:00"/>
    <x v="5"/>
    <x v="1"/>
    <x v="3"/>
    <n v="4"/>
    <n v="41650"/>
    <n v="166600"/>
    <n v="166600"/>
  </r>
  <r>
    <n v="11929"/>
    <d v="2023-12-23T00:00:00"/>
    <x v="4"/>
    <x v="2"/>
    <x v="2"/>
    <n v="1"/>
    <n v="56408"/>
    <n v="56408"/>
    <n v="56408"/>
  </r>
  <r>
    <n v="11930"/>
    <d v="2023-10-09T00:00:00"/>
    <x v="2"/>
    <x v="2"/>
    <x v="2"/>
    <n v="16"/>
    <n v="9125"/>
    <n v="146000"/>
    <n v="146000"/>
  </r>
  <r>
    <n v="11931"/>
    <d v="2023-08-14T00:00:00"/>
    <x v="6"/>
    <x v="2"/>
    <x v="3"/>
    <n v="2"/>
    <n v="37131"/>
    <n v="74262"/>
    <n v="74262"/>
  </r>
  <r>
    <n v="11932"/>
    <d v="2023-01-30T00:00:00"/>
    <x v="4"/>
    <x v="2"/>
    <x v="1"/>
    <n v="20"/>
    <n v="38892"/>
    <n v="777840"/>
    <n v="777840"/>
  </r>
  <r>
    <n v="11933"/>
    <d v="2023-10-26T00:00:00"/>
    <x v="1"/>
    <x v="1"/>
    <x v="1"/>
    <n v="15"/>
    <n v="50886"/>
    <n v="763290"/>
    <n v="763290"/>
  </r>
  <r>
    <n v="11934"/>
    <d v="2023-07-25T00:00:00"/>
    <x v="6"/>
    <x v="3"/>
    <x v="0"/>
    <n v="5"/>
    <n v="40985"/>
    <n v="204925"/>
    <n v="204925"/>
  </r>
  <r>
    <n v="11935"/>
    <d v="2023-08-07T00:00:00"/>
    <x v="4"/>
    <x v="2"/>
    <x v="5"/>
    <n v="16"/>
    <n v="25309"/>
    <n v="404944"/>
    <n v="404944"/>
  </r>
  <r>
    <n v="11936"/>
    <d v="2023-05-12T00:00:00"/>
    <x v="3"/>
    <x v="3"/>
    <x v="2"/>
    <n v="9"/>
    <n v="24279"/>
    <n v="218511"/>
    <n v="218511"/>
  </r>
  <r>
    <n v="11937"/>
    <d v="2023-10-30T00:00:00"/>
    <x v="2"/>
    <x v="2"/>
    <x v="4"/>
    <n v="12"/>
    <n v="20960"/>
    <n v="251520"/>
    <n v="251520"/>
  </r>
  <r>
    <n v="11938"/>
    <d v="2023-01-28T00:00:00"/>
    <x v="5"/>
    <x v="0"/>
    <x v="5"/>
    <n v="4"/>
    <n v="49729"/>
    <n v="198916"/>
    <n v="198916"/>
  </r>
  <r>
    <n v="11939"/>
    <d v="2023-01-11T00:00:00"/>
    <x v="2"/>
    <x v="2"/>
    <x v="5"/>
    <n v="9"/>
    <n v="54515"/>
    <n v="490635"/>
    <n v="490635"/>
  </r>
  <r>
    <n v="11940"/>
    <d v="2023-01-22T00:00:00"/>
    <x v="5"/>
    <x v="0"/>
    <x v="0"/>
    <n v="1"/>
    <n v="56149"/>
    <n v="56149"/>
    <n v="56149"/>
  </r>
  <r>
    <n v="11941"/>
    <d v="2023-08-19T00:00:00"/>
    <x v="0"/>
    <x v="0"/>
    <x v="5"/>
    <n v="16"/>
    <n v="26724"/>
    <n v="427584"/>
    <n v="427584"/>
  </r>
  <r>
    <n v="11942"/>
    <d v="2023-04-16T00:00:00"/>
    <x v="6"/>
    <x v="1"/>
    <x v="0"/>
    <n v="9"/>
    <n v="51579"/>
    <n v="464211"/>
    <n v="464211"/>
  </r>
  <r>
    <n v="11943"/>
    <d v="2023-07-25T00:00:00"/>
    <x v="3"/>
    <x v="0"/>
    <x v="1"/>
    <n v="10"/>
    <n v="22867"/>
    <n v="228670"/>
    <n v="228670"/>
  </r>
  <r>
    <n v="11944"/>
    <d v="2023-09-01T00:00:00"/>
    <x v="3"/>
    <x v="3"/>
    <x v="1"/>
    <n v="20"/>
    <n v="53908"/>
    <n v="1078160"/>
    <n v="1078160"/>
  </r>
  <r>
    <n v="11945"/>
    <d v="2023-08-04T00:00:00"/>
    <x v="1"/>
    <x v="2"/>
    <x v="2"/>
    <n v="20"/>
    <n v="16353"/>
    <n v="327060"/>
    <n v="327060"/>
  </r>
  <r>
    <n v="11946"/>
    <d v="2023-01-14T00:00:00"/>
    <x v="0"/>
    <x v="2"/>
    <x v="1"/>
    <n v="13"/>
    <n v="28913"/>
    <n v="375869"/>
    <n v="375869"/>
  </r>
  <r>
    <n v="11947"/>
    <d v="2023-05-02T00:00:00"/>
    <x v="4"/>
    <x v="2"/>
    <x v="4"/>
    <n v="17"/>
    <n v="32284"/>
    <n v="548828"/>
    <n v="548828"/>
  </r>
  <r>
    <n v="11948"/>
    <d v="2023-10-19T00:00:00"/>
    <x v="4"/>
    <x v="3"/>
    <x v="4"/>
    <n v="6"/>
    <n v="23372"/>
    <n v="140232"/>
    <n v="140232"/>
  </r>
  <r>
    <n v="11949"/>
    <d v="2023-03-31T00:00:00"/>
    <x v="2"/>
    <x v="3"/>
    <x v="4"/>
    <n v="15"/>
    <n v="30137"/>
    <n v="452055"/>
    <n v="452055"/>
  </r>
  <r>
    <n v="11950"/>
    <d v="2023-05-23T00:00:00"/>
    <x v="1"/>
    <x v="3"/>
    <x v="1"/>
    <n v="3"/>
    <n v="36990"/>
    <n v="110970"/>
    <n v="110970"/>
  </r>
  <r>
    <n v="11951"/>
    <d v="2023-07-03T00:00:00"/>
    <x v="2"/>
    <x v="3"/>
    <x v="0"/>
    <n v="4"/>
    <n v="43133"/>
    <n v="172532"/>
    <n v="172532"/>
  </r>
  <r>
    <n v="11952"/>
    <d v="2023-07-09T00:00:00"/>
    <x v="0"/>
    <x v="0"/>
    <x v="5"/>
    <n v="3"/>
    <n v="57686"/>
    <n v="173058"/>
    <n v="173058"/>
  </r>
  <r>
    <n v="11953"/>
    <d v="2023-04-30T00:00:00"/>
    <x v="2"/>
    <x v="1"/>
    <x v="5"/>
    <n v="19"/>
    <n v="46475"/>
    <n v="883025"/>
    <n v="883025"/>
  </r>
  <r>
    <n v="11954"/>
    <d v="2023-08-01T00:00:00"/>
    <x v="5"/>
    <x v="3"/>
    <x v="1"/>
    <n v="20"/>
    <n v="30693"/>
    <n v="613860"/>
    <n v="613860"/>
  </r>
  <r>
    <n v="11955"/>
    <d v="2023-05-16T00:00:00"/>
    <x v="2"/>
    <x v="1"/>
    <x v="2"/>
    <n v="2"/>
    <n v="1381"/>
    <n v="2762"/>
    <n v="2762"/>
  </r>
  <r>
    <n v="11956"/>
    <d v="2023-11-20T00:00:00"/>
    <x v="2"/>
    <x v="1"/>
    <x v="1"/>
    <n v="8"/>
    <n v="28517"/>
    <n v="228136"/>
    <n v="228136"/>
  </r>
  <r>
    <n v="11957"/>
    <d v="2023-01-20T00:00:00"/>
    <x v="6"/>
    <x v="0"/>
    <x v="1"/>
    <n v="4"/>
    <n v="17169"/>
    <n v="68676"/>
    <n v="68676"/>
  </r>
  <r>
    <n v="11958"/>
    <d v="2023-04-23T00:00:00"/>
    <x v="6"/>
    <x v="3"/>
    <x v="2"/>
    <n v="8"/>
    <n v="47406"/>
    <n v="379248"/>
    <n v="379248"/>
  </r>
  <r>
    <n v="11959"/>
    <d v="2023-03-18T00:00:00"/>
    <x v="1"/>
    <x v="3"/>
    <x v="4"/>
    <n v="13"/>
    <n v="29460"/>
    <n v="382980"/>
    <n v="382980"/>
  </r>
  <r>
    <n v="11960"/>
    <d v="2023-01-25T00:00:00"/>
    <x v="5"/>
    <x v="3"/>
    <x v="1"/>
    <n v="6"/>
    <n v="41268"/>
    <n v="247608"/>
    <n v="247608"/>
  </r>
  <r>
    <n v="11961"/>
    <d v="2023-08-20T00:00:00"/>
    <x v="2"/>
    <x v="2"/>
    <x v="4"/>
    <n v="12"/>
    <n v="4394"/>
    <n v="52728"/>
    <n v="52728"/>
  </r>
  <r>
    <n v="11962"/>
    <d v="2023-03-26T00:00:00"/>
    <x v="0"/>
    <x v="2"/>
    <x v="4"/>
    <n v="12"/>
    <n v="47305"/>
    <n v="567660"/>
    <n v="567660"/>
  </r>
  <r>
    <n v="11963"/>
    <d v="2023-06-26T00:00:00"/>
    <x v="4"/>
    <x v="0"/>
    <x v="4"/>
    <n v="12"/>
    <n v="30156"/>
    <n v="361872"/>
    <n v="361872"/>
  </r>
  <r>
    <n v="11964"/>
    <d v="2023-04-25T00:00:00"/>
    <x v="0"/>
    <x v="0"/>
    <x v="5"/>
    <n v="12"/>
    <n v="34024"/>
    <n v="408288"/>
    <n v="408288"/>
  </r>
  <r>
    <n v="11965"/>
    <d v="2023-09-15T00:00:00"/>
    <x v="6"/>
    <x v="2"/>
    <x v="5"/>
    <n v="14"/>
    <n v="5716"/>
    <n v="80024"/>
    <n v="80024"/>
  </r>
  <r>
    <n v="11966"/>
    <d v="2023-02-01T00:00:00"/>
    <x v="2"/>
    <x v="0"/>
    <x v="4"/>
    <n v="19"/>
    <n v="8248"/>
    <n v="156712"/>
    <n v="156712"/>
  </r>
  <r>
    <n v="11967"/>
    <d v="2023-10-24T00:00:00"/>
    <x v="3"/>
    <x v="3"/>
    <x v="0"/>
    <n v="13"/>
    <n v="58590"/>
    <n v="761670"/>
    <n v="761670"/>
  </r>
  <r>
    <n v="11968"/>
    <d v="2023-08-12T00:00:00"/>
    <x v="3"/>
    <x v="0"/>
    <x v="4"/>
    <n v="20"/>
    <n v="5208"/>
    <n v="104160"/>
    <n v="104160"/>
  </r>
  <r>
    <n v="11969"/>
    <d v="2023-01-20T00:00:00"/>
    <x v="1"/>
    <x v="2"/>
    <x v="3"/>
    <n v="11"/>
    <n v="25160"/>
    <n v="276760"/>
    <n v="276760"/>
  </r>
  <r>
    <n v="11970"/>
    <d v="2023-10-31T00:00:00"/>
    <x v="2"/>
    <x v="2"/>
    <x v="1"/>
    <n v="11"/>
    <n v="27221"/>
    <n v="299431"/>
    <n v="299431"/>
  </r>
  <r>
    <n v="11971"/>
    <d v="2023-08-13T00:00:00"/>
    <x v="3"/>
    <x v="2"/>
    <x v="2"/>
    <n v="12"/>
    <n v="25844"/>
    <n v="310128"/>
    <n v="310128"/>
  </r>
  <r>
    <n v="11972"/>
    <d v="2023-06-10T00:00:00"/>
    <x v="2"/>
    <x v="3"/>
    <x v="3"/>
    <n v="1"/>
    <n v="34385"/>
    <n v="34385"/>
    <n v="34385"/>
  </r>
  <r>
    <n v="11973"/>
    <d v="2023-06-16T00:00:00"/>
    <x v="6"/>
    <x v="1"/>
    <x v="5"/>
    <n v="8"/>
    <n v="22720"/>
    <n v="181760"/>
    <n v="181760"/>
  </r>
  <r>
    <n v="11974"/>
    <d v="2023-02-05T00:00:00"/>
    <x v="1"/>
    <x v="1"/>
    <x v="3"/>
    <n v="12"/>
    <n v="21526"/>
    <n v="258312"/>
    <n v="258312"/>
  </r>
  <r>
    <n v="11975"/>
    <d v="2023-03-31T00:00:00"/>
    <x v="0"/>
    <x v="3"/>
    <x v="2"/>
    <n v="20"/>
    <n v="754"/>
    <n v="15080"/>
    <n v="15080"/>
  </r>
  <r>
    <n v="11976"/>
    <d v="2023-10-06T00:00:00"/>
    <x v="3"/>
    <x v="2"/>
    <x v="1"/>
    <n v="3"/>
    <n v="41513"/>
    <n v="124539"/>
    <n v="124539"/>
  </r>
  <r>
    <n v="11977"/>
    <d v="2023-06-05T00:00:00"/>
    <x v="3"/>
    <x v="0"/>
    <x v="0"/>
    <n v="3"/>
    <n v="20274"/>
    <n v="60822"/>
    <n v="60822"/>
  </r>
  <r>
    <n v="11978"/>
    <d v="2023-04-23T00:00:00"/>
    <x v="3"/>
    <x v="2"/>
    <x v="4"/>
    <n v="12"/>
    <n v="41678"/>
    <n v="500136"/>
    <n v="500136"/>
  </r>
  <r>
    <n v="11979"/>
    <d v="2023-02-13T00:00:00"/>
    <x v="6"/>
    <x v="3"/>
    <x v="4"/>
    <n v="18"/>
    <n v="1727"/>
    <n v="31086"/>
    <n v="31086"/>
  </r>
  <r>
    <n v="11980"/>
    <d v="2023-10-06T00:00:00"/>
    <x v="5"/>
    <x v="1"/>
    <x v="1"/>
    <n v="14"/>
    <n v="25981"/>
    <n v="363734"/>
    <n v="363734"/>
  </r>
  <r>
    <n v="11981"/>
    <d v="2023-04-14T00:00:00"/>
    <x v="5"/>
    <x v="0"/>
    <x v="5"/>
    <n v="14"/>
    <n v="57978"/>
    <n v="811692"/>
    <n v="811692"/>
  </r>
  <r>
    <n v="11982"/>
    <d v="2023-12-15T00:00:00"/>
    <x v="0"/>
    <x v="1"/>
    <x v="5"/>
    <n v="19"/>
    <n v="45989"/>
    <n v="873791"/>
    <n v="873791"/>
  </r>
  <r>
    <n v="11983"/>
    <d v="2023-02-12T00:00:00"/>
    <x v="2"/>
    <x v="2"/>
    <x v="4"/>
    <n v="2"/>
    <n v="1814"/>
    <n v="3628"/>
    <n v="3628"/>
  </r>
  <r>
    <n v="11984"/>
    <d v="2023-05-24T00:00:00"/>
    <x v="5"/>
    <x v="3"/>
    <x v="2"/>
    <n v="12"/>
    <n v="35561"/>
    <n v="426732"/>
    <n v="426732"/>
  </r>
  <r>
    <n v="11985"/>
    <d v="2023-10-16T00:00:00"/>
    <x v="1"/>
    <x v="3"/>
    <x v="4"/>
    <n v="13"/>
    <n v="26710"/>
    <n v="347230"/>
    <n v="347230"/>
  </r>
  <r>
    <n v="11986"/>
    <d v="2023-08-03T00:00:00"/>
    <x v="1"/>
    <x v="3"/>
    <x v="5"/>
    <n v="15"/>
    <n v="15353"/>
    <n v="230295"/>
    <n v="230295"/>
  </r>
  <r>
    <n v="11987"/>
    <d v="2023-09-15T00:00:00"/>
    <x v="6"/>
    <x v="1"/>
    <x v="3"/>
    <n v="18"/>
    <n v="5870"/>
    <n v="105660"/>
    <n v="105660"/>
  </r>
  <r>
    <n v="11988"/>
    <d v="2023-08-02T00:00:00"/>
    <x v="3"/>
    <x v="0"/>
    <x v="5"/>
    <n v="18"/>
    <n v="4771"/>
    <n v="85878"/>
    <n v="85878"/>
  </r>
  <r>
    <n v="11989"/>
    <d v="2023-09-25T00:00:00"/>
    <x v="5"/>
    <x v="0"/>
    <x v="0"/>
    <n v="11"/>
    <n v="22348"/>
    <n v="245828"/>
    <n v="245828"/>
  </r>
  <r>
    <n v="11990"/>
    <d v="2023-05-27T00:00:00"/>
    <x v="3"/>
    <x v="2"/>
    <x v="0"/>
    <n v="19"/>
    <n v="33618"/>
    <n v="638742"/>
    <n v="638742"/>
  </r>
  <r>
    <n v="11991"/>
    <d v="2023-06-22T00:00:00"/>
    <x v="3"/>
    <x v="2"/>
    <x v="5"/>
    <n v="16"/>
    <n v="7197"/>
    <n v="115152"/>
    <n v="115152"/>
  </r>
  <r>
    <n v="11992"/>
    <d v="2023-02-11T00:00:00"/>
    <x v="6"/>
    <x v="2"/>
    <x v="3"/>
    <n v="3"/>
    <n v="4972"/>
    <n v="14916"/>
    <n v="14916"/>
  </r>
  <r>
    <n v="11993"/>
    <d v="2023-04-11T00:00:00"/>
    <x v="4"/>
    <x v="1"/>
    <x v="0"/>
    <n v="19"/>
    <n v="22659"/>
    <n v="430521"/>
    <n v="430521"/>
  </r>
  <r>
    <n v="11994"/>
    <d v="2023-01-22T00:00:00"/>
    <x v="3"/>
    <x v="1"/>
    <x v="3"/>
    <n v="5"/>
    <n v="20724"/>
    <n v="103620"/>
    <n v="103620"/>
  </r>
  <r>
    <n v="11995"/>
    <d v="2023-01-11T00:00:00"/>
    <x v="4"/>
    <x v="2"/>
    <x v="5"/>
    <n v="4"/>
    <n v="21025"/>
    <n v="84100"/>
    <n v="84100"/>
  </r>
  <r>
    <n v="11996"/>
    <d v="2023-03-03T00:00:00"/>
    <x v="2"/>
    <x v="0"/>
    <x v="1"/>
    <n v="17"/>
    <n v="6271"/>
    <n v="106607"/>
    <n v="106607"/>
  </r>
  <r>
    <n v="11997"/>
    <d v="2023-04-21T00:00:00"/>
    <x v="6"/>
    <x v="2"/>
    <x v="3"/>
    <n v="16"/>
    <n v="29481"/>
    <n v="471696"/>
    <n v="471696"/>
  </r>
  <r>
    <n v="11998"/>
    <d v="2023-07-26T00:00:00"/>
    <x v="1"/>
    <x v="1"/>
    <x v="5"/>
    <n v="12"/>
    <n v="12097"/>
    <n v="145164"/>
    <n v="145164"/>
  </r>
  <r>
    <n v="11999"/>
    <d v="2023-04-16T00:00:00"/>
    <x v="2"/>
    <x v="2"/>
    <x v="4"/>
    <n v="1"/>
    <n v="33765"/>
    <n v="33765"/>
    <n v="33765"/>
  </r>
  <r>
    <n v="12000"/>
    <d v="2023-03-05T00:00:00"/>
    <x v="1"/>
    <x v="2"/>
    <x v="0"/>
    <n v="9"/>
    <n v="43641"/>
    <n v="392769"/>
    <n v="392769"/>
  </r>
  <r>
    <n v="12001"/>
    <d v="2023-11-07T00:00:00"/>
    <x v="1"/>
    <x v="2"/>
    <x v="4"/>
    <n v="1"/>
    <n v="52012"/>
    <n v="52012"/>
    <n v="52012"/>
  </r>
  <r>
    <n v="12002"/>
    <d v="2023-11-03T00:00:00"/>
    <x v="5"/>
    <x v="1"/>
    <x v="2"/>
    <n v="15"/>
    <n v="40639"/>
    <n v="609585"/>
    <n v="609585"/>
  </r>
  <r>
    <n v="12003"/>
    <d v="2023-09-05T00:00:00"/>
    <x v="2"/>
    <x v="0"/>
    <x v="0"/>
    <n v="12"/>
    <n v="24258"/>
    <n v="291096"/>
    <n v="291096"/>
  </r>
  <r>
    <n v="12004"/>
    <d v="2023-07-11T00:00:00"/>
    <x v="3"/>
    <x v="0"/>
    <x v="1"/>
    <n v="13"/>
    <n v="32853"/>
    <n v="427089"/>
    <n v="427089"/>
  </r>
  <r>
    <n v="12005"/>
    <d v="2023-06-19T00:00:00"/>
    <x v="0"/>
    <x v="3"/>
    <x v="4"/>
    <n v="20"/>
    <n v="54051"/>
    <n v="1081020"/>
    <n v="1081020"/>
  </r>
  <r>
    <n v="12006"/>
    <d v="2023-10-01T00:00:00"/>
    <x v="3"/>
    <x v="2"/>
    <x v="4"/>
    <n v="9"/>
    <n v="30835"/>
    <n v="277515"/>
    <n v="277515"/>
  </r>
  <r>
    <n v="12007"/>
    <d v="2023-01-11T00:00:00"/>
    <x v="6"/>
    <x v="1"/>
    <x v="1"/>
    <n v="3"/>
    <n v="40653"/>
    <n v="121959"/>
    <n v="121959"/>
  </r>
  <r>
    <n v="12008"/>
    <d v="2023-11-18T00:00:00"/>
    <x v="1"/>
    <x v="1"/>
    <x v="3"/>
    <n v="20"/>
    <n v="27602"/>
    <n v="552040"/>
    <n v="552040"/>
  </r>
  <r>
    <n v="12009"/>
    <d v="2023-07-30T00:00:00"/>
    <x v="1"/>
    <x v="3"/>
    <x v="1"/>
    <n v="13"/>
    <n v="43308"/>
    <n v="563004"/>
    <n v="563004"/>
  </r>
  <r>
    <n v="12010"/>
    <d v="2023-09-06T00:00:00"/>
    <x v="5"/>
    <x v="0"/>
    <x v="0"/>
    <n v="16"/>
    <n v="46163"/>
    <n v="738608"/>
    <n v="738608"/>
  </r>
  <r>
    <n v="12011"/>
    <d v="2023-06-04T00:00:00"/>
    <x v="0"/>
    <x v="0"/>
    <x v="0"/>
    <n v="11"/>
    <n v="31869"/>
    <n v="350559"/>
    <n v="350559"/>
  </r>
  <r>
    <n v="12012"/>
    <d v="2023-03-19T00:00:00"/>
    <x v="0"/>
    <x v="3"/>
    <x v="0"/>
    <n v="16"/>
    <n v="8848"/>
    <n v="141568"/>
    <n v="141568"/>
  </r>
  <r>
    <n v="12013"/>
    <d v="2023-03-21T00:00:00"/>
    <x v="5"/>
    <x v="3"/>
    <x v="4"/>
    <n v="17"/>
    <n v="24438"/>
    <n v="415446"/>
    <n v="415446"/>
  </r>
  <r>
    <n v="12014"/>
    <d v="2023-12-24T00:00:00"/>
    <x v="3"/>
    <x v="0"/>
    <x v="3"/>
    <n v="17"/>
    <n v="47201"/>
    <n v="802417"/>
    <n v="802417"/>
  </r>
  <r>
    <n v="12015"/>
    <d v="2023-02-09T00:00:00"/>
    <x v="6"/>
    <x v="2"/>
    <x v="0"/>
    <n v="18"/>
    <n v="36023"/>
    <n v="648414"/>
    <n v="648414"/>
  </r>
  <r>
    <n v="12016"/>
    <d v="2023-04-13T00:00:00"/>
    <x v="1"/>
    <x v="0"/>
    <x v="5"/>
    <n v="3"/>
    <n v="5326"/>
    <n v="15978"/>
    <n v="15978"/>
  </r>
  <r>
    <n v="12017"/>
    <d v="2023-12-31T00:00:00"/>
    <x v="6"/>
    <x v="0"/>
    <x v="2"/>
    <n v="16"/>
    <n v="13963"/>
    <n v="223408"/>
    <n v="223408"/>
  </r>
  <r>
    <n v="12018"/>
    <d v="2023-11-19T00:00:00"/>
    <x v="6"/>
    <x v="2"/>
    <x v="1"/>
    <n v="1"/>
    <n v="58485"/>
    <n v="58485"/>
    <n v="58485"/>
  </r>
  <r>
    <n v="12019"/>
    <d v="2023-03-14T00:00:00"/>
    <x v="1"/>
    <x v="3"/>
    <x v="5"/>
    <n v="11"/>
    <n v="43160"/>
    <n v="474760"/>
    <n v="474760"/>
  </r>
  <r>
    <n v="12020"/>
    <d v="2023-09-01T00:00:00"/>
    <x v="3"/>
    <x v="1"/>
    <x v="2"/>
    <n v="2"/>
    <n v="22416"/>
    <n v="44832"/>
    <n v="44832"/>
  </r>
  <r>
    <n v="12021"/>
    <d v="2023-09-11T00:00:00"/>
    <x v="6"/>
    <x v="0"/>
    <x v="0"/>
    <n v="9"/>
    <n v="41031"/>
    <n v="369279"/>
    <n v="369279"/>
  </r>
  <r>
    <n v="12022"/>
    <d v="2023-11-01T00:00:00"/>
    <x v="0"/>
    <x v="3"/>
    <x v="2"/>
    <n v="13"/>
    <n v="56316"/>
    <n v="732108"/>
    <n v="732108"/>
  </r>
  <r>
    <n v="12023"/>
    <d v="2023-01-09T00:00:00"/>
    <x v="1"/>
    <x v="3"/>
    <x v="0"/>
    <n v="7"/>
    <n v="17321"/>
    <n v="121247"/>
    <n v="121247"/>
  </r>
  <r>
    <n v="12024"/>
    <d v="2023-04-14T00:00:00"/>
    <x v="3"/>
    <x v="0"/>
    <x v="3"/>
    <n v="16"/>
    <n v="50260"/>
    <n v="804160"/>
    <n v="804160"/>
  </r>
  <r>
    <n v="12025"/>
    <d v="2023-08-21T00:00:00"/>
    <x v="1"/>
    <x v="1"/>
    <x v="4"/>
    <n v="20"/>
    <n v="8208"/>
    <n v="164160"/>
    <n v="164160"/>
  </r>
  <r>
    <n v="12026"/>
    <d v="2023-10-31T00:00:00"/>
    <x v="1"/>
    <x v="1"/>
    <x v="0"/>
    <n v="15"/>
    <n v="39794"/>
    <n v="596910"/>
    <n v="596910"/>
  </r>
  <r>
    <n v="12027"/>
    <d v="2023-11-09T00:00:00"/>
    <x v="4"/>
    <x v="2"/>
    <x v="2"/>
    <n v="4"/>
    <n v="58576"/>
    <n v="234304"/>
    <n v="234304"/>
  </r>
  <r>
    <n v="12028"/>
    <d v="2023-10-02T00:00:00"/>
    <x v="5"/>
    <x v="0"/>
    <x v="4"/>
    <n v="7"/>
    <n v="7360"/>
    <n v="51520"/>
    <n v="51520"/>
  </r>
  <r>
    <n v="12029"/>
    <d v="2023-01-04T00:00:00"/>
    <x v="3"/>
    <x v="2"/>
    <x v="5"/>
    <n v="11"/>
    <n v="41045"/>
    <n v="451495"/>
    <n v="451495"/>
  </r>
  <r>
    <n v="12030"/>
    <d v="2023-10-02T00:00:00"/>
    <x v="1"/>
    <x v="1"/>
    <x v="1"/>
    <n v="14"/>
    <n v="40406"/>
    <n v="565684"/>
    <n v="565684"/>
  </r>
  <r>
    <n v="12031"/>
    <d v="2023-07-26T00:00:00"/>
    <x v="2"/>
    <x v="3"/>
    <x v="5"/>
    <n v="11"/>
    <n v="31503"/>
    <n v="346533"/>
    <n v="346533"/>
  </r>
  <r>
    <n v="12032"/>
    <d v="2023-04-02T00:00:00"/>
    <x v="1"/>
    <x v="3"/>
    <x v="0"/>
    <n v="16"/>
    <n v="47089"/>
    <n v="753424"/>
    <n v="753424"/>
  </r>
  <r>
    <n v="12033"/>
    <d v="2023-05-29T00:00:00"/>
    <x v="0"/>
    <x v="2"/>
    <x v="5"/>
    <n v="15"/>
    <n v="57480"/>
    <n v="862200"/>
    <n v="862200"/>
  </r>
  <r>
    <n v="12034"/>
    <d v="2023-05-22T00:00:00"/>
    <x v="6"/>
    <x v="3"/>
    <x v="2"/>
    <n v="12"/>
    <n v="42398"/>
    <n v="508776"/>
    <n v="508776"/>
  </r>
  <r>
    <n v="12035"/>
    <d v="2023-01-22T00:00:00"/>
    <x v="1"/>
    <x v="1"/>
    <x v="2"/>
    <n v="12"/>
    <n v="9858"/>
    <n v="118296"/>
    <n v="118296"/>
  </r>
  <r>
    <n v="12036"/>
    <d v="2023-12-02T00:00:00"/>
    <x v="0"/>
    <x v="2"/>
    <x v="2"/>
    <n v="15"/>
    <n v="4849"/>
    <n v="72735"/>
    <n v="72735"/>
  </r>
  <r>
    <n v="12037"/>
    <d v="2023-10-13T00:00:00"/>
    <x v="3"/>
    <x v="1"/>
    <x v="1"/>
    <n v="16"/>
    <n v="38097"/>
    <n v="609552"/>
    <n v="609552"/>
  </r>
  <r>
    <n v="12038"/>
    <d v="2023-11-02T00:00:00"/>
    <x v="5"/>
    <x v="0"/>
    <x v="1"/>
    <n v="6"/>
    <n v="7089"/>
    <n v="42534"/>
    <n v="42534"/>
  </r>
  <r>
    <n v="12039"/>
    <d v="2023-05-12T00:00:00"/>
    <x v="3"/>
    <x v="1"/>
    <x v="1"/>
    <n v="20"/>
    <n v="4080"/>
    <n v="81600"/>
    <n v="81600"/>
  </r>
  <r>
    <n v="12040"/>
    <d v="2023-11-18T00:00:00"/>
    <x v="2"/>
    <x v="3"/>
    <x v="5"/>
    <n v="5"/>
    <n v="26986"/>
    <n v="134930"/>
    <n v="134930"/>
  </r>
  <r>
    <n v="12041"/>
    <d v="2023-06-06T00:00:00"/>
    <x v="2"/>
    <x v="2"/>
    <x v="1"/>
    <n v="14"/>
    <n v="53775"/>
    <n v="752850"/>
    <n v="752850"/>
  </r>
  <r>
    <n v="12042"/>
    <d v="2023-05-29T00:00:00"/>
    <x v="6"/>
    <x v="2"/>
    <x v="4"/>
    <n v="12"/>
    <n v="37751"/>
    <n v="453012"/>
    <n v="453012"/>
  </r>
  <r>
    <n v="12043"/>
    <d v="2023-09-10T00:00:00"/>
    <x v="2"/>
    <x v="1"/>
    <x v="0"/>
    <n v="2"/>
    <n v="45943"/>
    <n v="91886"/>
    <n v="91886"/>
  </r>
  <r>
    <n v="12044"/>
    <d v="2023-05-12T00:00:00"/>
    <x v="2"/>
    <x v="0"/>
    <x v="3"/>
    <n v="18"/>
    <n v="26507"/>
    <n v="477126"/>
    <n v="477126"/>
  </r>
  <r>
    <n v="12045"/>
    <d v="2023-07-15T00:00:00"/>
    <x v="1"/>
    <x v="1"/>
    <x v="0"/>
    <n v="4"/>
    <n v="12701"/>
    <n v="50804"/>
    <n v="50804"/>
  </r>
  <r>
    <n v="12046"/>
    <d v="2023-01-08T00:00:00"/>
    <x v="6"/>
    <x v="0"/>
    <x v="3"/>
    <n v="8"/>
    <n v="48087"/>
    <n v="384696"/>
    <n v="384696"/>
  </r>
  <r>
    <n v="12047"/>
    <d v="2023-01-28T00:00:00"/>
    <x v="1"/>
    <x v="3"/>
    <x v="3"/>
    <n v="16"/>
    <n v="52280"/>
    <n v="836480"/>
    <n v="836480"/>
  </r>
  <r>
    <n v="12048"/>
    <d v="2023-08-05T00:00:00"/>
    <x v="3"/>
    <x v="0"/>
    <x v="5"/>
    <n v="10"/>
    <n v="6266"/>
    <n v="62660"/>
    <n v="62660"/>
  </r>
  <r>
    <n v="12049"/>
    <d v="2023-04-26T00:00:00"/>
    <x v="1"/>
    <x v="2"/>
    <x v="3"/>
    <n v="18"/>
    <n v="51220"/>
    <n v="921960"/>
    <n v="921960"/>
  </r>
  <r>
    <n v="12050"/>
    <d v="2023-04-06T00:00:00"/>
    <x v="6"/>
    <x v="3"/>
    <x v="3"/>
    <n v="17"/>
    <n v="8694"/>
    <n v="147798"/>
    <n v="147798"/>
  </r>
  <r>
    <n v="12051"/>
    <d v="2023-07-22T00:00:00"/>
    <x v="2"/>
    <x v="2"/>
    <x v="3"/>
    <n v="4"/>
    <n v="41072"/>
    <n v="164288"/>
    <n v="164288"/>
  </r>
  <r>
    <n v="12052"/>
    <d v="2023-12-27T00:00:00"/>
    <x v="6"/>
    <x v="3"/>
    <x v="4"/>
    <n v="8"/>
    <n v="50871"/>
    <n v="406968"/>
    <n v="406968"/>
  </r>
  <r>
    <n v="12053"/>
    <d v="2023-11-22T00:00:00"/>
    <x v="3"/>
    <x v="2"/>
    <x v="4"/>
    <n v="13"/>
    <n v="7107"/>
    <n v="92391"/>
    <n v="92391"/>
  </r>
  <r>
    <n v="12054"/>
    <d v="2023-09-24T00:00:00"/>
    <x v="1"/>
    <x v="1"/>
    <x v="2"/>
    <n v="1"/>
    <n v="18337"/>
    <n v="18337"/>
    <n v="18337"/>
  </r>
  <r>
    <n v="12055"/>
    <d v="2023-12-30T00:00:00"/>
    <x v="5"/>
    <x v="2"/>
    <x v="1"/>
    <n v="16"/>
    <n v="3906"/>
    <n v="62496"/>
    <n v="62496"/>
  </r>
  <r>
    <n v="12056"/>
    <d v="2023-08-15T00:00:00"/>
    <x v="6"/>
    <x v="1"/>
    <x v="5"/>
    <n v="10"/>
    <n v="30381"/>
    <n v="303810"/>
    <n v="303810"/>
  </r>
  <r>
    <n v="12057"/>
    <d v="2023-08-15T00:00:00"/>
    <x v="5"/>
    <x v="3"/>
    <x v="2"/>
    <n v="20"/>
    <n v="36820"/>
    <n v="736400"/>
    <n v="736400"/>
  </r>
  <r>
    <n v="12058"/>
    <d v="2023-06-24T00:00:00"/>
    <x v="3"/>
    <x v="2"/>
    <x v="1"/>
    <n v="2"/>
    <n v="24509"/>
    <n v="49018"/>
    <n v="49018"/>
  </r>
  <r>
    <n v="12059"/>
    <d v="2023-07-07T00:00:00"/>
    <x v="0"/>
    <x v="3"/>
    <x v="2"/>
    <n v="12"/>
    <n v="22161"/>
    <n v="265932"/>
    <n v="265932"/>
  </r>
  <r>
    <n v="12060"/>
    <d v="2023-10-18T00:00:00"/>
    <x v="4"/>
    <x v="1"/>
    <x v="2"/>
    <n v="14"/>
    <n v="39691"/>
    <n v="555674"/>
    <n v="555674"/>
  </r>
  <r>
    <n v="12061"/>
    <d v="2023-02-16T00:00:00"/>
    <x v="5"/>
    <x v="3"/>
    <x v="4"/>
    <n v="12"/>
    <n v="59898"/>
    <n v="718776"/>
    <n v="718776"/>
  </r>
  <r>
    <n v="12062"/>
    <d v="2023-03-01T00:00:00"/>
    <x v="5"/>
    <x v="0"/>
    <x v="1"/>
    <n v="2"/>
    <n v="46934"/>
    <n v="93868"/>
    <n v="93868"/>
  </r>
  <r>
    <n v="12063"/>
    <d v="2023-11-06T00:00:00"/>
    <x v="2"/>
    <x v="2"/>
    <x v="4"/>
    <n v="7"/>
    <n v="58149"/>
    <n v="407043"/>
    <n v="407043"/>
  </r>
  <r>
    <n v="12064"/>
    <d v="2023-07-14T00:00:00"/>
    <x v="2"/>
    <x v="2"/>
    <x v="3"/>
    <n v="12"/>
    <n v="24315"/>
    <n v="291780"/>
    <n v="291780"/>
  </r>
  <r>
    <n v="12065"/>
    <d v="2023-05-08T00:00:00"/>
    <x v="0"/>
    <x v="3"/>
    <x v="5"/>
    <n v="9"/>
    <n v="45835"/>
    <n v="412515"/>
    <n v="412515"/>
  </r>
  <r>
    <n v="12066"/>
    <d v="2023-06-26T00:00:00"/>
    <x v="6"/>
    <x v="2"/>
    <x v="1"/>
    <n v="3"/>
    <n v="15034"/>
    <n v="45102"/>
    <n v="45102"/>
  </r>
  <r>
    <n v="12067"/>
    <d v="2023-11-26T00:00:00"/>
    <x v="6"/>
    <x v="3"/>
    <x v="5"/>
    <n v="14"/>
    <n v="4476"/>
    <n v="62664"/>
    <n v="62664"/>
  </r>
  <r>
    <n v="12068"/>
    <d v="2023-06-23T00:00:00"/>
    <x v="5"/>
    <x v="3"/>
    <x v="3"/>
    <n v="11"/>
    <n v="38636"/>
    <n v="424996"/>
    <n v="424996"/>
  </r>
  <r>
    <n v="12069"/>
    <d v="2023-11-16T00:00:00"/>
    <x v="1"/>
    <x v="3"/>
    <x v="5"/>
    <n v="17"/>
    <n v="53029"/>
    <n v="901493"/>
    <n v="901493"/>
  </r>
  <r>
    <n v="12070"/>
    <d v="2023-10-18T00:00:00"/>
    <x v="4"/>
    <x v="3"/>
    <x v="0"/>
    <n v="9"/>
    <n v="46026"/>
    <n v="414234"/>
    <n v="414234"/>
  </r>
  <r>
    <n v="12071"/>
    <d v="2023-06-03T00:00:00"/>
    <x v="2"/>
    <x v="0"/>
    <x v="1"/>
    <n v="8"/>
    <n v="14429"/>
    <n v="115432"/>
    <n v="115432"/>
  </r>
  <r>
    <n v="12072"/>
    <d v="2023-09-27T00:00:00"/>
    <x v="0"/>
    <x v="2"/>
    <x v="3"/>
    <n v="1"/>
    <n v="45809"/>
    <n v="45809"/>
    <n v="45809"/>
  </r>
  <r>
    <n v="12073"/>
    <d v="2023-10-18T00:00:00"/>
    <x v="4"/>
    <x v="2"/>
    <x v="4"/>
    <n v="12"/>
    <n v="12305"/>
    <n v="147660"/>
    <n v="147660"/>
  </r>
  <r>
    <n v="12074"/>
    <d v="2023-04-25T00:00:00"/>
    <x v="5"/>
    <x v="2"/>
    <x v="0"/>
    <n v="2"/>
    <n v="9421"/>
    <n v="18842"/>
    <n v="18842"/>
  </r>
  <r>
    <n v="12075"/>
    <d v="2023-05-29T00:00:00"/>
    <x v="3"/>
    <x v="2"/>
    <x v="5"/>
    <n v="15"/>
    <n v="36071"/>
    <n v="541065"/>
    <n v="541065"/>
  </r>
  <r>
    <n v="12076"/>
    <d v="2023-01-26T00:00:00"/>
    <x v="4"/>
    <x v="2"/>
    <x v="0"/>
    <n v="7"/>
    <n v="48020"/>
    <n v="336140"/>
    <n v="336140"/>
  </r>
  <r>
    <n v="12077"/>
    <d v="2023-06-30T00:00:00"/>
    <x v="5"/>
    <x v="0"/>
    <x v="1"/>
    <n v="6"/>
    <n v="8845"/>
    <n v="53070"/>
    <n v="53070"/>
  </r>
  <r>
    <n v="12078"/>
    <d v="2023-09-03T00:00:00"/>
    <x v="6"/>
    <x v="0"/>
    <x v="3"/>
    <n v="5"/>
    <n v="49187"/>
    <n v="245935"/>
    <n v="245935"/>
  </r>
  <r>
    <n v="12079"/>
    <d v="2023-01-12T00:00:00"/>
    <x v="3"/>
    <x v="0"/>
    <x v="0"/>
    <n v="8"/>
    <n v="37654"/>
    <n v="301232"/>
    <n v="301232"/>
  </r>
  <r>
    <n v="12080"/>
    <d v="2023-05-13T00:00:00"/>
    <x v="0"/>
    <x v="1"/>
    <x v="3"/>
    <n v="11"/>
    <n v="48839"/>
    <n v="537229"/>
    <n v="537229"/>
  </r>
  <r>
    <n v="12081"/>
    <d v="2023-04-02T00:00:00"/>
    <x v="4"/>
    <x v="1"/>
    <x v="5"/>
    <n v="13"/>
    <n v="58910"/>
    <n v="765830"/>
    <n v="765830"/>
  </r>
  <r>
    <n v="12082"/>
    <d v="2023-08-14T00:00:00"/>
    <x v="6"/>
    <x v="0"/>
    <x v="4"/>
    <n v="16"/>
    <n v="23318"/>
    <n v="373088"/>
    <n v="373088"/>
  </r>
  <r>
    <n v="12083"/>
    <d v="2023-11-15T00:00:00"/>
    <x v="4"/>
    <x v="3"/>
    <x v="2"/>
    <n v="9"/>
    <n v="3557"/>
    <n v="32013"/>
    <n v="32013"/>
  </r>
  <r>
    <n v="12084"/>
    <d v="2023-07-28T00:00:00"/>
    <x v="2"/>
    <x v="0"/>
    <x v="3"/>
    <n v="4"/>
    <n v="53876"/>
    <n v="215504"/>
    <n v="215504"/>
  </r>
  <r>
    <n v="12085"/>
    <d v="2023-10-13T00:00:00"/>
    <x v="0"/>
    <x v="0"/>
    <x v="5"/>
    <n v="6"/>
    <n v="56895"/>
    <n v="341370"/>
    <n v="341370"/>
  </r>
  <r>
    <n v="12086"/>
    <d v="2023-09-27T00:00:00"/>
    <x v="0"/>
    <x v="0"/>
    <x v="1"/>
    <n v="11"/>
    <n v="10813"/>
    <n v="118943"/>
    <n v="118943"/>
  </r>
  <r>
    <n v="12087"/>
    <d v="2023-11-23T00:00:00"/>
    <x v="5"/>
    <x v="3"/>
    <x v="4"/>
    <n v="8"/>
    <n v="44096"/>
    <n v="352768"/>
    <n v="352768"/>
  </r>
  <r>
    <n v="12088"/>
    <d v="2023-04-22T00:00:00"/>
    <x v="5"/>
    <x v="1"/>
    <x v="1"/>
    <n v="10"/>
    <n v="48911"/>
    <n v="489110"/>
    <n v="489110"/>
  </r>
  <r>
    <n v="12089"/>
    <d v="2023-01-26T00:00:00"/>
    <x v="5"/>
    <x v="0"/>
    <x v="4"/>
    <n v="20"/>
    <n v="47930"/>
    <n v="958600"/>
    <n v="958600"/>
  </r>
  <r>
    <n v="12090"/>
    <d v="2023-11-14T00:00:00"/>
    <x v="4"/>
    <x v="3"/>
    <x v="1"/>
    <n v="11"/>
    <n v="45459"/>
    <n v="500049"/>
    <n v="500049"/>
  </r>
  <r>
    <n v="12091"/>
    <d v="2023-11-27T00:00:00"/>
    <x v="1"/>
    <x v="1"/>
    <x v="0"/>
    <n v="3"/>
    <n v="4784"/>
    <n v="14352"/>
    <n v="14352"/>
  </r>
  <r>
    <n v="12092"/>
    <d v="2023-02-26T00:00:00"/>
    <x v="4"/>
    <x v="0"/>
    <x v="5"/>
    <n v="1"/>
    <n v="21391"/>
    <n v="21391"/>
    <n v="21391"/>
  </r>
  <r>
    <n v="12093"/>
    <d v="2023-10-26T00:00:00"/>
    <x v="0"/>
    <x v="1"/>
    <x v="1"/>
    <n v="8"/>
    <n v="50437"/>
    <n v="403496"/>
    <n v="403496"/>
  </r>
  <r>
    <n v="12094"/>
    <d v="2023-06-29T00:00:00"/>
    <x v="3"/>
    <x v="1"/>
    <x v="1"/>
    <n v="16"/>
    <n v="21329"/>
    <n v="341264"/>
    <n v="341264"/>
  </r>
  <r>
    <n v="12095"/>
    <d v="2023-01-31T00:00:00"/>
    <x v="0"/>
    <x v="2"/>
    <x v="1"/>
    <n v="5"/>
    <n v="35591"/>
    <n v="177955"/>
    <n v="177955"/>
  </r>
  <r>
    <n v="12096"/>
    <d v="2023-08-04T00:00:00"/>
    <x v="4"/>
    <x v="2"/>
    <x v="4"/>
    <n v="15"/>
    <n v="27099"/>
    <n v="406485"/>
    <n v="406485"/>
  </r>
  <r>
    <n v="12097"/>
    <d v="2023-03-01T00:00:00"/>
    <x v="3"/>
    <x v="3"/>
    <x v="4"/>
    <n v="10"/>
    <n v="42588"/>
    <n v="425880"/>
    <n v="425880"/>
  </r>
  <r>
    <n v="12098"/>
    <d v="2023-07-05T00:00:00"/>
    <x v="4"/>
    <x v="1"/>
    <x v="1"/>
    <n v="10"/>
    <n v="36504"/>
    <n v="365040"/>
    <n v="365040"/>
  </r>
  <r>
    <n v="12099"/>
    <d v="2023-07-27T00:00:00"/>
    <x v="0"/>
    <x v="3"/>
    <x v="3"/>
    <n v="1"/>
    <n v="43455"/>
    <n v="43455"/>
    <n v="43455"/>
  </r>
  <r>
    <n v="12100"/>
    <d v="2023-02-23T00:00:00"/>
    <x v="0"/>
    <x v="3"/>
    <x v="2"/>
    <n v="4"/>
    <n v="32870"/>
    <n v="131480"/>
    <n v="131480"/>
  </r>
  <r>
    <n v="12101"/>
    <d v="2023-04-08T00:00:00"/>
    <x v="5"/>
    <x v="0"/>
    <x v="0"/>
    <n v="17"/>
    <n v="20661"/>
    <n v="351237"/>
    <n v="351237"/>
  </r>
  <r>
    <n v="12102"/>
    <d v="2023-06-26T00:00:00"/>
    <x v="5"/>
    <x v="3"/>
    <x v="3"/>
    <n v="19"/>
    <n v="11050"/>
    <n v="209950"/>
    <n v="209950"/>
  </r>
  <r>
    <n v="12103"/>
    <d v="2023-04-23T00:00:00"/>
    <x v="4"/>
    <x v="2"/>
    <x v="4"/>
    <n v="15"/>
    <n v="12182"/>
    <n v="182730"/>
    <n v="182730"/>
  </r>
  <r>
    <n v="12104"/>
    <d v="2023-07-07T00:00:00"/>
    <x v="1"/>
    <x v="2"/>
    <x v="2"/>
    <n v="9"/>
    <n v="30538"/>
    <n v="274842"/>
    <n v="274842"/>
  </r>
  <r>
    <n v="12105"/>
    <d v="2023-12-24T00:00:00"/>
    <x v="3"/>
    <x v="3"/>
    <x v="2"/>
    <n v="10"/>
    <n v="15479"/>
    <n v="154790"/>
    <n v="154790"/>
  </r>
  <r>
    <n v="12106"/>
    <d v="2023-09-17T00:00:00"/>
    <x v="5"/>
    <x v="2"/>
    <x v="2"/>
    <n v="7"/>
    <n v="32596"/>
    <n v="228172"/>
    <n v="228172"/>
  </r>
  <r>
    <n v="12107"/>
    <d v="2023-07-20T00:00:00"/>
    <x v="0"/>
    <x v="2"/>
    <x v="1"/>
    <n v="1"/>
    <n v="44650"/>
    <n v="44650"/>
    <n v="44650"/>
  </r>
  <r>
    <n v="12108"/>
    <d v="2023-06-05T00:00:00"/>
    <x v="6"/>
    <x v="3"/>
    <x v="5"/>
    <n v="9"/>
    <n v="24840"/>
    <n v="223560"/>
    <n v="223560"/>
  </r>
  <r>
    <n v="12109"/>
    <d v="2023-07-29T00:00:00"/>
    <x v="0"/>
    <x v="1"/>
    <x v="3"/>
    <n v="4"/>
    <n v="47062"/>
    <n v="188248"/>
    <n v="188248"/>
  </r>
  <r>
    <n v="12110"/>
    <d v="2023-04-01T00:00:00"/>
    <x v="1"/>
    <x v="3"/>
    <x v="5"/>
    <n v="4"/>
    <n v="58521"/>
    <n v="234084"/>
    <n v="234084"/>
  </r>
  <r>
    <n v="12111"/>
    <d v="2023-04-25T00:00:00"/>
    <x v="1"/>
    <x v="3"/>
    <x v="2"/>
    <n v="1"/>
    <n v="40338"/>
    <n v="40338"/>
    <n v="40338"/>
  </r>
  <r>
    <n v="12112"/>
    <d v="2023-10-10T00:00:00"/>
    <x v="4"/>
    <x v="2"/>
    <x v="5"/>
    <n v="11"/>
    <n v="51222"/>
    <n v="563442"/>
    <n v="563442"/>
  </r>
  <r>
    <n v="12113"/>
    <d v="2023-09-10T00:00:00"/>
    <x v="4"/>
    <x v="2"/>
    <x v="1"/>
    <n v="13"/>
    <n v="31428"/>
    <n v="408564"/>
    <n v="408564"/>
  </r>
  <r>
    <n v="12114"/>
    <d v="2023-05-04T00:00:00"/>
    <x v="1"/>
    <x v="1"/>
    <x v="4"/>
    <n v="1"/>
    <n v="41877"/>
    <n v="41877"/>
    <n v="41877"/>
  </r>
  <r>
    <n v="12115"/>
    <d v="2023-10-25T00:00:00"/>
    <x v="6"/>
    <x v="0"/>
    <x v="4"/>
    <n v="10"/>
    <n v="43897"/>
    <n v="438970"/>
    <n v="438970"/>
  </r>
  <r>
    <n v="12116"/>
    <d v="2023-12-26T00:00:00"/>
    <x v="0"/>
    <x v="0"/>
    <x v="3"/>
    <n v="6"/>
    <n v="52841"/>
    <n v="317046"/>
    <n v="317046"/>
  </r>
  <r>
    <n v="12117"/>
    <d v="2023-09-19T00:00:00"/>
    <x v="2"/>
    <x v="2"/>
    <x v="4"/>
    <n v="13"/>
    <n v="18009"/>
    <n v="234117"/>
    <n v="234117"/>
  </r>
  <r>
    <n v="12118"/>
    <d v="2023-08-09T00:00:00"/>
    <x v="3"/>
    <x v="3"/>
    <x v="4"/>
    <n v="1"/>
    <n v="54549"/>
    <n v="54549"/>
    <n v="54549"/>
  </r>
  <r>
    <n v="12119"/>
    <d v="2023-03-04T00:00:00"/>
    <x v="1"/>
    <x v="3"/>
    <x v="1"/>
    <n v="14"/>
    <n v="9473"/>
    <n v="132622"/>
    <n v="132622"/>
  </r>
  <r>
    <n v="12120"/>
    <d v="2023-05-31T00:00:00"/>
    <x v="0"/>
    <x v="1"/>
    <x v="4"/>
    <n v="17"/>
    <n v="21037"/>
    <n v="357629"/>
    <n v="357629"/>
  </r>
  <r>
    <n v="12121"/>
    <d v="2023-04-28T00:00:00"/>
    <x v="3"/>
    <x v="3"/>
    <x v="4"/>
    <n v="8"/>
    <n v="2825"/>
    <n v="22600"/>
    <n v="22600"/>
  </r>
  <r>
    <n v="12122"/>
    <d v="2023-03-04T00:00:00"/>
    <x v="4"/>
    <x v="3"/>
    <x v="2"/>
    <n v="1"/>
    <n v="15373"/>
    <n v="15373"/>
    <n v="15373"/>
  </r>
  <r>
    <n v="12123"/>
    <d v="2023-03-05T00:00:00"/>
    <x v="6"/>
    <x v="1"/>
    <x v="2"/>
    <n v="11"/>
    <n v="45070"/>
    <n v="495770"/>
    <n v="495770"/>
  </r>
  <r>
    <n v="12124"/>
    <d v="2023-12-19T00:00:00"/>
    <x v="6"/>
    <x v="0"/>
    <x v="4"/>
    <n v="20"/>
    <n v="58826"/>
    <n v="1176520"/>
    <n v="1176520"/>
  </r>
  <r>
    <n v="12125"/>
    <d v="2023-01-30T00:00:00"/>
    <x v="5"/>
    <x v="0"/>
    <x v="3"/>
    <n v="16"/>
    <n v="10198"/>
    <n v="163168"/>
    <n v="163168"/>
  </r>
  <r>
    <n v="12126"/>
    <d v="2023-08-14T00:00:00"/>
    <x v="4"/>
    <x v="2"/>
    <x v="5"/>
    <n v="19"/>
    <n v="39803"/>
    <n v="756257"/>
    <n v="756257"/>
  </r>
  <r>
    <n v="12127"/>
    <d v="2023-01-25T00:00:00"/>
    <x v="0"/>
    <x v="1"/>
    <x v="4"/>
    <n v="1"/>
    <n v="44450"/>
    <n v="44450"/>
    <n v="44450"/>
  </r>
  <r>
    <n v="12128"/>
    <d v="2023-03-20T00:00:00"/>
    <x v="0"/>
    <x v="1"/>
    <x v="1"/>
    <n v="8"/>
    <n v="39618"/>
    <n v="316944"/>
    <n v="316944"/>
  </r>
  <r>
    <n v="12129"/>
    <d v="2023-03-14T00:00:00"/>
    <x v="5"/>
    <x v="2"/>
    <x v="2"/>
    <n v="19"/>
    <n v="51573"/>
    <n v="979887"/>
    <n v="979887"/>
  </r>
  <r>
    <n v="12130"/>
    <d v="2023-07-07T00:00:00"/>
    <x v="5"/>
    <x v="1"/>
    <x v="1"/>
    <n v="2"/>
    <n v="56764"/>
    <n v="113528"/>
    <n v="113528"/>
  </r>
  <r>
    <n v="12131"/>
    <d v="2023-10-15T00:00:00"/>
    <x v="3"/>
    <x v="3"/>
    <x v="5"/>
    <n v="20"/>
    <n v="48936"/>
    <n v="978720"/>
    <n v="978720"/>
  </r>
  <r>
    <n v="12132"/>
    <d v="2023-09-22T00:00:00"/>
    <x v="2"/>
    <x v="1"/>
    <x v="2"/>
    <n v="9"/>
    <n v="52528"/>
    <n v="472752"/>
    <n v="472752"/>
  </r>
  <r>
    <n v="12133"/>
    <d v="2023-01-28T00:00:00"/>
    <x v="3"/>
    <x v="3"/>
    <x v="5"/>
    <n v="13"/>
    <n v="1504"/>
    <n v="19552"/>
    <n v="19552"/>
  </r>
  <r>
    <n v="12134"/>
    <d v="2023-10-14T00:00:00"/>
    <x v="0"/>
    <x v="1"/>
    <x v="1"/>
    <n v="6"/>
    <n v="39360"/>
    <n v="236160"/>
    <n v="236160"/>
  </r>
  <r>
    <n v="12135"/>
    <d v="2023-05-09T00:00:00"/>
    <x v="2"/>
    <x v="1"/>
    <x v="4"/>
    <n v="5"/>
    <n v="52520"/>
    <n v="262600"/>
    <n v="262600"/>
  </r>
  <r>
    <n v="12136"/>
    <d v="2023-03-26T00:00:00"/>
    <x v="5"/>
    <x v="2"/>
    <x v="1"/>
    <n v="3"/>
    <n v="16722"/>
    <n v="50166"/>
    <n v="50166"/>
  </r>
  <r>
    <n v="12137"/>
    <d v="2023-06-20T00:00:00"/>
    <x v="4"/>
    <x v="3"/>
    <x v="4"/>
    <n v="13"/>
    <n v="5975"/>
    <n v="77675"/>
    <n v="77675"/>
  </r>
  <r>
    <n v="12138"/>
    <d v="2023-11-19T00:00:00"/>
    <x v="0"/>
    <x v="3"/>
    <x v="0"/>
    <n v="2"/>
    <n v="39120"/>
    <n v="78240"/>
    <n v="78240"/>
  </r>
  <r>
    <n v="12139"/>
    <d v="2023-11-07T00:00:00"/>
    <x v="5"/>
    <x v="2"/>
    <x v="4"/>
    <n v="8"/>
    <n v="49561"/>
    <n v="396488"/>
    <n v="396488"/>
  </r>
  <r>
    <n v="12140"/>
    <d v="2023-11-23T00:00:00"/>
    <x v="0"/>
    <x v="1"/>
    <x v="2"/>
    <n v="5"/>
    <n v="43025"/>
    <n v="215125"/>
    <n v="215125"/>
  </r>
  <r>
    <n v="12141"/>
    <d v="2023-08-17T00:00:00"/>
    <x v="1"/>
    <x v="1"/>
    <x v="3"/>
    <n v="11"/>
    <n v="18381"/>
    <n v="202191"/>
    <n v="202191"/>
  </r>
  <r>
    <n v="12142"/>
    <d v="2023-01-19T00:00:00"/>
    <x v="1"/>
    <x v="2"/>
    <x v="4"/>
    <n v="7"/>
    <n v="57208"/>
    <n v="400456"/>
    <n v="400456"/>
  </r>
  <r>
    <n v="12143"/>
    <d v="2023-05-15T00:00:00"/>
    <x v="4"/>
    <x v="3"/>
    <x v="3"/>
    <n v="12"/>
    <n v="35817"/>
    <n v="429804"/>
    <n v="429804"/>
  </r>
  <r>
    <n v="12144"/>
    <d v="2023-01-04T00:00:00"/>
    <x v="3"/>
    <x v="1"/>
    <x v="5"/>
    <n v="18"/>
    <n v="48911"/>
    <n v="880398"/>
    <n v="880398"/>
  </r>
  <r>
    <n v="12145"/>
    <d v="2023-02-26T00:00:00"/>
    <x v="0"/>
    <x v="2"/>
    <x v="3"/>
    <n v="3"/>
    <n v="21435"/>
    <n v="64305"/>
    <n v="64305"/>
  </r>
  <r>
    <n v="12146"/>
    <d v="2023-11-25T00:00:00"/>
    <x v="5"/>
    <x v="1"/>
    <x v="1"/>
    <n v="20"/>
    <n v="45055"/>
    <n v="901100"/>
    <n v="901100"/>
  </r>
  <r>
    <n v="12147"/>
    <d v="2023-12-02T00:00:00"/>
    <x v="3"/>
    <x v="1"/>
    <x v="5"/>
    <n v="10"/>
    <n v="47775"/>
    <n v="477750"/>
    <n v="477750"/>
  </r>
  <r>
    <n v="12148"/>
    <d v="2023-05-06T00:00:00"/>
    <x v="2"/>
    <x v="1"/>
    <x v="4"/>
    <n v="9"/>
    <n v="58609"/>
    <n v="527481"/>
    <n v="527481"/>
  </r>
  <r>
    <n v="12149"/>
    <d v="2023-07-26T00:00:00"/>
    <x v="3"/>
    <x v="0"/>
    <x v="1"/>
    <n v="13"/>
    <n v="52768"/>
    <n v="685984"/>
    <n v="685984"/>
  </r>
  <r>
    <n v="12150"/>
    <d v="2023-07-24T00:00:00"/>
    <x v="4"/>
    <x v="2"/>
    <x v="2"/>
    <n v="6"/>
    <n v="3090"/>
    <n v="18540"/>
    <n v="18540"/>
  </r>
  <r>
    <n v="12151"/>
    <d v="2023-11-26T00:00:00"/>
    <x v="0"/>
    <x v="3"/>
    <x v="4"/>
    <n v="20"/>
    <n v="10314"/>
    <n v="206280"/>
    <n v="206280"/>
  </r>
  <r>
    <n v="12152"/>
    <d v="2023-02-08T00:00:00"/>
    <x v="3"/>
    <x v="1"/>
    <x v="4"/>
    <n v="13"/>
    <n v="32800"/>
    <n v="426400"/>
    <n v="426400"/>
  </r>
  <r>
    <n v="12153"/>
    <d v="2023-03-27T00:00:00"/>
    <x v="4"/>
    <x v="3"/>
    <x v="0"/>
    <n v="13"/>
    <n v="33700"/>
    <n v="438100"/>
    <n v="438100"/>
  </r>
  <r>
    <n v="12154"/>
    <d v="2023-01-04T00:00:00"/>
    <x v="4"/>
    <x v="2"/>
    <x v="3"/>
    <n v="4"/>
    <n v="32067"/>
    <n v="128268"/>
    <n v="128268"/>
  </r>
  <r>
    <n v="12155"/>
    <d v="2023-02-19T00:00:00"/>
    <x v="4"/>
    <x v="2"/>
    <x v="4"/>
    <n v="6"/>
    <n v="5992"/>
    <n v="35952"/>
    <n v="35952"/>
  </r>
  <r>
    <n v="12156"/>
    <d v="2023-07-31T00:00:00"/>
    <x v="3"/>
    <x v="0"/>
    <x v="4"/>
    <n v="12"/>
    <n v="35752"/>
    <n v="429024"/>
    <n v="429024"/>
  </r>
  <r>
    <n v="12157"/>
    <d v="2023-07-04T00:00:00"/>
    <x v="0"/>
    <x v="3"/>
    <x v="5"/>
    <n v="4"/>
    <n v="32254"/>
    <n v="129016"/>
    <n v="129016"/>
  </r>
  <r>
    <n v="12158"/>
    <d v="2023-05-19T00:00:00"/>
    <x v="2"/>
    <x v="2"/>
    <x v="5"/>
    <n v="1"/>
    <n v="48664"/>
    <n v="48664"/>
    <n v="48664"/>
  </r>
  <r>
    <n v="12159"/>
    <d v="2023-08-15T00:00:00"/>
    <x v="5"/>
    <x v="2"/>
    <x v="3"/>
    <n v="3"/>
    <n v="32298"/>
    <n v="96894"/>
    <n v="96894"/>
  </r>
  <r>
    <n v="12160"/>
    <d v="2023-07-12T00:00:00"/>
    <x v="6"/>
    <x v="1"/>
    <x v="3"/>
    <n v="13"/>
    <n v="7138"/>
    <n v="92794"/>
    <n v="92794"/>
  </r>
  <r>
    <n v="12161"/>
    <d v="2023-11-24T00:00:00"/>
    <x v="1"/>
    <x v="2"/>
    <x v="3"/>
    <n v="4"/>
    <n v="26803"/>
    <n v="107212"/>
    <n v="107212"/>
  </r>
  <r>
    <n v="12162"/>
    <d v="2023-04-17T00:00:00"/>
    <x v="6"/>
    <x v="0"/>
    <x v="2"/>
    <n v="3"/>
    <n v="51781"/>
    <n v="155343"/>
    <n v="155343"/>
  </r>
  <r>
    <n v="12163"/>
    <d v="2023-08-31T00:00:00"/>
    <x v="2"/>
    <x v="1"/>
    <x v="3"/>
    <n v="10"/>
    <n v="25793"/>
    <n v="257930"/>
    <n v="257930"/>
  </r>
  <r>
    <n v="12164"/>
    <d v="2023-12-08T00:00:00"/>
    <x v="6"/>
    <x v="3"/>
    <x v="1"/>
    <n v="18"/>
    <n v="33828"/>
    <n v="608904"/>
    <n v="608904"/>
  </r>
  <r>
    <n v="12165"/>
    <d v="2023-10-08T00:00:00"/>
    <x v="1"/>
    <x v="3"/>
    <x v="3"/>
    <n v="13"/>
    <n v="53908"/>
    <n v="700804"/>
    <n v="700804"/>
  </r>
  <r>
    <n v="12166"/>
    <d v="2023-05-26T00:00:00"/>
    <x v="3"/>
    <x v="3"/>
    <x v="4"/>
    <n v="2"/>
    <n v="28110"/>
    <n v="56220"/>
    <n v="56220"/>
  </r>
  <r>
    <n v="12167"/>
    <d v="2023-04-19T00:00:00"/>
    <x v="2"/>
    <x v="2"/>
    <x v="4"/>
    <n v="20"/>
    <n v="5987"/>
    <n v="119740"/>
    <n v="119740"/>
  </r>
  <r>
    <n v="12168"/>
    <d v="2023-04-13T00:00:00"/>
    <x v="5"/>
    <x v="3"/>
    <x v="5"/>
    <n v="16"/>
    <n v="7474"/>
    <n v="119584"/>
    <n v="119584"/>
  </r>
  <r>
    <n v="12169"/>
    <d v="2024-01-01T00:00:00"/>
    <x v="4"/>
    <x v="2"/>
    <x v="5"/>
    <n v="10"/>
    <n v="24250"/>
    <n v="242500"/>
    <n v="242500"/>
  </r>
  <r>
    <n v="12170"/>
    <d v="2023-12-25T00:00:00"/>
    <x v="4"/>
    <x v="1"/>
    <x v="4"/>
    <n v="13"/>
    <n v="20047"/>
    <n v="260611"/>
    <n v="260611"/>
  </r>
  <r>
    <n v="12171"/>
    <d v="2023-11-08T00:00:00"/>
    <x v="2"/>
    <x v="3"/>
    <x v="3"/>
    <n v="9"/>
    <n v="8375"/>
    <n v="75375"/>
    <n v="75375"/>
  </r>
  <r>
    <n v="12172"/>
    <d v="2023-08-15T00:00:00"/>
    <x v="3"/>
    <x v="1"/>
    <x v="5"/>
    <n v="7"/>
    <n v="24271"/>
    <n v="169897"/>
    <n v="169897"/>
  </r>
  <r>
    <n v="12173"/>
    <d v="2023-06-08T00:00:00"/>
    <x v="1"/>
    <x v="3"/>
    <x v="2"/>
    <n v="20"/>
    <n v="22817"/>
    <n v="456340"/>
    <n v="456340"/>
  </r>
  <r>
    <n v="12174"/>
    <d v="2023-06-07T00:00:00"/>
    <x v="5"/>
    <x v="2"/>
    <x v="4"/>
    <n v="15"/>
    <n v="17627"/>
    <n v="264405"/>
    <n v="264405"/>
  </r>
  <r>
    <n v="12175"/>
    <d v="2023-12-09T00:00:00"/>
    <x v="5"/>
    <x v="2"/>
    <x v="4"/>
    <n v="9"/>
    <n v="7709"/>
    <n v="69381"/>
    <n v="69381"/>
  </r>
  <r>
    <n v="12176"/>
    <d v="2023-04-17T00:00:00"/>
    <x v="6"/>
    <x v="3"/>
    <x v="5"/>
    <n v="20"/>
    <n v="13231"/>
    <n v="264620"/>
    <n v="264620"/>
  </r>
  <r>
    <n v="12177"/>
    <d v="2023-08-15T00:00:00"/>
    <x v="3"/>
    <x v="3"/>
    <x v="1"/>
    <n v="13"/>
    <n v="25235"/>
    <n v="328055"/>
    <n v="328055"/>
  </r>
  <r>
    <n v="12178"/>
    <d v="2023-07-05T00:00:00"/>
    <x v="2"/>
    <x v="1"/>
    <x v="3"/>
    <n v="20"/>
    <n v="45082"/>
    <n v="901640"/>
    <n v="901640"/>
  </r>
  <r>
    <n v="12179"/>
    <d v="2023-03-04T00:00:00"/>
    <x v="5"/>
    <x v="1"/>
    <x v="2"/>
    <n v="19"/>
    <n v="14736"/>
    <n v="279984"/>
    <n v="279984"/>
  </r>
  <r>
    <n v="12180"/>
    <d v="2023-07-24T00:00:00"/>
    <x v="4"/>
    <x v="3"/>
    <x v="5"/>
    <n v="20"/>
    <n v="23657"/>
    <n v="473140"/>
    <n v="473140"/>
  </r>
  <r>
    <n v="12181"/>
    <d v="2023-04-10T00:00:00"/>
    <x v="0"/>
    <x v="1"/>
    <x v="1"/>
    <n v="20"/>
    <n v="37798"/>
    <n v="755960"/>
    <n v="755960"/>
  </r>
  <r>
    <n v="12182"/>
    <d v="2023-04-14T00:00:00"/>
    <x v="0"/>
    <x v="3"/>
    <x v="0"/>
    <n v="17"/>
    <n v="58088"/>
    <n v="987496"/>
    <n v="987496"/>
  </r>
  <r>
    <n v="12183"/>
    <d v="2023-03-07T00:00:00"/>
    <x v="5"/>
    <x v="1"/>
    <x v="5"/>
    <n v="19"/>
    <n v="43609"/>
    <n v="828571"/>
    <n v="828571"/>
  </r>
  <r>
    <n v="12184"/>
    <d v="2023-08-31T00:00:00"/>
    <x v="4"/>
    <x v="1"/>
    <x v="2"/>
    <n v="1"/>
    <n v="42867"/>
    <n v="42867"/>
    <n v="42867"/>
  </r>
  <r>
    <n v="12185"/>
    <d v="2023-04-16T00:00:00"/>
    <x v="0"/>
    <x v="3"/>
    <x v="2"/>
    <n v="12"/>
    <n v="18582"/>
    <n v="222984"/>
    <n v="222984"/>
  </r>
  <r>
    <n v="12186"/>
    <d v="2023-12-31T00:00:00"/>
    <x v="5"/>
    <x v="1"/>
    <x v="2"/>
    <n v="18"/>
    <n v="29273"/>
    <n v="526914"/>
    <n v="526914"/>
  </r>
  <r>
    <n v="12187"/>
    <d v="2023-03-16T00:00:00"/>
    <x v="2"/>
    <x v="1"/>
    <x v="5"/>
    <n v="2"/>
    <n v="2978"/>
    <n v="5956"/>
    <n v="5956"/>
  </r>
  <r>
    <n v="12188"/>
    <d v="2023-10-15T00:00:00"/>
    <x v="6"/>
    <x v="3"/>
    <x v="3"/>
    <n v="6"/>
    <n v="5108"/>
    <n v="30648"/>
    <n v="30648"/>
  </r>
  <r>
    <n v="12189"/>
    <d v="2023-11-10T00:00:00"/>
    <x v="4"/>
    <x v="1"/>
    <x v="2"/>
    <n v="17"/>
    <n v="29602"/>
    <n v="503234"/>
    <n v="503234"/>
  </r>
  <r>
    <n v="12190"/>
    <d v="2023-07-28T00:00:00"/>
    <x v="6"/>
    <x v="0"/>
    <x v="0"/>
    <n v="14"/>
    <n v="37619"/>
    <n v="526666"/>
    <n v="526666"/>
  </r>
  <r>
    <n v="12191"/>
    <d v="2023-08-19T00:00:00"/>
    <x v="5"/>
    <x v="1"/>
    <x v="0"/>
    <n v="13"/>
    <n v="59439"/>
    <n v="772707"/>
    <n v="772707"/>
  </r>
  <r>
    <n v="12192"/>
    <d v="2023-05-31T00:00:00"/>
    <x v="5"/>
    <x v="1"/>
    <x v="3"/>
    <n v="9"/>
    <n v="46756"/>
    <n v="420804"/>
    <n v="420804"/>
  </r>
  <r>
    <n v="12193"/>
    <d v="2023-01-21T00:00:00"/>
    <x v="6"/>
    <x v="1"/>
    <x v="4"/>
    <n v="18"/>
    <n v="34855"/>
    <n v="627390"/>
    <n v="627390"/>
  </r>
  <r>
    <n v="12194"/>
    <d v="2023-06-07T00:00:00"/>
    <x v="4"/>
    <x v="3"/>
    <x v="3"/>
    <n v="14"/>
    <n v="51550"/>
    <n v="721700"/>
    <n v="721700"/>
  </r>
  <r>
    <n v="12195"/>
    <d v="2023-09-04T00:00:00"/>
    <x v="2"/>
    <x v="2"/>
    <x v="1"/>
    <n v="1"/>
    <n v="35901"/>
    <n v="35901"/>
    <n v="35901"/>
  </r>
  <r>
    <n v="12196"/>
    <d v="2023-01-08T00:00:00"/>
    <x v="2"/>
    <x v="2"/>
    <x v="4"/>
    <n v="11"/>
    <n v="39025"/>
    <n v="429275"/>
    <n v="429275"/>
  </r>
  <r>
    <n v="12197"/>
    <d v="2023-04-23T00:00:00"/>
    <x v="0"/>
    <x v="2"/>
    <x v="0"/>
    <n v="7"/>
    <n v="42662"/>
    <n v="298634"/>
    <n v="298634"/>
  </r>
  <r>
    <n v="12198"/>
    <d v="2023-02-15T00:00:00"/>
    <x v="5"/>
    <x v="1"/>
    <x v="4"/>
    <n v="3"/>
    <n v="55264"/>
    <n v="165792"/>
    <n v="165792"/>
  </r>
  <r>
    <n v="12199"/>
    <d v="2023-01-25T00:00:00"/>
    <x v="5"/>
    <x v="0"/>
    <x v="0"/>
    <n v="17"/>
    <n v="44904"/>
    <n v="763368"/>
    <n v="763368"/>
  </r>
  <r>
    <n v="12200"/>
    <d v="2023-12-19T00:00:00"/>
    <x v="0"/>
    <x v="2"/>
    <x v="3"/>
    <n v="9"/>
    <n v="34828"/>
    <n v="313452"/>
    <n v="313452"/>
  </r>
  <r>
    <n v="12201"/>
    <d v="2023-08-05T00:00:00"/>
    <x v="4"/>
    <x v="0"/>
    <x v="5"/>
    <n v="12"/>
    <n v="18919"/>
    <n v="227028"/>
    <n v="227028"/>
  </r>
  <r>
    <n v="12202"/>
    <d v="2023-08-23T00:00:00"/>
    <x v="5"/>
    <x v="3"/>
    <x v="1"/>
    <n v="16"/>
    <n v="3383"/>
    <n v="54128"/>
    <n v="54128"/>
  </r>
  <r>
    <n v="12203"/>
    <d v="2023-12-26T00:00:00"/>
    <x v="3"/>
    <x v="2"/>
    <x v="2"/>
    <n v="12"/>
    <n v="51783"/>
    <n v="621396"/>
    <n v="621396"/>
  </r>
  <r>
    <n v="12204"/>
    <d v="2023-10-21T00:00:00"/>
    <x v="3"/>
    <x v="3"/>
    <x v="0"/>
    <n v="9"/>
    <n v="40396"/>
    <n v="363564"/>
    <n v="363564"/>
  </r>
  <r>
    <n v="12205"/>
    <d v="2023-01-18T00:00:00"/>
    <x v="1"/>
    <x v="3"/>
    <x v="3"/>
    <n v="18"/>
    <n v="21068"/>
    <n v="379224"/>
    <n v="379224"/>
  </r>
  <r>
    <n v="12206"/>
    <d v="2023-01-24T00:00:00"/>
    <x v="2"/>
    <x v="2"/>
    <x v="1"/>
    <n v="13"/>
    <n v="34662"/>
    <n v="450606"/>
    <n v="450606"/>
  </r>
  <r>
    <n v="12207"/>
    <d v="2023-05-04T00:00:00"/>
    <x v="5"/>
    <x v="1"/>
    <x v="2"/>
    <n v="17"/>
    <n v="7806"/>
    <n v="132702"/>
    <n v="132702"/>
  </r>
  <r>
    <n v="12208"/>
    <d v="2023-05-03T00:00:00"/>
    <x v="1"/>
    <x v="1"/>
    <x v="0"/>
    <n v="16"/>
    <n v="42634"/>
    <n v="682144"/>
    <n v="682144"/>
  </r>
  <r>
    <n v="12209"/>
    <d v="2023-02-18T00:00:00"/>
    <x v="3"/>
    <x v="2"/>
    <x v="2"/>
    <n v="1"/>
    <n v="24368"/>
    <n v="24368"/>
    <n v="24368"/>
  </r>
  <r>
    <n v="12210"/>
    <d v="2023-02-19T00:00:00"/>
    <x v="1"/>
    <x v="2"/>
    <x v="2"/>
    <n v="1"/>
    <n v="31467"/>
    <n v="31467"/>
    <n v="31467"/>
  </r>
  <r>
    <n v="12211"/>
    <d v="2023-12-12T00:00:00"/>
    <x v="4"/>
    <x v="2"/>
    <x v="2"/>
    <n v="1"/>
    <n v="34559"/>
    <n v="34559"/>
    <n v="34559"/>
  </r>
  <r>
    <n v="12212"/>
    <d v="2023-11-25T00:00:00"/>
    <x v="2"/>
    <x v="2"/>
    <x v="0"/>
    <n v="5"/>
    <n v="49737"/>
    <n v="248685"/>
    <n v="248685"/>
  </r>
  <r>
    <n v="12213"/>
    <d v="2023-04-15T00:00:00"/>
    <x v="0"/>
    <x v="2"/>
    <x v="1"/>
    <n v="3"/>
    <n v="42694"/>
    <n v="128082"/>
    <n v="128082"/>
  </r>
  <r>
    <n v="12214"/>
    <d v="2023-04-03T00:00:00"/>
    <x v="3"/>
    <x v="2"/>
    <x v="1"/>
    <n v="2"/>
    <n v="24918"/>
    <n v="49836"/>
    <n v="49836"/>
  </r>
  <r>
    <n v="12215"/>
    <d v="2023-04-09T00:00:00"/>
    <x v="2"/>
    <x v="1"/>
    <x v="1"/>
    <n v="7"/>
    <n v="18234"/>
    <n v="127638"/>
    <n v="127638"/>
  </r>
  <r>
    <n v="12216"/>
    <d v="2023-02-14T00:00:00"/>
    <x v="5"/>
    <x v="3"/>
    <x v="2"/>
    <n v="18"/>
    <n v="10975"/>
    <n v="197550"/>
    <n v="197550"/>
  </r>
  <r>
    <n v="12217"/>
    <d v="2023-12-09T00:00:00"/>
    <x v="6"/>
    <x v="1"/>
    <x v="3"/>
    <n v="5"/>
    <n v="32118"/>
    <n v="160590"/>
    <n v="160590"/>
  </r>
  <r>
    <n v="12218"/>
    <d v="2023-09-15T00:00:00"/>
    <x v="0"/>
    <x v="2"/>
    <x v="1"/>
    <n v="14"/>
    <n v="40745"/>
    <n v="570430"/>
    <n v="570430"/>
  </r>
  <r>
    <n v="12219"/>
    <d v="2023-04-20T00:00:00"/>
    <x v="0"/>
    <x v="0"/>
    <x v="1"/>
    <n v="12"/>
    <n v="17591"/>
    <n v="211092"/>
    <n v="211092"/>
  </r>
  <r>
    <n v="12220"/>
    <d v="2023-09-30T00:00:00"/>
    <x v="6"/>
    <x v="0"/>
    <x v="4"/>
    <n v="1"/>
    <n v="47035"/>
    <n v="47035"/>
    <n v="47035"/>
  </r>
  <r>
    <n v="12221"/>
    <d v="2023-10-07T00:00:00"/>
    <x v="6"/>
    <x v="0"/>
    <x v="3"/>
    <n v="18"/>
    <n v="49056"/>
    <n v="883008"/>
    <n v="883008"/>
  </r>
  <r>
    <n v="12222"/>
    <d v="2023-12-09T00:00:00"/>
    <x v="5"/>
    <x v="0"/>
    <x v="0"/>
    <n v="19"/>
    <n v="18070"/>
    <n v="343330"/>
    <n v="343330"/>
  </r>
  <r>
    <n v="12223"/>
    <d v="2023-10-29T00:00:00"/>
    <x v="1"/>
    <x v="2"/>
    <x v="5"/>
    <n v="16"/>
    <n v="51176"/>
    <n v="818816"/>
    <n v="818816"/>
  </r>
  <r>
    <n v="12224"/>
    <d v="2023-11-19T00:00:00"/>
    <x v="5"/>
    <x v="2"/>
    <x v="1"/>
    <n v="7"/>
    <n v="58779"/>
    <n v="411453"/>
    <n v="411453"/>
  </r>
  <r>
    <n v="12225"/>
    <d v="2023-03-13T00:00:00"/>
    <x v="4"/>
    <x v="0"/>
    <x v="4"/>
    <n v="10"/>
    <n v="18723"/>
    <n v="187230"/>
    <n v="187230"/>
  </r>
  <r>
    <n v="12226"/>
    <d v="2023-07-14T00:00:00"/>
    <x v="2"/>
    <x v="3"/>
    <x v="2"/>
    <n v="9"/>
    <n v="8698"/>
    <n v="78282"/>
    <n v="78282"/>
  </r>
  <r>
    <n v="12227"/>
    <d v="2023-05-22T00:00:00"/>
    <x v="6"/>
    <x v="1"/>
    <x v="1"/>
    <n v="11"/>
    <n v="20804"/>
    <n v="228844"/>
    <n v="228844"/>
  </r>
  <r>
    <n v="12228"/>
    <d v="2023-07-07T00:00:00"/>
    <x v="0"/>
    <x v="3"/>
    <x v="0"/>
    <n v="19"/>
    <n v="45165"/>
    <n v="858135"/>
    <n v="858135"/>
  </r>
  <r>
    <n v="12229"/>
    <d v="2023-03-25T00:00:00"/>
    <x v="2"/>
    <x v="2"/>
    <x v="4"/>
    <n v="10"/>
    <n v="950"/>
    <n v="9500"/>
    <n v="9500"/>
  </r>
  <r>
    <n v="12230"/>
    <d v="2023-01-07T00:00:00"/>
    <x v="5"/>
    <x v="1"/>
    <x v="2"/>
    <n v="1"/>
    <n v="16780"/>
    <n v="16780"/>
    <n v="16780"/>
  </r>
  <r>
    <n v="12231"/>
    <d v="2023-01-06T00:00:00"/>
    <x v="6"/>
    <x v="0"/>
    <x v="4"/>
    <n v="7"/>
    <n v="27360"/>
    <n v="191520"/>
    <n v="191520"/>
  </r>
  <r>
    <n v="12232"/>
    <d v="2023-12-30T00:00:00"/>
    <x v="0"/>
    <x v="3"/>
    <x v="0"/>
    <n v="19"/>
    <n v="21336"/>
    <n v="405384"/>
    <n v="405384"/>
  </r>
  <r>
    <n v="12233"/>
    <d v="2023-01-11T00:00:00"/>
    <x v="0"/>
    <x v="0"/>
    <x v="3"/>
    <n v="19"/>
    <n v="51861"/>
    <n v="985359"/>
    <n v="985359"/>
  </r>
  <r>
    <n v="12234"/>
    <d v="2023-05-07T00:00:00"/>
    <x v="4"/>
    <x v="3"/>
    <x v="1"/>
    <n v="15"/>
    <n v="20646"/>
    <n v="309690"/>
    <n v="309690"/>
  </r>
  <r>
    <n v="12235"/>
    <d v="2023-07-23T00:00:00"/>
    <x v="1"/>
    <x v="3"/>
    <x v="4"/>
    <n v="12"/>
    <n v="48032"/>
    <n v="576384"/>
    <n v="576384"/>
  </r>
  <r>
    <n v="12236"/>
    <d v="2023-01-01T00:00:00"/>
    <x v="4"/>
    <x v="0"/>
    <x v="3"/>
    <n v="15"/>
    <n v="52954"/>
    <n v="794310"/>
    <n v="794310"/>
  </r>
  <r>
    <n v="12237"/>
    <d v="2023-04-18T00:00:00"/>
    <x v="0"/>
    <x v="2"/>
    <x v="4"/>
    <n v="2"/>
    <n v="21402"/>
    <n v="42804"/>
    <n v="42804"/>
  </r>
  <r>
    <n v="12238"/>
    <d v="2023-07-03T00:00:00"/>
    <x v="4"/>
    <x v="3"/>
    <x v="3"/>
    <n v="11"/>
    <n v="24968"/>
    <n v="274648"/>
    <n v="274648"/>
  </r>
  <r>
    <n v="12239"/>
    <d v="2023-07-19T00:00:00"/>
    <x v="2"/>
    <x v="3"/>
    <x v="0"/>
    <n v="11"/>
    <n v="10559"/>
    <n v="116149"/>
    <n v="116149"/>
  </r>
  <r>
    <n v="12240"/>
    <d v="2023-03-03T00:00:00"/>
    <x v="6"/>
    <x v="2"/>
    <x v="5"/>
    <n v="18"/>
    <n v="846"/>
    <n v="15228"/>
    <n v="15228"/>
  </r>
  <r>
    <n v="12241"/>
    <d v="2023-11-16T00:00:00"/>
    <x v="0"/>
    <x v="3"/>
    <x v="4"/>
    <n v="15"/>
    <n v="47080"/>
    <n v="706200"/>
    <n v="706200"/>
  </r>
  <r>
    <n v="12242"/>
    <d v="2023-10-08T00:00:00"/>
    <x v="0"/>
    <x v="0"/>
    <x v="2"/>
    <n v="12"/>
    <n v="22589"/>
    <n v="271068"/>
    <n v="271068"/>
  </r>
  <r>
    <n v="12243"/>
    <d v="2023-10-09T00:00:00"/>
    <x v="6"/>
    <x v="3"/>
    <x v="0"/>
    <n v="16"/>
    <n v="33238"/>
    <n v="531808"/>
    <n v="531808"/>
  </r>
  <r>
    <n v="12244"/>
    <d v="2023-04-01T00:00:00"/>
    <x v="0"/>
    <x v="2"/>
    <x v="3"/>
    <n v="4"/>
    <n v="40884"/>
    <n v="163536"/>
    <n v="163536"/>
  </r>
  <r>
    <n v="12245"/>
    <d v="2023-08-02T00:00:00"/>
    <x v="4"/>
    <x v="3"/>
    <x v="5"/>
    <n v="15"/>
    <n v="10280"/>
    <n v="154200"/>
    <n v="154200"/>
  </r>
  <r>
    <n v="12246"/>
    <d v="2023-07-01T00:00:00"/>
    <x v="1"/>
    <x v="3"/>
    <x v="5"/>
    <n v="16"/>
    <n v="51955"/>
    <n v="831280"/>
    <n v="831280"/>
  </r>
  <r>
    <n v="12247"/>
    <d v="2023-09-22T00:00:00"/>
    <x v="5"/>
    <x v="1"/>
    <x v="4"/>
    <n v="11"/>
    <n v="24231"/>
    <n v="266541"/>
    <n v="266541"/>
  </r>
  <r>
    <n v="12248"/>
    <d v="2023-05-07T00:00:00"/>
    <x v="4"/>
    <x v="1"/>
    <x v="2"/>
    <n v="17"/>
    <n v="30944"/>
    <n v="526048"/>
    <n v="526048"/>
  </r>
  <r>
    <n v="12249"/>
    <d v="2023-06-15T00:00:00"/>
    <x v="4"/>
    <x v="2"/>
    <x v="3"/>
    <n v="19"/>
    <n v="42780"/>
    <n v="812820"/>
    <n v="812820"/>
  </r>
  <r>
    <n v="12250"/>
    <d v="2023-04-03T00:00:00"/>
    <x v="3"/>
    <x v="1"/>
    <x v="0"/>
    <n v="2"/>
    <n v="41591"/>
    <n v="83182"/>
    <n v="83182"/>
  </r>
  <r>
    <n v="12251"/>
    <d v="2023-12-21T00:00:00"/>
    <x v="0"/>
    <x v="3"/>
    <x v="5"/>
    <n v="4"/>
    <n v="13621"/>
    <n v="54484"/>
    <n v="54484"/>
  </r>
  <r>
    <n v="12252"/>
    <d v="2023-07-03T00:00:00"/>
    <x v="0"/>
    <x v="1"/>
    <x v="4"/>
    <n v="2"/>
    <n v="16479"/>
    <n v="32958"/>
    <n v="32958"/>
  </r>
  <r>
    <n v="12253"/>
    <d v="2023-12-20T00:00:00"/>
    <x v="4"/>
    <x v="1"/>
    <x v="4"/>
    <n v="20"/>
    <n v="24970"/>
    <n v="499400"/>
    <n v="499400"/>
  </r>
  <r>
    <n v="12254"/>
    <d v="2023-03-08T00:00:00"/>
    <x v="5"/>
    <x v="0"/>
    <x v="2"/>
    <n v="7"/>
    <n v="28743"/>
    <n v="201201"/>
    <n v="201201"/>
  </r>
  <r>
    <n v="12255"/>
    <d v="2023-07-30T00:00:00"/>
    <x v="0"/>
    <x v="1"/>
    <x v="0"/>
    <n v="18"/>
    <n v="38018"/>
    <n v="684324"/>
    <n v="684324"/>
  </r>
  <r>
    <n v="12256"/>
    <d v="2023-05-21T00:00:00"/>
    <x v="3"/>
    <x v="2"/>
    <x v="2"/>
    <n v="3"/>
    <n v="12309"/>
    <n v="36927"/>
    <n v="36927"/>
  </r>
  <r>
    <n v="12257"/>
    <d v="2023-12-30T00:00:00"/>
    <x v="4"/>
    <x v="3"/>
    <x v="2"/>
    <n v="9"/>
    <n v="37339"/>
    <n v="336051"/>
    <n v="336051"/>
  </r>
  <r>
    <n v="12258"/>
    <d v="2023-08-03T00:00:00"/>
    <x v="1"/>
    <x v="1"/>
    <x v="5"/>
    <n v="7"/>
    <n v="51123"/>
    <n v="357861"/>
    <n v="357861"/>
  </r>
  <r>
    <n v="12259"/>
    <d v="2023-08-23T00:00:00"/>
    <x v="4"/>
    <x v="0"/>
    <x v="2"/>
    <n v="6"/>
    <n v="37177"/>
    <n v="223062"/>
    <n v="223062"/>
  </r>
  <r>
    <n v="12260"/>
    <d v="2023-07-24T00:00:00"/>
    <x v="2"/>
    <x v="2"/>
    <x v="1"/>
    <n v="13"/>
    <n v="47192"/>
    <n v="613496"/>
    <n v="613496"/>
  </r>
  <r>
    <n v="12261"/>
    <d v="2023-05-27T00:00:00"/>
    <x v="4"/>
    <x v="2"/>
    <x v="1"/>
    <n v="10"/>
    <n v="41137"/>
    <n v="411370"/>
    <n v="411370"/>
  </r>
  <r>
    <n v="12262"/>
    <d v="2023-03-23T00:00:00"/>
    <x v="6"/>
    <x v="1"/>
    <x v="0"/>
    <n v="4"/>
    <n v="50741"/>
    <n v="202964"/>
    <n v="202964"/>
  </r>
  <r>
    <n v="12263"/>
    <d v="2023-06-02T00:00:00"/>
    <x v="1"/>
    <x v="1"/>
    <x v="0"/>
    <n v="12"/>
    <n v="10324"/>
    <n v="123888"/>
    <n v="123888"/>
  </r>
  <r>
    <n v="12264"/>
    <d v="2023-06-01T00:00:00"/>
    <x v="4"/>
    <x v="3"/>
    <x v="5"/>
    <n v="5"/>
    <n v="49593"/>
    <n v="247965"/>
    <n v="247965"/>
  </r>
  <r>
    <n v="12265"/>
    <d v="2023-12-09T00:00:00"/>
    <x v="0"/>
    <x v="1"/>
    <x v="4"/>
    <n v="19"/>
    <n v="42730"/>
    <n v="811870"/>
    <n v="811870"/>
  </r>
  <r>
    <n v="12266"/>
    <d v="2023-08-20T00:00:00"/>
    <x v="4"/>
    <x v="3"/>
    <x v="0"/>
    <n v="6"/>
    <n v="22647"/>
    <n v="135882"/>
    <n v="135882"/>
  </r>
  <r>
    <n v="12267"/>
    <d v="2023-07-03T00:00:00"/>
    <x v="3"/>
    <x v="2"/>
    <x v="0"/>
    <n v="2"/>
    <n v="11045"/>
    <n v="22090"/>
    <n v="22090"/>
  </r>
  <r>
    <n v="12268"/>
    <d v="2023-02-01T00:00:00"/>
    <x v="4"/>
    <x v="1"/>
    <x v="5"/>
    <n v="9"/>
    <n v="41463"/>
    <n v="373167"/>
    <n v="373167"/>
  </r>
  <r>
    <n v="12269"/>
    <d v="2023-01-15T00:00:00"/>
    <x v="0"/>
    <x v="0"/>
    <x v="2"/>
    <n v="11"/>
    <n v="33823"/>
    <n v="372053"/>
    <n v="372053"/>
  </r>
  <r>
    <n v="12270"/>
    <d v="2023-11-09T00:00:00"/>
    <x v="5"/>
    <x v="1"/>
    <x v="3"/>
    <n v="18"/>
    <n v="55956"/>
    <n v="1007208"/>
    <n v="1007208"/>
  </r>
  <r>
    <n v="12271"/>
    <d v="2023-06-21T00:00:00"/>
    <x v="3"/>
    <x v="0"/>
    <x v="2"/>
    <n v="5"/>
    <n v="10411"/>
    <n v="52055"/>
    <n v="52055"/>
  </r>
  <r>
    <n v="12272"/>
    <d v="2023-04-08T00:00:00"/>
    <x v="3"/>
    <x v="2"/>
    <x v="1"/>
    <n v="16"/>
    <n v="15437"/>
    <n v="246992"/>
    <n v="246992"/>
  </r>
  <r>
    <n v="12273"/>
    <d v="2023-02-18T00:00:00"/>
    <x v="2"/>
    <x v="2"/>
    <x v="2"/>
    <n v="2"/>
    <n v="48170"/>
    <n v="96340"/>
    <n v="96340"/>
  </r>
  <r>
    <n v="12274"/>
    <d v="2023-07-22T00:00:00"/>
    <x v="3"/>
    <x v="2"/>
    <x v="5"/>
    <n v="1"/>
    <n v="46880"/>
    <n v="46880"/>
    <n v="46880"/>
  </r>
  <r>
    <n v="12275"/>
    <d v="2023-07-25T00:00:00"/>
    <x v="5"/>
    <x v="0"/>
    <x v="5"/>
    <n v="5"/>
    <n v="45451"/>
    <n v="227255"/>
    <n v="227255"/>
  </r>
  <r>
    <n v="12276"/>
    <d v="2023-03-31T00:00:00"/>
    <x v="1"/>
    <x v="2"/>
    <x v="1"/>
    <n v="14"/>
    <n v="14910"/>
    <n v="208740"/>
    <n v="208740"/>
  </r>
  <r>
    <n v="12277"/>
    <d v="2023-07-29T00:00:00"/>
    <x v="0"/>
    <x v="1"/>
    <x v="4"/>
    <n v="11"/>
    <n v="15153"/>
    <n v="166683"/>
    <n v="166683"/>
  </r>
  <r>
    <n v="12278"/>
    <d v="2023-02-26T00:00:00"/>
    <x v="4"/>
    <x v="1"/>
    <x v="5"/>
    <n v="19"/>
    <n v="9395"/>
    <n v="178505"/>
    <n v="178505"/>
  </r>
  <r>
    <n v="12279"/>
    <d v="2023-05-28T00:00:00"/>
    <x v="4"/>
    <x v="3"/>
    <x v="1"/>
    <n v="9"/>
    <n v="47948"/>
    <n v="431532"/>
    <n v="431532"/>
  </r>
  <r>
    <n v="12280"/>
    <d v="2023-05-01T00:00:00"/>
    <x v="1"/>
    <x v="1"/>
    <x v="1"/>
    <n v="1"/>
    <n v="32751"/>
    <n v="32751"/>
    <n v="32751"/>
  </r>
  <r>
    <n v="12281"/>
    <d v="2023-09-06T00:00:00"/>
    <x v="4"/>
    <x v="3"/>
    <x v="4"/>
    <n v="16"/>
    <n v="4982"/>
    <n v="79712"/>
    <n v="79712"/>
  </r>
  <r>
    <n v="12282"/>
    <d v="2023-06-03T00:00:00"/>
    <x v="3"/>
    <x v="1"/>
    <x v="5"/>
    <n v="9"/>
    <n v="8417"/>
    <n v="75753"/>
    <n v="75753"/>
  </r>
  <r>
    <n v="12283"/>
    <d v="2023-04-20T00:00:00"/>
    <x v="4"/>
    <x v="1"/>
    <x v="2"/>
    <n v="7"/>
    <n v="13302"/>
    <n v="93114"/>
    <n v="93114"/>
  </r>
  <r>
    <n v="12284"/>
    <d v="2023-11-02T00:00:00"/>
    <x v="4"/>
    <x v="0"/>
    <x v="2"/>
    <n v="7"/>
    <n v="31586"/>
    <n v="221102"/>
    <n v="221102"/>
  </r>
  <r>
    <n v="12285"/>
    <d v="2023-03-11T00:00:00"/>
    <x v="0"/>
    <x v="2"/>
    <x v="2"/>
    <n v="19"/>
    <n v="27709"/>
    <n v="526471"/>
    <n v="526471"/>
  </r>
  <r>
    <n v="12286"/>
    <d v="2023-12-25T00:00:00"/>
    <x v="4"/>
    <x v="1"/>
    <x v="4"/>
    <n v="4"/>
    <n v="40288"/>
    <n v="161152"/>
    <n v="161152"/>
  </r>
  <r>
    <n v="12287"/>
    <d v="2023-02-27T00:00:00"/>
    <x v="1"/>
    <x v="0"/>
    <x v="0"/>
    <n v="2"/>
    <n v="43651"/>
    <n v="87302"/>
    <n v="87302"/>
  </r>
  <r>
    <n v="12288"/>
    <d v="2023-07-20T00:00:00"/>
    <x v="2"/>
    <x v="1"/>
    <x v="3"/>
    <n v="10"/>
    <n v="52835"/>
    <n v="528350"/>
    <n v="528350"/>
  </r>
  <r>
    <n v="12289"/>
    <d v="2023-08-01T00:00:00"/>
    <x v="2"/>
    <x v="2"/>
    <x v="3"/>
    <n v="3"/>
    <n v="34308"/>
    <n v="102924"/>
    <n v="102924"/>
  </r>
  <r>
    <n v="12290"/>
    <d v="2023-10-20T00:00:00"/>
    <x v="4"/>
    <x v="3"/>
    <x v="1"/>
    <n v="6"/>
    <n v="56667"/>
    <n v="340002"/>
    <n v="340002"/>
  </r>
  <r>
    <n v="12291"/>
    <d v="2023-03-08T00:00:00"/>
    <x v="6"/>
    <x v="1"/>
    <x v="5"/>
    <n v="18"/>
    <n v="34274"/>
    <n v="616932"/>
    <n v="616932"/>
  </r>
  <r>
    <n v="12292"/>
    <d v="2023-05-26T00:00:00"/>
    <x v="0"/>
    <x v="2"/>
    <x v="2"/>
    <n v="4"/>
    <n v="26395"/>
    <n v="105580"/>
    <n v="105580"/>
  </r>
  <r>
    <n v="12293"/>
    <d v="2023-05-13T00:00:00"/>
    <x v="5"/>
    <x v="1"/>
    <x v="5"/>
    <n v="5"/>
    <n v="26400"/>
    <n v="132000"/>
    <n v="132000"/>
  </r>
  <r>
    <n v="12294"/>
    <d v="2023-07-19T00:00:00"/>
    <x v="3"/>
    <x v="2"/>
    <x v="4"/>
    <n v="1"/>
    <n v="33252"/>
    <n v="33252"/>
    <n v="33252"/>
  </r>
  <r>
    <n v="12295"/>
    <d v="2023-06-08T00:00:00"/>
    <x v="4"/>
    <x v="3"/>
    <x v="1"/>
    <n v="15"/>
    <n v="37671"/>
    <n v="565065"/>
    <n v="565065"/>
  </r>
  <r>
    <n v="12296"/>
    <d v="2023-09-24T00:00:00"/>
    <x v="0"/>
    <x v="3"/>
    <x v="5"/>
    <n v="12"/>
    <n v="13341"/>
    <n v="160092"/>
    <n v="160092"/>
  </r>
  <r>
    <n v="12297"/>
    <d v="2023-06-08T00:00:00"/>
    <x v="5"/>
    <x v="2"/>
    <x v="2"/>
    <n v="9"/>
    <n v="3193"/>
    <n v="28737"/>
    <n v="28737"/>
  </r>
  <r>
    <n v="12298"/>
    <d v="2023-06-11T00:00:00"/>
    <x v="3"/>
    <x v="1"/>
    <x v="0"/>
    <n v="11"/>
    <n v="52496"/>
    <n v="577456"/>
    <n v="577456"/>
  </r>
  <r>
    <n v="12299"/>
    <d v="2023-07-07T00:00:00"/>
    <x v="4"/>
    <x v="0"/>
    <x v="2"/>
    <n v="5"/>
    <n v="39739"/>
    <n v="198695"/>
    <n v="198695"/>
  </r>
  <r>
    <n v="12300"/>
    <d v="2023-10-13T00:00:00"/>
    <x v="2"/>
    <x v="2"/>
    <x v="4"/>
    <n v="14"/>
    <n v="17924"/>
    <n v="250936"/>
    <n v="250936"/>
  </r>
  <r>
    <n v="12301"/>
    <d v="2023-03-09T00:00:00"/>
    <x v="2"/>
    <x v="2"/>
    <x v="0"/>
    <n v="3"/>
    <n v="46276"/>
    <n v="138828"/>
    <n v="138828"/>
  </r>
  <r>
    <n v="12302"/>
    <d v="2023-03-29T00:00:00"/>
    <x v="5"/>
    <x v="1"/>
    <x v="1"/>
    <n v="10"/>
    <n v="20399"/>
    <n v="203990"/>
    <n v="203990"/>
  </r>
  <r>
    <n v="12303"/>
    <d v="2023-05-07T00:00:00"/>
    <x v="4"/>
    <x v="3"/>
    <x v="5"/>
    <n v="19"/>
    <n v="18281"/>
    <n v="347339"/>
    <n v="347339"/>
  </r>
  <r>
    <n v="12304"/>
    <d v="2023-04-24T00:00:00"/>
    <x v="3"/>
    <x v="0"/>
    <x v="4"/>
    <n v="10"/>
    <n v="30276"/>
    <n v="302760"/>
    <n v="302760"/>
  </r>
  <r>
    <n v="12305"/>
    <d v="2023-05-29T00:00:00"/>
    <x v="5"/>
    <x v="3"/>
    <x v="5"/>
    <n v="15"/>
    <n v="35899"/>
    <n v="538485"/>
    <n v="538485"/>
  </r>
  <r>
    <n v="12306"/>
    <d v="2023-10-08T00:00:00"/>
    <x v="0"/>
    <x v="0"/>
    <x v="5"/>
    <n v="8"/>
    <n v="25562"/>
    <n v="204496"/>
    <n v="204496"/>
  </r>
  <r>
    <n v="12307"/>
    <d v="2023-12-22T00:00:00"/>
    <x v="3"/>
    <x v="0"/>
    <x v="2"/>
    <n v="3"/>
    <n v="23067"/>
    <n v="69201"/>
    <n v="69201"/>
  </r>
  <r>
    <n v="12308"/>
    <d v="2023-07-10T00:00:00"/>
    <x v="4"/>
    <x v="3"/>
    <x v="1"/>
    <n v="4"/>
    <n v="36444"/>
    <n v="145776"/>
    <n v="145776"/>
  </r>
  <r>
    <n v="12309"/>
    <d v="2023-04-12T00:00:00"/>
    <x v="2"/>
    <x v="0"/>
    <x v="2"/>
    <n v="12"/>
    <n v="59342"/>
    <n v="712104"/>
    <n v="712104"/>
  </r>
  <r>
    <n v="12310"/>
    <d v="2023-12-29T00:00:00"/>
    <x v="1"/>
    <x v="0"/>
    <x v="3"/>
    <n v="16"/>
    <n v="53180"/>
    <n v="850880"/>
    <n v="850880"/>
  </r>
  <r>
    <n v="12311"/>
    <d v="2023-04-13T00:00:00"/>
    <x v="5"/>
    <x v="2"/>
    <x v="1"/>
    <n v="13"/>
    <n v="30497"/>
    <n v="396461"/>
    <n v="396461"/>
  </r>
  <r>
    <n v="12312"/>
    <d v="2023-08-05T00:00:00"/>
    <x v="3"/>
    <x v="0"/>
    <x v="0"/>
    <n v="20"/>
    <n v="51406"/>
    <n v="1028120"/>
    <n v="1028120"/>
  </r>
  <r>
    <n v="12313"/>
    <d v="2023-05-07T00:00:00"/>
    <x v="0"/>
    <x v="2"/>
    <x v="5"/>
    <n v="11"/>
    <n v="56049"/>
    <n v="616539"/>
    <n v="616539"/>
  </r>
  <r>
    <n v="12314"/>
    <d v="2023-12-14T00:00:00"/>
    <x v="2"/>
    <x v="3"/>
    <x v="0"/>
    <n v="3"/>
    <n v="32520"/>
    <n v="97560"/>
    <n v="97560"/>
  </r>
  <r>
    <n v="12315"/>
    <d v="2023-12-31T00:00:00"/>
    <x v="0"/>
    <x v="0"/>
    <x v="3"/>
    <n v="14"/>
    <n v="11812"/>
    <n v="165368"/>
    <n v="165368"/>
  </r>
  <r>
    <n v="12316"/>
    <d v="2023-09-02T00:00:00"/>
    <x v="2"/>
    <x v="3"/>
    <x v="3"/>
    <n v="14"/>
    <n v="18735"/>
    <n v="262290"/>
    <n v="262290"/>
  </r>
  <r>
    <n v="12317"/>
    <d v="2023-08-27T00:00:00"/>
    <x v="3"/>
    <x v="0"/>
    <x v="3"/>
    <n v="3"/>
    <n v="49678"/>
    <n v="149034"/>
    <n v="149034"/>
  </r>
  <r>
    <n v="12318"/>
    <d v="2023-07-16T00:00:00"/>
    <x v="4"/>
    <x v="3"/>
    <x v="5"/>
    <n v="12"/>
    <n v="10424"/>
    <n v="125088"/>
    <n v="125088"/>
  </r>
  <r>
    <n v="12319"/>
    <d v="2023-10-01T00:00:00"/>
    <x v="2"/>
    <x v="1"/>
    <x v="0"/>
    <n v="12"/>
    <n v="24275"/>
    <n v="291300"/>
    <n v="291300"/>
  </r>
  <r>
    <n v="12320"/>
    <d v="2023-03-29T00:00:00"/>
    <x v="1"/>
    <x v="1"/>
    <x v="1"/>
    <n v="4"/>
    <n v="29634"/>
    <n v="118536"/>
    <n v="118536"/>
  </r>
  <r>
    <n v="12321"/>
    <d v="2023-06-18T00:00:00"/>
    <x v="0"/>
    <x v="3"/>
    <x v="0"/>
    <n v="15"/>
    <n v="9824"/>
    <n v="147360"/>
    <n v="147360"/>
  </r>
  <r>
    <n v="12322"/>
    <d v="2023-12-08T00:00:00"/>
    <x v="0"/>
    <x v="3"/>
    <x v="2"/>
    <n v="15"/>
    <n v="13306"/>
    <n v="199590"/>
    <n v="199590"/>
  </r>
  <r>
    <n v="12323"/>
    <d v="2023-03-13T00:00:00"/>
    <x v="6"/>
    <x v="1"/>
    <x v="1"/>
    <n v="15"/>
    <n v="2588"/>
    <n v="38820"/>
    <n v="38820"/>
  </r>
  <r>
    <n v="12324"/>
    <d v="2023-06-11T00:00:00"/>
    <x v="6"/>
    <x v="3"/>
    <x v="5"/>
    <n v="1"/>
    <n v="26546"/>
    <n v="26546"/>
    <n v="26546"/>
  </r>
  <r>
    <n v="12325"/>
    <d v="2023-01-27T00:00:00"/>
    <x v="2"/>
    <x v="3"/>
    <x v="3"/>
    <n v="13"/>
    <n v="18022"/>
    <n v="234286"/>
    <n v="234286"/>
  </r>
  <r>
    <n v="12326"/>
    <d v="2023-12-14T00:00:00"/>
    <x v="5"/>
    <x v="1"/>
    <x v="4"/>
    <n v="19"/>
    <n v="11535"/>
    <n v="219165"/>
    <n v="219165"/>
  </r>
  <r>
    <n v="12327"/>
    <d v="2023-10-11T00:00:00"/>
    <x v="3"/>
    <x v="2"/>
    <x v="5"/>
    <n v="9"/>
    <n v="41361"/>
    <n v="372249"/>
    <n v="372249"/>
  </r>
  <r>
    <n v="12328"/>
    <d v="2023-11-03T00:00:00"/>
    <x v="0"/>
    <x v="3"/>
    <x v="2"/>
    <n v="10"/>
    <n v="4346"/>
    <n v="43460"/>
    <n v="43460"/>
  </r>
  <r>
    <n v="12329"/>
    <d v="2023-01-05T00:00:00"/>
    <x v="6"/>
    <x v="0"/>
    <x v="2"/>
    <n v="15"/>
    <n v="39603"/>
    <n v="594045"/>
    <n v="594045"/>
  </r>
  <r>
    <n v="12330"/>
    <d v="2023-08-17T00:00:00"/>
    <x v="0"/>
    <x v="0"/>
    <x v="1"/>
    <n v="11"/>
    <n v="54986"/>
    <n v="604846"/>
    <n v="604846"/>
  </r>
  <r>
    <n v="12331"/>
    <d v="2023-10-26T00:00:00"/>
    <x v="2"/>
    <x v="3"/>
    <x v="0"/>
    <n v="13"/>
    <n v="23103"/>
    <n v="300339"/>
    <n v="300339"/>
  </r>
  <r>
    <n v="12332"/>
    <d v="2023-04-01T00:00:00"/>
    <x v="0"/>
    <x v="3"/>
    <x v="0"/>
    <n v="9"/>
    <n v="4887"/>
    <n v="43983"/>
    <n v="43983"/>
  </r>
  <r>
    <n v="12333"/>
    <d v="2023-11-27T00:00:00"/>
    <x v="3"/>
    <x v="2"/>
    <x v="5"/>
    <n v="11"/>
    <n v="17257"/>
    <n v="189827"/>
    <n v="189827"/>
  </r>
  <r>
    <n v="12334"/>
    <d v="2023-08-14T00:00:00"/>
    <x v="2"/>
    <x v="1"/>
    <x v="0"/>
    <n v="5"/>
    <n v="27918"/>
    <n v="139590"/>
    <n v="139590"/>
  </r>
  <r>
    <n v="12335"/>
    <d v="2023-05-13T00:00:00"/>
    <x v="5"/>
    <x v="3"/>
    <x v="5"/>
    <n v="13"/>
    <n v="41687"/>
    <n v="541931"/>
    <n v="541931"/>
  </r>
  <r>
    <n v="12336"/>
    <d v="2023-04-30T00:00:00"/>
    <x v="0"/>
    <x v="3"/>
    <x v="1"/>
    <n v="7"/>
    <n v="58822"/>
    <n v="411754"/>
    <n v="411754"/>
  </r>
  <r>
    <n v="12337"/>
    <d v="2023-06-13T00:00:00"/>
    <x v="4"/>
    <x v="0"/>
    <x v="5"/>
    <n v="4"/>
    <n v="15221"/>
    <n v="60884"/>
    <n v="60884"/>
  </r>
  <r>
    <n v="12338"/>
    <d v="2023-09-18T00:00:00"/>
    <x v="0"/>
    <x v="3"/>
    <x v="3"/>
    <n v="14"/>
    <n v="41302"/>
    <n v="578228"/>
    <n v="578228"/>
  </r>
  <r>
    <n v="12339"/>
    <d v="2023-02-02T00:00:00"/>
    <x v="5"/>
    <x v="2"/>
    <x v="5"/>
    <n v="2"/>
    <n v="36139"/>
    <n v="72278"/>
    <n v="72278"/>
  </r>
  <r>
    <n v="12340"/>
    <d v="2023-04-16T00:00:00"/>
    <x v="4"/>
    <x v="1"/>
    <x v="0"/>
    <n v="4"/>
    <n v="32405"/>
    <n v="129620"/>
    <n v="129620"/>
  </r>
  <r>
    <n v="12341"/>
    <d v="2023-06-12T00:00:00"/>
    <x v="5"/>
    <x v="3"/>
    <x v="0"/>
    <n v="14"/>
    <n v="22238"/>
    <n v="311332"/>
    <n v="311332"/>
  </r>
  <r>
    <n v="12342"/>
    <d v="2023-05-24T00:00:00"/>
    <x v="2"/>
    <x v="1"/>
    <x v="5"/>
    <n v="15"/>
    <n v="30903"/>
    <n v="463545"/>
    <n v="463545"/>
  </r>
  <r>
    <n v="12343"/>
    <d v="2023-08-26T00:00:00"/>
    <x v="4"/>
    <x v="2"/>
    <x v="4"/>
    <n v="3"/>
    <n v="57983"/>
    <n v="173949"/>
    <n v="173949"/>
  </r>
  <r>
    <n v="12344"/>
    <d v="2023-12-02T00:00:00"/>
    <x v="3"/>
    <x v="0"/>
    <x v="4"/>
    <n v="18"/>
    <n v="16870"/>
    <n v="303660"/>
    <n v="303660"/>
  </r>
  <r>
    <n v="12345"/>
    <d v="2023-01-02T00:00:00"/>
    <x v="5"/>
    <x v="3"/>
    <x v="1"/>
    <n v="14"/>
    <n v="30208"/>
    <n v="422912"/>
    <n v="422912"/>
  </r>
  <r>
    <n v="12346"/>
    <d v="2023-03-29T00:00:00"/>
    <x v="3"/>
    <x v="1"/>
    <x v="2"/>
    <n v="5"/>
    <n v="19174"/>
    <n v="95870"/>
    <n v="95870"/>
  </r>
  <r>
    <n v="12347"/>
    <d v="2023-09-08T00:00:00"/>
    <x v="5"/>
    <x v="1"/>
    <x v="2"/>
    <n v="4"/>
    <n v="40255"/>
    <n v="161020"/>
    <n v="161020"/>
  </r>
  <r>
    <n v="12348"/>
    <d v="2023-03-08T00:00:00"/>
    <x v="5"/>
    <x v="0"/>
    <x v="3"/>
    <n v="17"/>
    <n v="31781"/>
    <n v="540277"/>
    <n v="540277"/>
  </r>
  <r>
    <n v="12349"/>
    <d v="2023-02-19T00:00:00"/>
    <x v="2"/>
    <x v="2"/>
    <x v="5"/>
    <n v="12"/>
    <n v="16104"/>
    <n v="193248"/>
    <n v="193248"/>
  </r>
  <r>
    <n v="12350"/>
    <d v="2023-04-13T00:00:00"/>
    <x v="5"/>
    <x v="0"/>
    <x v="1"/>
    <n v="18"/>
    <n v="34244"/>
    <n v="616392"/>
    <n v="616392"/>
  </r>
  <r>
    <n v="12351"/>
    <d v="2023-08-16T00:00:00"/>
    <x v="3"/>
    <x v="3"/>
    <x v="5"/>
    <n v="19"/>
    <n v="37959"/>
    <n v="721221"/>
    <n v="721221"/>
  </r>
  <r>
    <n v="12352"/>
    <d v="2023-06-07T00:00:00"/>
    <x v="0"/>
    <x v="0"/>
    <x v="2"/>
    <n v="2"/>
    <n v="34770"/>
    <n v="69540"/>
    <n v="69540"/>
  </r>
  <r>
    <n v="12353"/>
    <d v="2023-10-23T00:00:00"/>
    <x v="3"/>
    <x v="2"/>
    <x v="4"/>
    <n v="10"/>
    <n v="41138"/>
    <n v="411380"/>
    <n v="411380"/>
  </r>
  <r>
    <n v="12354"/>
    <d v="2023-08-14T00:00:00"/>
    <x v="0"/>
    <x v="2"/>
    <x v="0"/>
    <n v="20"/>
    <n v="21285"/>
    <n v="425700"/>
    <n v="425700"/>
  </r>
  <r>
    <n v="12355"/>
    <d v="2023-06-04T00:00:00"/>
    <x v="0"/>
    <x v="2"/>
    <x v="0"/>
    <n v="4"/>
    <n v="5238"/>
    <n v="20952"/>
    <n v="20952"/>
  </r>
  <r>
    <n v="12356"/>
    <d v="2023-06-30T00:00:00"/>
    <x v="3"/>
    <x v="2"/>
    <x v="0"/>
    <n v="14"/>
    <n v="58400"/>
    <n v="817600"/>
    <n v="817600"/>
  </r>
  <r>
    <n v="12357"/>
    <d v="2023-03-30T00:00:00"/>
    <x v="0"/>
    <x v="0"/>
    <x v="5"/>
    <n v="14"/>
    <n v="39767"/>
    <n v="556738"/>
    <n v="556738"/>
  </r>
  <r>
    <n v="12358"/>
    <d v="2023-10-03T00:00:00"/>
    <x v="4"/>
    <x v="2"/>
    <x v="5"/>
    <n v="16"/>
    <n v="29071"/>
    <n v="465136"/>
    <n v="465136"/>
  </r>
  <r>
    <n v="12359"/>
    <d v="2023-07-01T00:00:00"/>
    <x v="6"/>
    <x v="1"/>
    <x v="1"/>
    <n v="18"/>
    <n v="17617"/>
    <n v="317106"/>
    <n v="317106"/>
  </r>
  <r>
    <n v="12360"/>
    <d v="2023-06-09T00:00:00"/>
    <x v="3"/>
    <x v="3"/>
    <x v="5"/>
    <n v="7"/>
    <n v="49237"/>
    <n v="344659"/>
    <n v="344659"/>
  </r>
  <r>
    <n v="12361"/>
    <d v="2023-01-24T00:00:00"/>
    <x v="0"/>
    <x v="1"/>
    <x v="2"/>
    <n v="12"/>
    <n v="19010"/>
    <n v="228120"/>
    <n v="228120"/>
  </r>
  <r>
    <n v="12362"/>
    <d v="2023-05-18T00:00:00"/>
    <x v="3"/>
    <x v="1"/>
    <x v="1"/>
    <n v="2"/>
    <n v="12120"/>
    <n v="24240"/>
    <n v="24240"/>
  </r>
  <r>
    <n v="12363"/>
    <d v="2023-06-15T00:00:00"/>
    <x v="1"/>
    <x v="3"/>
    <x v="4"/>
    <n v="10"/>
    <n v="17140"/>
    <n v="171400"/>
    <n v="171400"/>
  </r>
  <r>
    <n v="12364"/>
    <d v="2023-10-17T00:00:00"/>
    <x v="1"/>
    <x v="0"/>
    <x v="1"/>
    <n v="13"/>
    <n v="24079"/>
    <n v="313027"/>
    <n v="313027"/>
  </r>
  <r>
    <n v="12365"/>
    <d v="2023-03-09T00:00:00"/>
    <x v="2"/>
    <x v="2"/>
    <x v="3"/>
    <n v="15"/>
    <n v="57058"/>
    <n v="855870"/>
    <n v="855870"/>
  </r>
  <r>
    <n v="12366"/>
    <d v="2023-08-18T00:00:00"/>
    <x v="2"/>
    <x v="2"/>
    <x v="3"/>
    <n v="6"/>
    <n v="54395"/>
    <n v="326370"/>
    <n v="326370"/>
  </r>
  <r>
    <n v="12367"/>
    <d v="2023-11-04T00:00:00"/>
    <x v="1"/>
    <x v="0"/>
    <x v="5"/>
    <n v="17"/>
    <n v="51151"/>
    <n v="869567"/>
    <n v="869567"/>
  </r>
  <r>
    <n v="12368"/>
    <d v="2023-05-09T00:00:00"/>
    <x v="1"/>
    <x v="0"/>
    <x v="4"/>
    <n v="5"/>
    <n v="16311"/>
    <n v="81555"/>
    <n v="81555"/>
  </r>
  <r>
    <n v="12369"/>
    <d v="2023-11-20T00:00:00"/>
    <x v="6"/>
    <x v="0"/>
    <x v="5"/>
    <n v="9"/>
    <n v="36518"/>
    <n v="328662"/>
    <n v="328662"/>
  </r>
  <r>
    <n v="12370"/>
    <d v="2023-09-25T00:00:00"/>
    <x v="0"/>
    <x v="3"/>
    <x v="3"/>
    <n v="17"/>
    <n v="38163"/>
    <n v="648771"/>
    <n v="648771"/>
  </r>
  <r>
    <n v="12371"/>
    <d v="2023-12-14T00:00:00"/>
    <x v="0"/>
    <x v="0"/>
    <x v="1"/>
    <n v="19"/>
    <n v="19927"/>
    <n v="378613"/>
    <n v="378613"/>
  </r>
  <r>
    <n v="12372"/>
    <d v="2023-12-21T00:00:00"/>
    <x v="2"/>
    <x v="3"/>
    <x v="4"/>
    <n v="14"/>
    <n v="23314"/>
    <n v="326396"/>
    <n v="326396"/>
  </r>
  <r>
    <n v="12373"/>
    <d v="2023-10-25T00:00:00"/>
    <x v="0"/>
    <x v="2"/>
    <x v="3"/>
    <n v="16"/>
    <n v="4287"/>
    <n v="68592"/>
    <n v="68592"/>
  </r>
  <r>
    <n v="12374"/>
    <d v="2023-04-20T00:00:00"/>
    <x v="1"/>
    <x v="2"/>
    <x v="2"/>
    <n v="19"/>
    <n v="49717"/>
    <n v="944623"/>
    <n v="944623"/>
  </r>
  <r>
    <n v="12375"/>
    <d v="2023-08-23T00:00:00"/>
    <x v="1"/>
    <x v="1"/>
    <x v="5"/>
    <n v="5"/>
    <n v="8885"/>
    <n v="44425"/>
    <n v="44425"/>
  </r>
  <r>
    <n v="12376"/>
    <d v="2023-09-27T00:00:00"/>
    <x v="0"/>
    <x v="0"/>
    <x v="0"/>
    <n v="16"/>
    <n v="46742"/>
    <n v="747872"/>
    <n v="747872"/>
  </r>
  <r>
    <n v="12377"/>
    <d v="2023-11-26T00:00:00"/>
    <x v="0"/>
    <x v="2"/>
    <x v="2"/>
    <n v="5"/>
    <n v="25109"/>
    <n v="125545"/>
    <n v="125545"/>
  </r>
  <r>
    <n v="12378"/>
    <d v="2023-11-20T00:00:00"/>
    <x v="2"/>
    <x v="3"/>
    <x v="0"/>
    <n v="15"/>
    <n v="57324"/>
    <n v="859860"/>
    <n v="859860"/>
  </r>
  <r>
    <n v="12379"/>
    <d v="2023-10-09T00:00:00"/>
    <x v="5"/>
    <x v="0"/>
    <x v="3"/>
    <n v="15"/>
    <n v="5659"/>
    <n v="84885"/>
    <n v="84885"/>
  </r>
  <r>
    <n v="12380"/>
    <d v="2023-08-25T00:00:00"/>
    <x v="5"/>
    <x v="3"/>
    <x v="3"/>
    <n v="7"/>
    <n v="54635"/>
    <n v="382445"/>
    <n v="382445"/>
  </r>
  <r>
    <n v="12381"/>
    <d v="2023-04-17T00:00:00"/>
    <x v="2"/>
    <x v="3"/>
    <x v="1"/>
    <n v="20"/>
    <n v="40343"/>
    <n v="806860"/>
    <n v="806860"/>
  </r>
  <r>
    <n v="12382"/>
    <d v="2023-06-07T00:00:00"/>
    <x v="2"/>
    <x v="2"/>
    <x v="4"/>
    <n v="18"/>
    <n v="13596"/>
    <n v="244728"/>
    <n v="244728"/>
  </r>
  <r>
    <n v="12383"/>
    <d v="2023-12-06T00:00:00"/>
    <x v="4"/>
    <x v="3"/>
    <x v="2"/>
    <n v="4"/>
    <n v="19668"/>
    <n v="78672"/>
    <n v="78672"/>
  </r>
  <r>
    <n v="12384"/>
    <d v="2023-07-09T00:00:00"/>
    <x v="2"/>
    <x v="1"/>
    <x v="5"/>
    <n v="16"/>
    <n v="23768"/>
    <n v="380288"/>
    <n v="380288"/>
  </r>
  <r>
    <n v="12385"/>
    <d v="2023-02-14T00:00:00"/>
    <x v="6"/>
    <x v="2"/>
    <x v="3"/>
    <n v="15"/>
    <n v="13922"/>
    <n v="208830"/>
    <n v="208830"/>
  </r>
  <r>
    <n v="12386"/>
    <d v="2023-11-02T00:00:00"/>
    <x v="5"/>
    <x v="2"/>
    <x v="4"/>
    <n v="5"/>
    <n v="36393"/>
    <n v="181965"/>
    <n v="181965"/>
  </r>
  <r>
    <n v="12387"/>
    <d v="2023-10-18T00:00:00"/>
    <x v="2"/>
    <x v="1"/>
    <x v="1"/>
    <n v="10"/>
    <n v="16244"/>
    <n v="162440"/>
    <n v="162440"/>
  </r>
  <r>
    <n v="12388"/>
    <d v="2023-11-22T00:00:00"/>
    <x v="2"/>
    <x v="3"/>
    <x v="1"/>
    <n v="3"/>
    <n v="19654"/>
    <n v="58962"/>
    <n v="58962"/>
  </r>
  <r>
    <n v="12389"/>
    <d v="2023-09-01T00:00:00"/>
    <x v="0"/>
    <x v="2"/>
    <x v="0"/>
    <n v="12"/>
    <n v="35804"/>
    <n v="429648"/>
    <n v="429648"/>
  </r>
  <r>
    <n v="12390"/>
    <d v="2023-05-24T00:00:00"/>
    <x v="0"/>
    <x v="0"/>
    <x v="1"/>
    <n v="14"/>
    <n v="18026"/>
    <n v="252364"/>
    <n v="252364"/>
  </r>
  <r>
    <n v="12391"/>
    <d v="2023-12-27T00:00:00"/>
    <x v="1"/>
    <x v="2"/>
    <x v="2"/>
    <n v="2"/>
    <n v="24983"/>
    <n v="49966"/>
    <n v="49966"/>
  </r>
  <r>
    <n v="12392"/>
    <d v="2023-01-25T00:00:00"/>
    <x v="6"/>
    <x v="3"/>
    <x v="4"/>
    <n v="8"/>
    <n v="32348"/>
    <n v="258784"/>
    <n v="258784"/>
  </r>
  <r>
    <n v="12393"/>
    <d v="2023-06-10T00:00:00"/>
    <x v="3"/>
    <x v="1"/>
    <x v="4"/>
    <n v="19"/>
    <n v="43776"/>
    <n v="831744"/>
    <n v="831744"/>
  </r>
  <r>
    <n v="12394"/>
    <d v="2024-01-01T00:00:00"/>
    <x v="1"/>
    <x v="1"/>
    <x v="1"/>
    <n v="8"/>
    <n v="16221"/>
    <n v="129768"/>
    <n v="129768"/>
  </r>
  <r>
    <n v="12395"/>
    <d v="2023-01-09T00:00:00"/>
    <x v="5"/>
    <x v="1"/>
    <x v="4"/>
    <n v="8"/>
    <n v="55462"/>
    <n v="443696"/>
    <n v="443696"/>
  </r>
  <r>
    <n v="12396"/>
    <d v="2023-10-26T00:00:00"/>
    <x v="3"/>
    <x v="0"/>
    <x v="4"/>
    <n v="4"/>
    <n v="2165"/>
    <n v="8660"/>
    <n v="8660"/>
  </r>
  <r>
    <n v="12397"/>
    <d v="2023-04-17T00:00:00"/>
    <x v="4"/>
    <x v="1"/>
    <x v="1"/>
    <n v="3"/>
    <n v="53158"/>
    <n v="159474"/>
    <n v="159474"/>
  </r>
  <r>
    <n v="12398"/>
    <d v="2023-09-02T00:00:00"/>
    <x v="4"/>
    <x v="3"/>
    <x v="4"/>
    <n v="16"/>
    <n v="57347"/>
    <n v="917552"/>
    <n v="917552"/>
  </r>
  <r>
    <n v="12399"/>
    <d v="2023-12-25T00:00:00"/>
    <x v="2"/>
    <x v="1"/>
    <x v="3"/>
    <n v="11"/>
    <n v="50095"/>
    <n v="551045"/>
    <n v="551045"/>
  </r>
  <r>
    <n v="12400"/>
    <d v="2023-01-23T00:00:00"/>
    <x v="1"/>
    <x v="2"/>
    <x v="1"/>
    <n v="13"/>
    <n v="49689"/>
    <n v="645957"/>
    <n v="645957"/>
  </r>
  <r>
    <n v="12401"/>
    <d v="2023-08-12T00:00:00"/>
    <x v="2"/>
    <x v="1"/>
    <x v="0"/>
    <n v="6"/>
    <n v="6047"/>
    <n v="36282"/>
    <n v="36282"/>
  </r>
  <r>
    <n v="12402"/>
    <d v="2023-06-14T00:00:00"/>
    <x v="6"/>
    <x v="1"/>
    <x v="4"/>
    <n v="2"/>
    <n v="18635"/>
    <n v="37270"/>
    <n v="37270"/>
  </r>
  <r>
    <n v="12403"/>
    <d v="2023-08-19T00:00:00"/>
    <x v="0"/>
    <x v="1"/>
    <x v="2"/>
    <n v="12"/>
    <n v="36117"/>
    <n v="433404"/>
    <n v="433404"/>
  </r>
  <r>
    <n v="12404"/>
    <d v="2023-03-11T00:00:00"/>
    <x v="2"/>
    <x v="1"/>
    <x v="3"/>
    <n v="4"/>
    <n v="24488"/>
    <n v="97952"/>
    <n v="97952"/>
  </r>
  <r>
    <n v="12405"/>
    <d v="2023-04-06T00:00:00"/>
    <x v="6"/>
    <x v="0"/>
    <x v="4"/>
    <n v="10"/>
    <n v="38975"/>
    <n v="389750"/>
    <n v="389750"/>
  </r>
  <r>
    <n v="12406"/>
    <d v="2023-03-23T00:00:00"/>
    <x v="4"/>
    <x v="1"/>
    <x v="3"/>
    <n v="9"/>
    <n v="24887"/>
    <n v="223983"/>
    <n v="223983"/>
  </r>
  <r>
    <n v="12407"/>
    <d v="2023-05-18T00:00:00"/>
    <x v="5"/>
    <x v="2"/>
    <x v="0"/>
    <n v="9"/>
    <n v="47439"/>
    <n v="426951"/>
    <n v="426951"/>
  </r>
  <r>
    <n v="12408"/>
    <d v="2023-11-14T00:00:00"/>
    <x v="2"/>
    <x v="1"/>
    <x v="5"/>
    <n v="16"/>
    <n v="51975"/>
    <n v="831600"/>
    <n v="831600"/>
  </r>
  <r>
    <n v="12409"/>
    <d v="2023-01-01T00:00:00"/>
    <x v="0"/>
    <x v="2"/>
    <x v="2"/>
    <n v="18"/>
    <n v="57659"/>
    <n v="1037862"/>
    <n v="1037862"/>
  </r>
  <r>
    <n v="12410"/>
    <d v="2023-11-28T00:00:00"/>
    <x v="4"/>
    <x v="3"/>
    <x v="1"/>
    <n v="12"/>
    <n v="10483"/>
    <n v="125796"/>
    <n v="125796"/>
  </r>
  <r>
    <n v="12411"/>
    <d v="2023-08-14T00:00:00"/>
    <x v="5"/>
    <x v="0"/>
    <x v="4"/>
    <n v="19"/>
    <n v="6944"/>
    <n v="131936"/>
    <n v="131936"/>
  </r>
  <r>
    <n v="12412"/>
    <d v="2023-09-28T00:00:00"/>
    <x v="0"/>
    <x v="0"/>
    <x v="5"/>
    <n v="20"/>
    <n v="20318"/>
    <n v="406360"/>
    <n v="406360"/>
  </r>
  <r>
    <n v="12413"/>
    <d v="2023-12-26T00:00:00"/>
    <x v="1"/>
    <x v="0"/>
    <x v="2"/>
    <n v="6"/>
    <n v="55351"/>
    <n v="332106"/>
    <n v="332106"/>
  </r>
  <r>
    <n v="12414"/>
    <d v="2023-12-03T00:00:00"/>
    <x v="2"/>
    <x v="1"/>
    <x v="4"/>
    <n v="20"/>
    <n v="46147"/>
    <n v="922940"/>
    <n v="922940"/>
  </r>
  <r>
    <n v="12415"/>
    <d v="2023-10-04T00:00:00"/>
    <x v="0"/>
    <x v="1"/>
    <x v="5"/>
    <n v="18"/>
    <n v="37351"/>
    <n v="672318"/>
    <n v="672318"/>
  </r>
  <r>
    <n v="12416"/>
    <d v="2023-11-02T00:00:00"/>
    <x v="1"/>
    <x v="1"/>
    <x v="0"/>
    <n v="7"/>
    <n v="40653"/>
    <n v="284571"/>
    <n v="284571"/>
  </r>
  <r>
    <n v="12417"/>
    <d v="2023-11-05T00:00:00"/>
    <x v="6"/>
    <x v="1"/>
    <x v="1"/>
    <n v="16"/>
    <n v="47397"/>
    <n v="758352"/>
    <n v="758352"/>
  </r>
  <r>
    <n v="12418"/>
    <d v="2023-05-17T00:00:00"/>
    <x v="1"/>
    <x v="1"/>
    <x v="2"/>
    <n v="3"/>
    <n v="834"/>
    <n v="2502"/>
    <n v="2502"/>
  </r>
  <r>
    <n v="12419"/>
    <d v="2023-03-26T00:00:00"/>
    <x v="6"/>
    <x v="0"/>
    <x v="5"/>
    <n v="19"/>
    <n v="1836"/>
    <n v="34884"/>
    <n v="34884"/>
  </r>
  <r>
    <n v="12420"/>
    <d v="2023-11-10T00:00:00"/>
    <x v="0"/>
    <x v="3"/>
    <x v="1"/>
    <n v="12"/>
    <n v="25901"/>
    <n v="310812"/>
    <n v="310812"/>
  </r>
  <r>
    <n v="12421"/>
    <d v="2023-04-11T00:00:00"/>
    <x v="5"/>
    <x v="0"/>
    <x v="0"/>
    <n v="14"/>
    <n v="9836"/>
    <n v="137704"/>
    <n v="137704"/>
  </r>
  <r>
    <n v="12422"/>
    <d v="2023-08-10T00:00:00"/>
    <x v="1"/>
    <x v="2"/>
    <x v="1"/>
    <n v="12"/>
    <n v="909"/>
    <n v="10908"/>
    <n v="10908"/>
  </r>
  <r>
    <n v="12423"/>
    <d v="2023-07-25T00:00:00"/>
    <x v="0"/>
    <x v="1"/>
    <x v="3"/>
    <n v="20"/>
    <n v="55292"/>
    <n v="1105840"/>
    <n v="1105840"/>
  </r>
  <r>
    <n v="12424"/>
    <d v="2023-02-18T00:00:00"/>
    <x v="4"/>
    <x v="0"/>
    <x v="4"/>
    <n v="5"/>
    <n v="31991"/>
    <n v="159955"/>
    <n v="159955"/>
  </r>
  <r>
    <n v="12425"/>
    <d v="2023-02-03T00:00:00"/>
    <x v="1"/>
    <x v="3"/>
    <x v="4"/>
    <n v="20"/>
    <n v="58098"/>
    <n v="1161960"/>
    <n v="1161960"/>
  </r>
  <r>
    <n v="12426"/>
    <d v="2023-03-26T00:00:00"/>
    <x v="0"/>
    <x v="1"/>
    <x v="3"/>
    <n v="14"/>
    <n v="18121"/>
    <n v="253694"/>
    <n v="253694"/>
  </r>
  <r>
    <n v="12427"/>
    <d v="2023-04-24T00:00:00"/>
    <x v="4"/>
    <x v="2"/>
    <x v="5"/>
    <n v="11"/>
    <n v="51660"/>
    <n v="568260"/>
    <n v="568260"/>
  </r>
  <r>
    <n v="12428"/>
    <d v="2023-09-25T00:00:00"/>
    <x v="5"/>
    <x v="2"/>
    <x v="3"/>
    <n v="4"/>
    <n v="48104"/>
    <n v="192416"/>
    <n v="192416"/>
  </r>
  <r>
    <n v="12429"/>
    <d v="2023-06-10T00:00:00"/>
    <x v="1"/>
    <x v="0"/>
    <x v="1"/>
    <n v="2"/>
    <n v="50884"/>
    <n v="101768"/>
    <n v="101768"/>
  </r>
  <r>
    <n v="12430"/>
    <d v="2023-06-20T00:00:00"/>
    <x v="5"/>
    <x v="2"/>
    <x v="0"/>
    <n v="4"/>
    <n v="34601"/>
    <n v="138404"/>
    <n v="138404"/>
  </r>
  <r>
    <n v="12431"/>
    <d v="2023-08-05T00:00:00"/>
    <x v="4"/>
    <x v="1"/>
    <x v="4"/>
    <n v="18"/>
    <n v="48122"/>
    <n v="866196"/>
    <n v="866196"/>
  </r>
  <r>
    <n v="12432"/>
    <d v="2023-03-14T00:00:00"/>
    <x v="3"/>
    <x v="0"/>
    <x v="3"/>
    <n v="10"/>
    <n v="25788"/>
    <n v="257880"/>
    <n v="257880"/>
  </r>
  <r>
    <n v="12433"/>
    <d v="2023-02-21T00:00:00"/>
    <x v="1"/>
    <x v="2"/>
    <x v="3"/>
    <n v="16"/>
    <n v="2490"/>
    <n v="39840"/>
    <n v="39840"/>
  </r>
  <r>
    <n v="12434"/>
    <d v="2023-12-10T00:00:00"/>
    <x v="0"/>
    <x v="3"/>
    <x v="0"/>
    <n v="1"/>
    <n v="44045"/>
    <n v="44045"/>
    <n v="44045"/>
  </r>
  <r>
    <n v="12435"/>
    <d v="2023-02-24T00:00:00"/>
    <x v="3"/>
    <x v="2"/>
    <x v="0"/>
    <n v="17"/>
    <n v="51273"/>
    <n v="871641"/>
    <n v="871641"/>
  </r>
  <r>
    <n v="12436"/>
    <d v="2023-07-10T00:00:00"/>
    <x v="5"/>
    <x v="0"/>
    <x v="3"/>
    <n v="16"/>
    <n v="46203"/>
    <n v="739248"/>
    <n v="739248"/>
  </r>
  <r>
    <n v="12437"/>
    <d v="2023-06-05T00:00:00"/>
    <x v="6"/>
    <x v="1"/>
    <x v="3"/>
    <n v="5"/>
    <n v="41779"/>
    <n v="208895"/>
    <n v="208895"/>
  </r>
  <r>
    <n v="12438"/>
    <d v="2023-07-20T00:00:00"/>
    <x v="4"/>
    <x v="0"/>
    <x v="5"/>
    <n v="12"/>
    <n v="44736"/>
    <n v="536832"/>
    <n v="536832"/>
  </r>
  <r>
    <n v="12439"/>
    <d v="2023-05-15T00:00:00"/>
    <x v="2"/>
    <x v="1"/>
    <x v="0"/>
    <n v="11"/>
    <n v="22791"/>
    <n v="250701"/>
    <n v="250701"/>
  </r>
  <r>
    <n v="12440"/>
    <d v="2023-07-02T00:00:00"/>
    <x v="4"/>
    <x v="2"/>
    <x v="2"/>
    <n v="15"/>
    <n v="20916"/>
    <n v="313740"/>
    <n v="313740"/>
  </r>
  <r>
    <n v="12441"/>
    <d v="2023-01-30T00:00:00"/>
    <x v="5"/>
    <x v="3"/>
    <x v="0"/>
    <n v="17"/>
    <n v="31091"/>
    <n v="528547"/>
    <n v="528547"/>
  </r>
  <r>
    <n v="12442"/>
    <d v="2023-04-18T00:00:00"/>
    <x v="5"/>
    <x v="2"/>
    <x v="3"/>
    <n v="3"/>
    <n v="42330"/>
    <n v="126990"/>
    <n v="126990"/>
  </r>
  <r>
    <n v="12443"/>
    <d v="2023-01-27T00:00:00"/>
    <x v="2"/>
    <x v="3"/>
    <x v="1"/>
    <n v="16"/>
    <n v="37873"/>
    <n v="605968"/>
    <n v="605968"/>
  </r>
  <r>
    <n v="12444"/>
    <d v="2023-12-13T00:00:00"/>
    <x v="1"/>
    <x v="3"/>
    <x v="1"/>
    <n v="1"/>
    <n v="10178"/>
    <n v="10178"/>
    <n v="10178"/>
  </r>
  <r>
    <n v="12445"/>
    <d v="2023-04-22T00:00:00"/>
    <x v="5"/>
    <x v="3"/>
    <x v="5"/>
    <n v="3"/>
    <n v="33263"/>
    <n v="99789"/>
    <n v="99789"/>
  </r>
  <r>
    <n v="12446"/>
    <d v="2023-09-24T00:00:00"/>
    <x v="1"/>
    <x v="1"/>
    <x v="0"/>
    <n v="9"/>
    <n v="52471"/>
    <n v="472239"/>
    <n v="472239"/>
  </r>
  <r>
    <n v="12447"/>
    <d v="2023-11-11T00:00:00"/>
    <x v="4"/>
    <x v="2"/>
    <x v="2"/>
    <n v="11"/>
    <n v="53357"/>
    <n v="586927"/>
    <n v="586927"/>
  </r>
  <r>
    <n v="12448"/>
    <d v="2023-04-28T00:00:00"/>
    <x v="0"/>
    <x v="0"/>
    <x v="0"/>
    <n v="18"/>
    <n v="37675"/>
    <n v="678150"/>
    <n v="678150"/>
  </r>
  <r>
    <n v="12449"/>
    <d v="2023-11-06T00:00:00"/>
    <x v="3"/>
    <x v="3"/>
    <x v="1"/>
    <n v="6"/>
    <n v="48128"/>
    <n v="288768"/>
    <n v="288768"/>
  </r>
  <r>
    <n v="12450"/>
    <d v="2023-05-17T00:00:00"/>
    <x v="6"/>
    <x v="1"/>
    <x v="2"/>
    <n v="11"/>
    <n v="14838"/>
    <n v="163218"/>
    <n v="163218"/>
  </r>
  <r>
    <n v="12451"/>
    <d v="2023-05-21T00:00:00"/>
    <x v="3"/>
    <x v="0"/>
    <x v="2"/>
    <n v="6"/>
    <n v="54085"/>
    <n v="324510"/>
    <n v="324510"/>
  </r>
  <r>
    <n v="12452"/>
    <d v="2023-12-09T00:00:00"/>
    <x v="4"/>
    <x v="2"/>
    <x v="1"/>
    <n v="15"/>
    <n v="7273"/>
    <n v="109095"/>
    <n v="109095"/>
  </r>
  <r>
    <n v="12453"/>
    <d v="2023-04-26T00:00:00"/>
    <x v="1"/>
    <x v="3"/>
    <x v="4"/>
    <n v="10"/>
    <n v="10053"/>
    <n v="100530"/>
    <n v="100530"/>
  </r>
  <r>
    <n v="12454"/>
    <d v="2023-04-22T00:00:00"/>
    <x v="3"/>
    <x v="0"/>
    <x v="0"/>
    <n v="6"/>
    <n v="41354"/>
    <n v="248124"/>
    <n v="248124"/>
  </r>
  <r>
    <n v="12455"/>
    <d v="2023-03-25T00:00:00"/>
    <x v="4"/>
    <x v="3"/>
    <x v="3"/>
    <n v="9"/>
    <n v="31766"/>
    <n v="285894"/>
    <n v="285894"/>
  </r>
  <r>
    <n v="12456"/>
    <d v="2023-01-17T00:00:00"/>
    <x v="4"/>
    <x v="1"/>
    <x v="4"/>
    <n v="7"/>
    <n v="57231"/>
    <n v="400617"/>
    <n v="400617"/>
  </r>
  <r>
    <n v="12457"/>
    <d v="2023-10-02T00:00:00"/>
    <x v="6"/>
    <x v="0"/>
    <x v="5"/>
    <n v="20"/>
    <n v="52779"/>
    <n v="1055580"/>
    <n v="1055580"/>
  </r>
  <r>
    <n v="12458"/>
    <d v="2023-07-09T00:00:00"/>
    <x v="2"/>
    <x v="2"/>
    <x v="1"/>
    <n v="13"/>
    <n v="1745"/>
    <n v="22685"/>
    <n v="22685"/>
  </r>
  <r>
    <n v="12459"/>
    <d v="2023-03-06T00:00:00"/>
    <x v="0"/>
    <x v="2"/>
    <x v="3"/>
    <n v="9"/>
    <n v="18436"/>
    <n v="165924"/>
    <n v="165924"/>
  </r>
  <r>
    <n v="12460"/>
    <d v="2023-06-04T00:00:00"/>
    <x v="1"/>
    <x v="2"/>
    <x v="4"/>
    <n v="17"/>
    <n v="5547"/>
    <n v="94299"/>
    <n v="94299"/>
  </r>
  <r>
    <n v="12461"/>
    <d v="2023-11-15T00:00:00"/>
    <x v="0"/>
    <x v="3"/>
    <x v="3"/>
    <n v="6"/>
    <n v="11413"/>
    <n v="68478"/>
    <n v="68478"/>
  </r>
  <r>
    <n v="12462"/>
    <d v="2023-08-05T00:00:00"/>
    <x v="6"/>
    <x v="3"/>
    <x v="5"/>
    <n v="17"/>
    <n v="48788"/>
    <n v="829396"/>
    <n v="829396"/>
  </r>
  <r>
    <n v="12463"/>
    <d v="2023-06-17T00:00:00"/>
    <x v="3"/>
    <x v="3"/>
    <x v="0"/>
    <n v="18"/>
    <n v="6152"/>
    <n v="110736"/>
    <n v="110736"/>
  </r>
  <r>
    <n v="12464"/>
    <d v="2023-08-26T00:00:00"/>
    <x v="0"/>
    <x v="0"/>
    <x v="1"/>
    <n v="9"/>
    <n v="44781"/>
    <n v="403029"/>
    <n v="403029"/>
  </r>
  <r>
    <n v="12465"/>
    <d v="2023-02-09T00:00:00"/>
    <x v="0"/>
    <x v="3"/>
    <x v="3"/>
    <n v="17"/>
    <n v="13975"/>
    <n v="237575"/>
    <n v="237575"/>
  </r>
  <r>
    <n v="12466"/>
    <d v="2023-03-06T00:00:00"/>
    <x v="4"/>
    <x v="3"/>
    <x v="2"/>
    <n v="5"/>
    <n v="30505"/>
    <n v="152525"/>
    <n v="152525"/>
  </r>
  <r>
    <n v="12467"/>
    <d v="2023-03-18T00:00:00"/>
    <x v="0"/>
    <x v="0"/>
    <x v="2"/>
    <n v="8"/>
    <n v="36772"/>
    <n v="294176"/>
    <n v="294176"/>
  </r>
  <r>
    <n v="12468"/>
    <d v="2023-10-30T00:00:00"/>
    <x v="5"/>
    <x v="1"/>
    <x v="5"/>
    <n v="1"/>
    <n v="41665"/>
    <n v="41665"/>
    <n v="41665"/>
  </r>
  <r>
    <n v="12469"/>
    <d v="2023-09-16T00:00:00"/>
    <x v="3"/>
    <x v="1"/>
    <x v="4"/>
    <n v="9"/>
    <n v="55734"/>
    <n v="501606"/>
    <n v="501606"/>
  </r>
  <r>
    <n v="12470"/>
    <d v="2023-07-23T00:00:00"/>
    <x v="3"/>
    <x v="0"/>
    <x v="1"/>
    <n v="12"/>
    <n v="14508"/>
    <n v="174096"/>
    <n v="174096"/>
  </r>
  <r>
    <n v="12471"/>
    <d v="2023-02-14T00:00:00"/>
    <x v="1"/>
    <x v="3"/>
    <x v="4"/>
    <n v="18"/>
    <n v="52847"/>
    <n v="951246"/>
    <n v="951246"/>
  </r>
  <r>
    <n v="12472"/>
    <d v="2023-01-31T00:00:00"/>
    <x v="0"/>
    <x v="3"/>
    <x v="1"/>
    <n v="12"/>
    <n v="52518"/>
    <n v="630216"/>
    <n v="630216"/>
  </r>
  <r>
    <n v="12473"/>
    <d v="2023-10-30T00:00:00"/>
    <x v="1"/>
    <x v="0"/>
    <x v="4"/>
    <n v="17"/>
    <n v="2580"/>
    <n v="43860"/>
    <n v="43860"/>
  </r>
  <r>
    <n v="12474"/>
    <d v="2023-06-02T00:00:00"/>
    <x v="5"/>
    <x v="0"/>
    <x v="3"/>
    <n v="8"/>
    <n v="2800"/>
    <n v="22400"/>
    <n v="22400"/>
  </r>
  <r>
    <n v="12475"/>
    <d v="2023-10-13T00:00:00"/>
    <x v="1"/>
    <x v="1"/>
    <x v="4"/>
    <n v="4"/>
    <n v="26752"/>
    <n v="107008"/>
    <n v="107008"/>
  </r>
  <r>
    <n v="12476"/>
    <d v="2023-09-05T00:00:00"/>
    <x v="4"/>
    <x v="2"/>
    <x v="3"/>
    <n v="8"/>
    <n v="11397"/>
    <n v="91176"/>
    <n v="91176"/>
  </r>
  <r>
    <n v="12477"/>
    <d v="2023-10-31T00:00:00"/>
    <x v="0"/>
    <x v="3"/>
    <x v="0"/>
    <n v="13"/>
    <n v="15343"/>
    <n v="199459"/>
    <n v="199459"/>
  </r>
  <r>
    <n v="12478"/>
    <d v="2023-10-09T00:00:00"/>
    <x v="4"/>
    <x v="1"/>
    <x v="5"/>
    <n v="17"/>
    <n v="46845"/>
    <n v="796365"/>
    <n v="796365"/>
  </r>
  <r>
    <n v="12479"/>
    <d v="2023-01-01T00:00:00"/>
    <x v="3"/>
    <x v="1"/>
    <x v="3"/>
    <n v="1"/>
    <n v="15676"/>
    <n v="15676"/>
    <n v="15676"/>
  </r>
  <r>
    <n v="12480"/>
    <d v="2023-01-19T00:00:00"/>
    <x v="1"/>
    <x v="1"/>
    <x v="2"/>
    <n v="2"/>
    <n v="6947"/>
    <n v="13894"/>
    <n v="13894"/>
  </r>
  <r>
    <n v="12481"/>
    <d v="2023-06-18T00:00:00"/>
    <x v="2"/>
    <x v="2"/>
    <x v="4"/>
    <n v="8"/>
    <n v="45269"/>
    <n v="362152"/>
    <n v="362152"/>
  </r>
  <r>
    <n v="12482"/>
    <d v="2023-05-25T00:00:00"/>
    <x v="6"/>
    <x v="3"/>
    <x v="1"/>
    <n v="9"/>
    <n v="8666"/>
    <n v="77994"/>
    <n v="77994"/>
  </r>
  <r>
    <n v="12483"/>
    <d v="2023-11-10T00:00:00"/>
    <x v="2"/>
    <x v="1"/>
    <x v="3"/>
    <n v="16"/>
    <n v="23841"/>
    <n v="381456"/>
    <n v="381456"/>
  </r>
  <r>
    <n v="12484"/>
    <d v="2023-03-18T00:00:00"/>
    <x v="2"/>
    <x v="3"/>
    <x v="4"/>
    <n v="15"/>
    <n v="16254"/>
    <n v="243810"/>
    <n v="243810"/>
  </r>
  <r>
    <n v="12485"/>
    <d v="2023-05-08T00:00:00"/>
    <x v="5"/>
    <x v="0"/>
    <x v="5"/>
    <n v="17"/>
    <n v="49776"/>
    <n v="846192"/>
    <n v="846192"/>
  </r>
  <r>
    <n v="12486"/>
    <d v="2023-07-03T00:00:00"/>
    <x v="1"/>
    <x v="0"/>
    <x v="4"/>
    <n v="15"/>
    <n v="25653"/>
    <n v="384795"/>
    <n v="384795"/>
  </r>
  <r>
    <n v="12487"/>
    <d v="2023-06-16T00:00:00"/>
    <x v="5"/>
    <x v="0"/>
    <x v="5"/>
    <n v="3"/>
    <n v="6739"/>
    <n v="20217"/>
    <n v="20217"/>
  </r>
  <r>
    <n v="12488"/>
    <d v="2023-09-22T00:00:00"/>
    <x v="1"/>
    <x v="3"/>
    <x v="3"/>
    <n v="8"/>
    <n v="57955"/>
    <n v="463640"/>
    <n v="463640"/>
  </r>
  <r>
    <n v="12489"/>
    <d v="2023-04-03T00:00:00"/>
    <x v="6"/>
    <x v="2"/>
    <x v="1"/>
    <n v="8"/>
    <n v="6659"/>
    <n v="53272"/>
    <n v="53272"/>
  </r>
  <r>
    <n v="12490"/>
    <d v="2023-06-21T00:00:00"/>
    <x v="4"/>
    <x v="0"/>
    <x v="5"/>
    <n v="8"/>
    <n v="22929"/>
    <n v="183432"/>
    <n v="183432"/>
  </r>
  <r>
    <n v="12491"/>
    <d v="2023-03-09T00:00:00"/>
    <x v="2"/>
    <x v="1"/>
    <x v="2"/>
    <n v="14"/>
    <n v="35782"/>
    <n v="500948"/>
    <n v="500948"/>
  </r>
  <r>
    <n v="12492"/>
    <d v="2023-03-26T00:00:00"/>
    <x v="2"/>
    <x v="3"/>
    <x v="1"/>
    <n v="3"/>
    <n v="51646"/>
    <n v="154938"/>
    <n v="154938"/>
  </r>
  <r>
    <n v="12493"/>
    <d v="2023-01-28T00:00:00"/>
    <x v="4"/>
    <x v="1"/>
    <x v="2"/>
    <n v="3"/>
    <n v="49526"/>
    <n v="148578"/>
    <n v="148578"/>
  </r>
  <r>
    <n v="12494"/>
    <d v="2023-02-07T00:00:00"/>
    <x v="6"/>
    <x v="3"/>
    <x v="2"/>
    <n v="18"/>
    <n v="19476"/>
    <n v="350568"/>
    <n v="350568"/>
  </r>
  <r>
    <n v="12495"/>
    <d v="2023-04-30T00:00:00"/>
    <x v="0"/>
    <x v="1"/>
    <x v="3"/>
    <n v="17"/>
    <n v="45837"/>
    <n v="779229"/>
    <n v="779229"/>
  </r>
  <r>
    <n v="12496"/>
    <d v="2023-12-03T00:00:00"/>
    <x v="3"/>
    <x v="1"/>
    <x v="5"/>
    <n v="19"/>
    <n v="43820"/>
    <n v="832580"/>
    <n v="832580"/>
  </r>
  <r>
    <n v="12497"/>
    <d v="2023-05-28T00:00:00"/>
    <x v="4"/>
    <x v="3"/>
    <x v="2"/>
    <n v="8"/>
    <n v="4543"/>
    <n v="36344"/>
    <n v="36344"/>
  </r>
  <r>
    <n v="12498"/>
    <d v="2023-03-28T00:00:00"/>
    <x v="3"/>
    <x v="1"/>
    <x v="4"/>
    <n v="2"/>
    <n v="8747"/>
    <n v="17494"/>
    <n v="17494"/>
  </r>
  <r>
    <n v="12499"/>
    <d v="2023-06-02T00:00:00"/>
    <x v="1"/>
    <x v="3"/>
    <x v="1"/>
    <n v="14"/>
    <n v="38605"/>
    <n v="540470"/>
    <n v="540470"/>
  </r>
  <r>
    <n v="12500"/>
    <d v="2023-08-30T00:00:00"/>
    <x v="2"/>
    <x v="0"/>
    <x v="5"/>
    <n v="3"/>
    <n v="38486"/>
    <n v="115458"/>
    <n v="115458"/>
  </r>
  <r>
    <n v="12501"/>
    <d v="2023-06-14T00:00:00"/>
    <x v="0"/>
    <x v="0"/>
    <x v="3"/>
    <n v="15"/>
    <n v="13924"/>
    <n v="208860"/>
    <n v="208860"/>
  </r>
  <r>
    <n v="12502"/>
    <d v="2023-02-11T00:00:00"/>
    <x v="1"/>
    <x v="3"/>
    <x v="3"/>
    <n v="2"/>
    <n v="50726"/>
    <n v="101452"/>
    <n v="101452"/>
  </r>
  <r>
    <n v="12503"/>
    <d v="2023-06-06T00:00:00"/>
    <x v="6"/>
    <x v="2"/>
    <x v="1"/>
    <n v="19"/>
    <n v="15218"/>
    <n v="289142"/>
    <n v="289142"/>
  </r>
  <r>
    <n v="12504"/>
    <d v="2023-02-11T00:00:00"/>
    <x v="0"/>
    <x v="1"/>
    <x v="3"/>
    <n v="8"/>
    <n v="15332"/>
    <n v="122656"/>
    <n v="122656"/>
  </r>
  <r>
    <n v="12505"/>
    <d v="2023-12-24T00:00:00"/>
    <x v="2"/>
    <x v="2"/>
    <x v="3"/>
    <n v="11"/>
    <n v="41804"/>
    <n v="459844"/>
    <n v="459844"/>
  </r>
  <r>
    <n v="12506"/>
    <d v="2023-11-15T00:00:00"/>
    <x v="6"/>
    <x v="0"/>
    <x v="3"/>
    <n v="11"/>
    <n v="49223"/>
    <n v="541453"/>
    <n v="541453"/>
  </r>
  <r>
    <n v="12507"/>
    <d v="2023-05-30T00:00:00"/>
    <x v="0"/>
    <x v="0"/>
    <x v="2"/>
    <n v="20"/>
    <n v="58525"/>
    <n v="1170500"/>
    <n v="1170500"/>
  </r>
  <r>
    <n v="12508"/>
    <d v="2023-10-01T00:00:00"/>
    <x v="1"/>
    <x v="3"/>
    <x v="1"/>
    <n v="1"/>
    <n v="57449"/>
    <n v="57449"/>
    <n v="57449"/>
  </r>
  <r>
    <n v="12509"/>
    <d v="2023-07-07T00:00:00"/>
    <x v="3"/>
    <x v="0"/>
    <x v="2"/>
    <n v="15"/>
    <n v="53368"/>
    <n v="800520"/>
    <n v="800520"/>
  </r>
  <r>
    <n v="12510"/>
    <d v="2023-09-03T00:00:00"/>
    <x v="4"/>
    <x v="2"/>
    <x v="2"/>
    <n v="18"/>
    <n v="5240"/>
    <n v="94320"/>
    <n v="94320"/>
  </r>
  <r>
    <n v="12511"/>
    <d v="2023-10-30T00:00:00"/>
    <x v="3"/>
    <x v="0"/>
    <x v="4"/>
    <n v="20"/>
    <n v="34984"/>
    <n v="699680"/>
    <n v="699680"/>
  </r>
  <r>
    <n v="12512"/>
    <d v="2023-08-19T00:00:00"/>
    <x v="5"/>
    <x v="1"/>
    <x v="1"/>
    <n v="4"/>
    <n v="6580"/>
    <n v="26320"/>
    <n v="26320"/>
  </r>
  <r>
    <n v="12513"/>
    <d v="2023-12-30T00:00:00"/>
    <x v="1"/>
    <x v="2"/>
    <x v="2"/>
    <n v="10"/>
    <n v="845"/>
    <n v="8450"/>
    <n v="8450"/>
  </r>
  <r>
    <n v="12514"/>
    <d v="2023-12-17T00:00:00"/>
    <x v="4"/>
    <x v="3"/>
    <x v="1"/>
    <n v="17"/>
    <n v="56200"/>
    <n v="955400"/>
    <n v="955400"/>
  </r>
  <r>
    <n v="12515"/>
    <d v="2023-12-26T00:00:00"/>
    <x v="6"/>
    <x v="3"/>
    <x v="0"/>
    <n v="18"/>
    <n v="33002"/>
    <n v="594036"/>
    <n v="594036"/>
  </r>
  <r>
    <n v="12516"/>
    <d v="2023-12-27T00:00:00"/>
    <x v="4"/>
    <x v="3"/>
    <x v="5"/>
    <n v="1"/>
    <n v="17391"/>
    <n v="17391"/>
    <n v="17391"/>
  </r>
  <r>
    <n v="12517"/>
    <d v="2023-11-30T00:00:00"/>
    <x v="4"/>
    <x v="3"/>
    <x v="5"/>
    <n v="5"/>
    <n v="42464"/>
    <n v="212320"/>
    <n v="212320"/>
  </r>
  <r>
    <n v="12518"/>
    <d v="2023-02-26T00:00:00"/>
    <x v="3"/>
    <x v="3"/>
    <x v="1"/>
    <n v="13"/>
    <n v="13738"/>
    <n v="178594"/>
    <n v="178594"/>
  </r>
  <r>
    <n v="12519"/>
    <d v="2023-05-21T00:00:00"/>
    <x v="2"/>
    <x v="0"/>
    <x v="2"/>
    <n v="17"/>
    <n v="8864"/>
    <n v="150688"/>
    <n v="150688"/>
  </r>
  <r>
    <n v="12520"/>
    <d v="2023-05-27T00:00:00"/>
    <x v="3"/>
    <x v="1"/>
    <x v="0"/>
    <n v="12"/>
    <n v="43211"/>
    <n v="518532"/>
    <n v="518532"/>
  </r>
  <r>
    <n v="12521"/>
    <d v="2023-09-24T00:00:00"/>
    <x v="6"/>
    <x v="1"/>
    <x v="3"/>
    <n v="8"/>
    <n v="56297"/>
    <n v="450376"/>
    <n v="450376"/>
  </r>
  <r>
    <n v="12522"/>
    <d v="2023-01-10T00:00:00"/>
    <x v="1"/>
    <x v="2"/>
    <x v="5"/>
    <n v="9"/>
    <n v="35221"/>
    <n v="316989"/>
    <n v="316989"/>
  </r>
  <r>
    <n v="12523"/>
    <d v="2023-10-23T00:00:00"/>
    <x v="5"/>
    <x v="0"/>
    <x v="5"/>
    <n v="20"/>
    <n v="5157"/>
    <n v="103140"/>
    <n v="103140"/>
  </r>
  <r>
    <n v="12524"/>
    <d v="2023-12-06T00:00:00"/>
    <x v="5"/>
    <x v="3"/>
    <x v="4"/>
    <n v="5"/>
    <n v="12501"/>
    <n v="62505"/>
    <n v="62505"/>
  </r>
  <r>
    <n v="12525"/>
    <d v="2023-06-10T00:00:00"/>
    <x v="3"/>
    <x v="2"/>
    <x v="0"/>
    <n v="15"/>
    <n v="58971"/>
    <n v="884565"/>
    <n v="884565"/>
  </r>
  <r>
    <n v="12526"/>
    <d v="2023-06-02T00:00:00"/>
    <x v="2"/>
    <x v="1"/>
    <x v="1"/>
    <n v="12"/>
    <n v="4547"/>
    <n v="54564"/>
    <n v="54564"/>
  </r>
  <r>
    <n v="12527"/>
    <d v="2023-09-21T00:00:00"/>
    <x v="1"/>
    <x v="1"/>
    <x v="0"/>
    <n v="1"/>
    <n v="49047"/>
    <n v="49047"/>
    <n v="49047"/>
  </r>
  <r>
    <n v="12528"/>
    <d v="2023-08-16T00:00:00"/>
    <x v="3"/>
    <x v="0"/>
    <x v="5"/>
    <n v="11"/>
    <n v="10098"/>
    <n v="111078"/>
    <n v="111078"/>
  </r>
  <r>
    <n v="12529"/>
    <d v="2023-05-21T00:00:00"/>
    <x v="5"/>
    <x v="3"/>
    <x v="3"/>
    <n v="16"/>
    <n v="33780"/>
    <n v="540480"/>
    <n v="540480"/>
  </r>
  <r>
    <n v="12530"/>
    <d v="2023-12-14T00:00:00"/>
    <x v="0"/>
    <x v="0"/>
    <x v="4"/>
    <n v="7"/>
    <n v="1750"/>
    <n v="12250"/>
    <n v="12250"/>
  </r>
  <r>
    <n v="12531"/>
    <d v="2023-04-20T00:00:00"/>
    <x v="2"/>
    <x v="3"/>
    <x v="1"/>
    <n v="19"/>
    <n v="42979"/>
    <n v="816601"/>
    <n v="816601"/>
  </r>
  <r>
    <n v="12532"/>
    <d v="2023-06-16T00:00:00"/>
    <x v="1"/>
    <x v="0"/>
    <x v="4"/>
    <n v="4"/>
    <n v="41110"/>
    <n v="164440"/>
    <n v="164440"/>
  </r>
  <r>
    <n v="12533"/>
    <d v="2023-06-19T00:00:00"/>
    <x v="0"/>
    <x v="3"/>
    <x v="3"/>
    <n v="3"/>
    <n v="51052"/>
    <n v="153156"/>
    <n v="153156"/>
  </r>
  <r>
    <n v="12534"/>
    <d v="2023-01-09T00:00:00"/>
    <x v="4"/>
    <x v="3"/>
    <x v="0"/>
    <n v="16"/>
    <n v="32849"/>
    <n v="525584"/>
    <n v="525584"/>
  </r>
  <r>
    <n v="12535"/>
    <d v="2023-09-09T00:00:00"/>
    <x v="4"/>
    <x v="1"/>
    <x v="1"/>
    <n v="7"/>
    <n v="3389"/>
    <n v="23723"/>
    <n v="23723"/>
  </r>
  <r>
    <n v="12536"/>
    <d v="2023-05-22T00:00:00"/>
    <x v="0"/>
    <x v="3"/>
    <x v="5"/>
    <n v="17"/>
    <n v="1662"/>
    <n v="28254"/>
    <n v="28254"/>
  </r>
  <r>
    <n v="12537"/>
    <d v="2023-01-20T00:00:00"/>
    <x v="4"/>
    <x v="3"/>
    <x v="2"/>
    <n v="16"/>
    <n v="35563"/>
    <n v="569008"/>
    <n v="569008"/>
  </r>
  <r>
    <n v="12538"/>
    <d v="2023-08-19T00:00:00"/>
    <x v="4"/>
    <x v="0"/>
    <x v="3"/>
    <n v="1"/>
    <n v="46041"/>
    <n v="46041"/>
    <n v="46041"/>
  </r>
  <r>
    <n v="12539"/>
    <d v="2023-01-01T00:00:00"/>
    <x v="1"/>
    <x v="1"/>
    <x v="0"/>
    <n v="16"/>
    <n v="1992"/>
    <n v="31872"/>
    <n v="31872"/>
  </r>
  <r>
    <n v="12540"/>
    <d v="2023-03-04T00:00:00"/>
    <x v="2"/>
    <x v="0"/>
    <x v="4"/>
    <n v="5"/>
    <n v="28432"/>
    <n v="142160"/>
    <n v="142160"/>
  </r>
  <r>
    <n v="12541"/>
    <d v="2023-01-14T00:00:00"/>
    <x v="0"/>
    <x v="3"/>
    <x v="0"/>
    <n v="4"/>
    <n v="9413"/>
    <n v="37652"/>
    <n v="37652"/>
  </r>
  <r>
    <n v="12542"/>
    <d v="2023-12-22T00:00:00"/>
    <x v="3"/>
    <x v="3"/>
    <x v="1"/>
    <n v="20"/>
    <n v="50192"/>
    <n v="1003840"/>
    <n v="1003840"/>
  </r>
  <r>
    <n v="12543"/>
    <d v="2023-03-15T00:00:00"/>
    <x v="3"/>
    <x v="3"/>
    <x v="5"/>
    <n v="7"/>
    <n v="14535"/>
    <n v="101745"/>
    <n v="101745"/>
  </r>
  <r>
    <n v="12544"/>
    <d v="2023-03-26T00:00:00"/>
    <x v="2"/>
    <x v="1"/>
    <x v="4"/>
    <n v="8"/>
    <n v="5555"/>
    <n v="44440"/>
    <n v="44440"/>
  </r>
  <r>
    <n v="12545"/>
    <d v="2023-12-19T00:00:00"/>
    <x v="1"/>
    <x v="2"/>
    <x v="1"/>
    <n v="6"/>
    <n v="52307"/>
    <n v="313842"/>
    <n v="313842"/>
  </r>
  <r>
    <n v="12546"/>
    <d v="2023-03-10T00:00:00"/>
    <x v="1"/>
    <x v="3"/>
    <x v="0"/>
    <n v="16"/>
    <n v="17593"/>
    <n v="281488"/>
    <n v="281488"/>
  </r>
  <r>
    <n v="12547"/>
    <d v="2023-09-14T00:00:00"/>
    <x v="0"/>
    <x v="3"/>
    <x v="2"/>
    <n v="11"/>
    <n v="59176"/>
    <n v="650936"/>
    <n v="650936"/>
  </r>
  <r>
    <n v="12548"/>
    <d v="2023-04-12T00:00:00"/>
    <x v="5"/>
    <x v="0"/>
    <x v="4"/>
    <n v="8"/>
    <n v="40305"/>
    <n v="322440"/>
    <n v="322440"/>
  </r>
  <r>
    <n v="12549"/>
    <d v="2023-11-24T00:00:00"/>
    <x v="6"/>
    <x v="0"/>
    <x v="3"/>
    <n v="18"/>
    <n v="18697"/>
    <n v="336546"/>
    <n v="336546"/>
  </r>
  <r>
    <n v="12550"/>
    <d v="2023-12-09T00:00:00"/>
    <x v="3"/>
    <x v="3"/>
    <x v="3"/>
    <n v="9"/>
    <n v="53219"/>
    <n v="478971"/>
    <n v="478971"/>
  </r>
  <r>
    <n v="12551"/>
    <d v="2023-04-01T00:00:00"/>
    <x v="1"/>
    <x v="3"/>
    <x v="2"/>
    <n v="15"/>
    <n v="27851"/>
    <n v="417765"/>
    <n v="417765"/>
  </r>
  <r>
    <n v="12552"/>
    <d v="2023-04-28T00:00:00"/>
    <x v="3"/>
    <x v="1"/>
    <x v="0"/>
    <n v="12"/>
    <n v="33068"/>
    <n v="396816"/>
    <n v="396816"/>
  </r>
  <r>
    <n v="12553"/>
    <d v="2023-10-15T00:00:00"/>
    <x v="4"/>
    <x v="2"/>
    <x v="0"/>
    <n v="9"/>
    <n v="15602"/>
    <n v="140418"/>
    <n v="140418"/>
  </r>
  <r>
    <n v="12554"/>
    <d v="2023-01-17T00:00:00"/>
    <x v="6"/>
    <x v="2"/>
    <x v="3"/>
    <n v="14"/>
    <n v="31356"/>
    <n v="438984"/>
    <n v="438984"/>
  </r>
  <r>
    <n v="12555"/>
    <d v="2023-11-01T00:00:00"/>
    <x v="6"/>
    <x v="3"/>
    <x v="3"/>
    <n v="10"/>
    <n v="3077"/>
    <n v="30770"/>
    <n v="30770"/>
  </r>
  <r>
    <n v="12556"/>
    <d v="2023-05-05T00:00:00"/>
    <x v="0"/>
    <x v="2"/>
    <x v="3"/>
    <n v="2"/>
    <n v="59664"/>
    <n v="119328"/>
    <n v="119328"/>
  </r>
  <r>
    <n v="12557"/>
    <d v="2023-08-22T00:00:00"/>
    <x v="1"/>
    <x v="3"/>
    <x v="2"/>
    <n v="10"/>
    <n v="7499"/>
    <n v="74990"/>
    <n v="74990"/>
  </r>
  <r>
    <n v="12558"/>
    <d v="2023-08-01T00:00:00"/>
    <x v="4"/>
    <x v="1"/>
    <x v="3"/>
    <n v="3"/>
    <n v="29404"/>
    <n v="88212"/>
    <n v="88212"/>
  </r>
  <r>
    <n v="12559"/>
    <d v="2023-05-02T00:00:00"/>
    <x v="4"/>
    <x v="3"/>
    <x v="4"/>
    <n v="15"/>
    <n v="3138"/>
    <n v="47070"/>
    <n v="47070"/>
  </r>
  <r>
    <n v="12560"/>
    <d v="2023-04-15T00:00:00"/>
    <x v="0"/>
    <x v="1"/>
    <x v="4"/>
    <n v="17"/>
    <n v="36451"/>
    <n v="619667"/>
    <n v="619667"/>
  </r>
  <r>
    <n v="12561"/>
    <d v="2023-01-26T00:00:00"/>
    <x v="1"/>
    <x v="0"/>
    <x v="5"/>
    <n v="19"/>
    <n v="24874"/>
    <n v="472606"/>
    <n v="472606"/>
  </r>
  <r>
    <n v="12562"/>
    <d v="2023-06-23T00:00:00"/>
    <x v="0"/>
    <x v="0"/>
    <x v="4"/>
    <n v="20"/>
    <n v="6323"/>
    <n v="126460"/>
    <n v="126460"/>
  </r>
  <r>
    <n v="12563"/>
    <d v="2023-02-05T00:00:00"/>
    <x v="3"/>
    <x v="3"/>
    <x v="3"/>
    <n v="15"/>
    <n v="57129"/>
    <n v="856935"/>
    <n v="856935"/>
  </r>
  <r>
    <n v="12564"/>
    <d v="2023-12-09T00:00:00"/>
    <x v="3"/>
    <x v="3"/>
    <x v="5"/>
    <n v="13"/>
    <n v="35151"/>
    <n v="456963"/>
    <n v="456963"/>
  </r>
  <r>
    <n v="12565"/>
    <d v="2023-02-25T00:00:00"/>
    <x v="2"/>
    <x v="0"/>
    <x v="2"/>
    <n v="1"/>
    <n v="55518"/>
    <n v="55518"/>
    <n v="55518"/>
  </r>
  <r>
    <n v="12566"/>
    <d v="2023-07-21T00:00:00"/>
    <x v="4"/>
    <x v="1"/>
    <x v="2"/>
    <n v="8"/>
    <n v="46404"/>
    <n v="371232"/>
    <n v="371232"/>
  </r>
  <r>
    <n v="12567"/>
    <d v="2023-04-11T00:00:00"/>
    <x v="3"/>
    <x v="3"/>
    <x v="0"/>
    <n v="16"/>
    <n v="24155"/>
    <n v="386480"/>
    <n v="386480"/>
  </r>
  <r>
    <n v="12568"/>
    <d v="2023-11-10T00:00:00"/>
    <x v="2"/>
    <x v="3"/>
    <x v="4"/>
    <n v="2"/>
    <n v="8573"/>
    <n v="17146"/>
    <n v="17146"/>
  </r>
  <r>
    <n v="12569"/>
    <d v="2023-04-29T00:00:00"/>
    <x v="3"/>
    <x v="2"/>
    <x v="2"/>
    <n v="11"/>
    <n v="21924"/>
    <n v="241164"/>
    <n v="241164"/>
  </r>
  <r>
    <n v="12570"/>
    <d v="2023-07-19T00:00:00"/>
    <x v="2"/>
    <x v="1"/>
    <x v="1"/>
    <n v="11"/>
    <n v="45174"/>
    <n v="496914"/>
    <n v="496914"/>
  </r>
  <r>
    <n v="12571"/>
    <d v="2023-07-25T00:00:00"/>
    <x v="5"/>
    <x v="1"/>
    <x v="3"/>
    <n v="2"/>
    <n v="6739"/>
    <n v="13478"/>
    <n v="13478"/>
  </r>
  <r>
    <n v="12572"/>
    <d v="2023-02-18T00:00:00"/>
    <x v="4"/>
    <x v="2"/>
    <x v="3"/>
    <n v="15"/>
    <n v="40943"/>
    <n v="614145"/>
    <n v="614145"/>
  </r>
  <r>
    <n v="12573"/>
    <d v="2023-06-08T00:00:00"/>
    <x v="2"/>
    <x v="1"/>
    <x v="1"/>
    <n v="9"/>
    <n v="51914"/>
    <n v="467226"/>
    <n v="467226"/>
  </r>
  <r>
    <n v="12574"/>
    <d v="2023-02-02T00:00:00"/>
    <x v="5"/>
    <x v="1"/>
    <x v="1"/>
    <n v="8"/>
    <n v="8507"/>
    <n v="68056"/>
    <n v="68056"/>
  </r>
  <r>
    <n v="12575"/>
    <d v="2023-11-02T00:00:00"/>
    <x v="3"/>
    <x v="3"/>
    <x v="2"/>
    <n v="15"/>
    <n v="47557"/>
    <n v="713355"/>
    <n v="713355"/>
  </r>
  <r>
    <n v="12576"/>
    <d v="2023-04-12T00:00:00"/>
    <x v="1"/>
    <x v="2"/>
    <x v="3"/>
    <n v="8"/>
    <n v="26946"/>
    <n v="215568"/>
    <n v="215568"/>
  </r>
  <r>
    <n v="12577"/>
    <d v="2023-09-19T00:00:00"/>
    <x v="5"/>
    <x v="3"/>
    <x v="1"/>
    <n v="12"/>
    <n v="49827"/>
    <n v="597924"/>
    <n v="597924"/>
  </r>
  <r>
    <n v="12578"/>
    <d v="2023-11-08T00:00:00"/>
    <x v="4"/>
    <x v="2"/>
    <x v="4"/>
    <n v="4"/>
    <n v="29244"/>
    <n v="116976"/>
    <n v="116976"/>
  </r>
  <r>
    <n v="12579"/>
    <d v="2023-08-09T00:00:00"/>
    <x v="4"/>
    <x v="1"/>
    <x v="2"/>
    <n v="11"/>
    <n v="43787"/>
    <n v="481657"/>
    <n v="481657"/>
  </r>
  <r>
    <n v="12580"/>
    <d v="2023-04-01T00:00:00"/>
    <x v="6"/>
    <x v="0"/>
    <x v="0"/>
    <n v="3"/>
    <n v="45893"/>
    <n v="137679"/>
    <n v="137679"/>
  </r>
  <r>
    <n v="12581"/>
    <d v="2023-06-13T00:00:00"/>
    <x v="0"/>
    <x v="2"/>
    <x v="1"/>
    <n v="3"/>
    <n v="15193"/>
    <n v="45579"/>
    <n v="45579"/>
  </r>
  <r>
    <n v="12582"/>
    <d v="2023-04-04T00:00:00"/>
    <x v="2"/>
    <x v="3"/>
    <x v="1"/>
    <n v="13"/>
    <n v="34945"/>
    <n v="454285"/>
    <n v="454285"/>
  </r>
  <r>
    <n v="12583"/>
    <d v="2023-05-11T00:00:00"/>
    <x v="3"/>
    <x v="2"/>
    <x v="3"/>
    <n v="9"/>
    <n v="56116"/>
    <n v="505044"/>
    <n v="505044"/>
  </r>
  <r>
    <n v="12584"/>
    <d v="2023-06-21T00:00:00"/>
    <x v="1"/>
    <x v="3"/>
    <x v="1"/>
    <n v="20"/>
    <n v="5713"/>
    <n v="114260"/>
    <n v="114260"/>
  </r>
  <r>
    <n v="12585"/>
    <d v="2023-02-25T00:00:00"/>
    <x v="2"/>
    <x v="3"/>
    <x v="4"/>
    <n v="15"/>
    <n v="2184"/>
    <n v="32760"/>
    <n v="32760"/>
  </r>
  <r>
    <n v="12586"/>
    <d v="2023-01-31T00:00:00"/>
    <x v="4"/>
    <x v="2"/>
    <x v="0"/>
    <n v="11"/>
    <n v="39238"/>
    <n v="431618"/>
    <n v="431618"/>
  </r>
  <r>
    <n v="12587"/>
    <d v="2023-08-30T00:00:00"/>
    <x v="6"/>
    <x v="3"/>
    <x v="1"/>
    <n v="13"/>
    <n v="33993"/>
    <n v="441909"/>
    <n v="441909"/>
  </r>
  <r>
    <n v="12588"/>
    <d v="2023-02-11T00:00:00"/>
    <x v="2"/>
    <x v="0"/>
    <x v="3"/>
    <n v="14"/>
    <n v="44653"/>
    <n v="625142"/>
    <n v="625142"/>
  </r>
  <r>
    <n v="12589"/>
    <d v="2023-11-16T00:00:00"/>
    <x v="1"/>
    <x v="1"/>
    <x v="3"/>
    <n v="12"/>
    <n v="30718"/>
    <n v="368616"/>
    <n v="368616"/>
  </r>
  <r>
    <n v="12590"/>
    <d v="2023-09-21T00:00:00"/>
    <x v="4"/>
    <x v="1"/>
    <x v="0"/>
    <n v="19"/>
    <n v="21779"/>
    <n v="413801"/>
    <n v="413801"/>
  </r>
  <r>
    <n v="12591"/>
    <d v="2023-11-19T00:00:00"/>
    <x v="2"/>
    <x v="0"/>
    <x v="4"/>
    <n v="19"/>
    <n v="54715"/>
    <n v="1039585"/>
    <n v="1039585"/>
  </r>
  <r>
    <n v="12592"/>
    <d v="2023-09-24T00:00:00"/>
    <x v="2"/>
    <x v="0"/>
    <x v="0"/>
    <n v="15"/>
    <n v="25995"/>
    <n v="389925"/>
    <n v="389925"/>
  </r>
  <r>
    <n v="12593"/>
    <d v="2023-04-12T00:00:00"/>
    <x v="2"/>
    <x v="2"/>
    <x v="2"/>
    <n v="18"/>
    <n v="18892"/>
    <n v="340056"/>
    <n v="340056"/>
  </r>
  <r>
    <n v="12594"/>
    <d v="2023-09-30T00:00:00"/>
    <x v="2"/>
    <x v="3"/>
    <x v="4"/>
    <n v="10"/>
    <n v="53176"/>
    <n v="531760"/>
    <n v="531760"/>
  </r>
  <r>
    <n v="12595"/>
    <d v="2023-06-10T00:00:00"/>
    <x v="3"/>
    <x v="1"/>
    <x v="2"/>
    <n v="2"/>
    <n v="52757"/>
    <n v="105514"/>
    <n v="105514"/>
  </r>
  <r>
    <n v="12596"/>
    <d v="2023-07-29T00:00:00"/>
    <x v="3"/>
    <x v="3"/>
    <x v="0"/>
    <n v="18"/>
    <n v="13418"/>
    <n v="241524"/>
    <n v="241524"/>
  </r>
  <r>
    <n v="12597"/>
    <d v="2023-09-05T00:00:00"/>
    <x v="6"/>
    <x v="3"/>
    <x v="4"/>
    <n v="13"/>
    <n v="28143"/>
    <n v="365859"/>
    <n v="365859"/>
  </r>
  <r>
    <n v="12598"/>
    <d v="2023-10-21T00:00:00"/>
    <x v="1"/>
    <x v="3"/>
    <x v="0"/>
    <n v="7"/>
    <n v="22266"/>
    <n v="155862"/>
    <n v="155862"/>
  </r>
  <r>
    <n v="12599"/>
    <d v="2023-04-08T00:00:00"/>
    <x v="0"/>
    <x v="0"/>
    <x v="4"/>
    <n v="1"/>
    <n v="7388"/>
    <n v="7388"/>
    <n v="7388"/>
  </r>
  <r>
    <n v="12600"/>
    <d v="2023-10-26T00:00:00"/>
    <x v="2"/>
    <x v="2"/>
    <x v="2"/>
    <n v="1"/>
    <n v="21699"/>
    <n v="21699"/>
    <n v="21699"/>
  </r>
  <r>
    <n v="12601"/>
    <d v="2023-11-09T00:00:00"/>
    <x v="6"/>
    <x v="1"/>
    <x v="4"/>
    <n v="15"/>
    <n v="9856"/>
    <n v="147840"/>
    <n v="147840"/>
  </r>
  <r>
    <n v="12602"/>
    <d v="2023-07-15T00:00:00"/>
    <x v="2"/>
    <x v="0"/>
    <x v="5"/>
    <n v="7"/>
    <n v="23582"/>
    <n v="165074"/>
    <n v="165074"/>
  </r>
  <r>
    <n v="12603"/>
    <d v="2023-02-14T00:00:00"/>
    <x v="0"/>
    <x v="1"/>
    <x v="1"/>
    <n v="18"/>
    <n v="36336"/>
    <n v="654048"/>
    <n v="654048"/>
  </r>
  <r>
    <n v="12604"/>
    <d v="2023-05-14T00:00:00"/>
    <x v="6"/>
    <x v="1"/>
    <x v="2"/>
    <n v="20"/>
    <n v="44470"/>
    <n v="889400"/>
    <n v="889400"/>
  </r>
  <r>
    <n v="12605"/>
    <d v="2023-02-27T00:00:00"/>
    <x v="2"/>
    <x v="3"/>
    <x v="0"/>
    <n v="6"/>
    <n v="48363"/>
    <n v="290178"/>
    <n v="290178"/>
  </r>
  <r>
    <n v="12606"/>
    <d v="2023-10-14T00:00:00"/>
    <x v="3"/>
    <x v="3"/>
    <x v="4"/>
    <n v="11"/>
    <n v="7626"/>
    <n v="83886"/>
    <n v="83886"/>
  </r>
  <r>
    <n v="12607"/>
    <d v="2023-03-13T00:00:00"/>
    <x v="0"/>
    <x v="1"/>
    <x v="5"/>
    <n v="9"/>
    <n v="49876"/>
    <n v="448884"/>
    <n v="448884"/>
  </r>
  <r>
    <n v="12608"/>
    <d v="2023-08-11T00:00:00"/>
    <x v="1"/>
    <x v="2"/>
    <x v="5"/>
    <n v="12"/>
    <n v="3869"/>
    <n v="46428"/>
    <n v="46428"/>
  </r>
  <r>
    <n v="12609"/>
    <d v="2023-01-06T00:00:00"/>
    <x v="3"/>
    <x v="3"/>
    <x v="1"/>
    <n v="17"/>
    <n v="43774"/>
    <n v="744158"/>
    <n v="744158"/>
  </r>
  <r>
    <n v="12610"/>
    <d v="2023-12-22T00:00:00"/>
    <x v="1"/>
    <x v="3"/>
    <x v="4"/>
    <n v="2"/>
    <n v="29580"/>
    <n v="59160"/>
    <n v="59160"/>
  </r>
  <r>
    <n v="12611"/>
    <d v="2023-06-30T00:00:00"/>
    <x v="5"/>
    <x v="3"/>
    <x v="5"/>
    <n v="16"/>
    <n v="51009"/>
    <n v="816144"/>
    <n v="816144"/>
  </r>
  <r>
    <n v="12612"/>
    <d v="2023-05-29T00:00:00"/>
    <x v="5"/>
    <x v="1"/>
    <x v="5"/>
    <n v="3"/>
    <n v="6586"/>
    <n v="19758"/>
    <n v="19758"/>
  </r>
  <r>
    <n v="12613"/>
    <d v="2023-12-14T00:00:00"/>
    <x v="2"/>
    <x v="2"/>
    <x v="4"/>
    <n v="9"/>
    <n v="17157"/>
    <n v="154413"/>
    <n v="154413"/>
  </r>
  <r>
    <n v="12614"/>
    <d v="2023-08-06T00:00:00"/>
    <x v="1"/>
    <x v="0"/>
    <x v="5"/>
    <n v="17"/>
    <n v="57468"/>
    <n v="976956"/>
    <n v="976956"/>
  </r>
  <r>
    <n v="12615"/>
    <d v="2023-06-24T00:00:00"/>
    <x v="0"/>
    <x v="1"/>
    <x v="1"/>
    <n v="6"/>
    <n v="40775"/>
    <n v="244650"/>
    <n v="244650"/>
  </r>
  <r>
    <n v="12616"/>
    <d v="2023-05-09T00:00:00"/>
    <x v="1"/>
    <x v="2"/>
    <x v="1"/>
    <n v="6"/>
    <n v="44813"/>
    <n v="268878"/>
    <n v="268878"/>
  </r>
  <r>
    <n v="12617"/>
    <d v="2023-11-21T00:00:00"/>
    <x v="1"/>
    <x v="1"/>
    <x v="4"/>
    <n v="10"/>
    <n v="12103"/>
    <n v="121030"/>
    <n v="121030"/>
  </r>
  <r>
    <n v="12618"/>
    <d v="2023-06-15T00:00:00"/>
    <x v="6"/>
    <x v="3"/>
    <x v="2"/>
    <n v="1"/>
    <n v="4983"/>
    <n v="4983"/>
    <n v="4983"/>
  </r>
  <r>
    <n v="12619"/>
    <d v="2023-12-26T00:00:00"/>
    <x v="6"/>
    <x v="1"/>
    <x v="1"/>
    <n v="6"/>
    <n v="31043"/>
    <n v="186258"/>
    <n v="186258"/>
  </r>
  <r>
    <n v="12620"/>
    <d v="2023-03-26T00:00:00"/>
    <x v="0"/>
    <x v="2"/>
    <x v="1"/>
    <n v="4"/>
    <n v="34768"/>
    <n v="139072"/>
    <n v="139072"/>
  </r>
  <r>
    <n v="12621"/>
    <d v="2023-06-30T00:00:00"/>
    <x v="2"/>
    <x v="2"/>
    <x v="2"/>
    <n v="16"/>
    <n v="24866"/>
    <n v="397856"/>
    <n v="397856"/>
  </r>
  <r>
    <n v="12622"/>
    <d v="2023-10-23T00:00:00"/>
    <x v="6"/>
    <x v="0"/>
    <x v="0"/>
    <n v="15"/>
    <n v="54573"/>
    <n v="818595"/>
    <n v="818595"/>
  </r>
  <r>
    <n v="12623"/>
    <d v="2023-08-23T00:00:00"/>
    <x v="6"/>
    <x v="2"/>
    <x v="5"/>
    <n v="4"/>
    <n v="598"/>
    <n v="2392"/>
    <n v="2392"/>
  </r>
  <r>
    <n v="12624"/>
    <d v="2023-03-26T00:00:00"/>
    <x v="2"/>
    <x v="3"/>
    <x v="1"/>
    <n v="10"/>
    <n v="18348"/>
    <n v="183480"/>
    <n v="183480"/>
  </r>
  <r>
    <n v="12625"/>
    <d v="2023-03-16T00:00:00"/>
    <x v="0"/>
    <x v="0"/>
    <x v="4"/>
    <n v="17"/>
    <n v="12401"/>
    <n v="210817"/>
    <n v="210817"/>
  </r>
  <r>
    <n v="12626"/>
    <d v="2023-01-15T00:00:00"/>
    <x v="5"/>
    <x v="0"/>
    <x v="0"/>
    <n v="16"/>
    <n v="25826"/>
    <n v="413216"/>
    <n v="413216"/>
  </r>
  <r>
    <n v="12627"/>
    <d v="2023-04-12T00:00:00"/>
    <x v="3"/>
    <x v="3"/>
    <x v="2"/>
    <n v="4"/>
    <n v="18943"/>
    <n v="75772"/>
    <n v="75772"/>
  </r>
  <r>
    <n v="12628"/>
    <d v="2023-07-20T00:00:00"/>
    <x v="3"/>
    <x v="2"/>
    <x v="3"/>
    <n v="19"/>
    <n v="17868"/>
    <n v="339492"/>
    <n v="339492"/>
  </r>
  <r>
    <n v="12629"/>
    <d v="2023-10-31T00:00:00"/>
    <x v="5"/>
    <x v="2"/>
    <x v="2"/>
    <n v="19"/>
    <n v="7854"/>
    <n v="149226"/>
    <n v="149226"/>
  </r>
  <r>
    <n v="12630"/>
    <d v="2023-04-13T00:00:00"/>
    <x v="2"/>
    <x v="1"/>
    <x v="1"/>
    <n v="19"/>
    <n v="11290"/>
    <n v="214510"/>
    <n v="214510"/>
  </r>
  <r>
    <n v="12631"/>
    <d v="2023-03-13T00:00:00"/>
    <x v="1"/>
    <x v="0"/>
    <x v="5"/>
    <n v="20"/>
    <n v="44535"/>
    <n v="890700"/>
    <n v="890700"/>
  </r>
  <r>
    <n v="12632"/>
    <d v="2023-12-02T00:00:00"/>
    <x v="6"/>
    <x v="1"/>
    <x v="0"/>
    <n v="19"/>
    <n v="8456"/>
    <n v="160664"/>
    <n v="160664"/>
  </r>
  <r>
    <n v="12633"/>
    <d v="2023-09-27T00:00:00"/>
    <x v="5"/>
    <x v="3"/>
    <x v="2"/>
    <n v="1"/>
    <n v="5110"/>
    <n v="5110"/>
    <n v="5110"/>
  </r>
  <r>
    <n v="12634"/>
    <d v="2023-03-27T00:00:00"/>
    <x v="5"/>
    <x v="2"/>
    <x v="0"/>
    <n v="17"/>
    <n v="31414"/>
    <n v="534038"/>
    <n v="534038"/>
  </r>
  <r>
    <n v="12635"/>
    <d v="2023-03-06T00:00:00"/>
    <x v="6"/>
    <x v="3"/>
    <x v="1"/>
    <n v="5"/>
    <n v="25931"/>
    <n v="129655"/>
    <n v="129655"/>
  </r>
  <r>
    <n v="12636"/>
    <d v="2023-02-17T00:00:00"/>
    <x v="0"/>
    <x v="2"/>
    <x v="2"/>
    <n v="7"/>
    <n v="1403"/>
    <n v="9821"/>
    <n v="9821"/>
  </r>
  <r>
    <n v="12637"/>
    <d v="2023-03-01T00:00:00"/>
    <x v="5"/>
    <x v="0"/>
    <x v="3"/>
    <n v="13"/>
    <n v="28180"/>
    <n v="366340"/>
    <n v="366340"/>
  </r>
  <r>
    <n v="12638"/>
    <d v="2023-01-13T00:00:00"/>
    <x v="5"/>
    <x v="2"/>
    <x v="3"/>
    <n v="3"/>
    <n v="49270"/>
    <n v="147810"/>
    <n v="147810"/>
  </r>
  <r>
    <n v="12639"/>
    <d v="2023-06-05T00:00:00"/>
    <x v="4"/>
    <x v="0"/>
    <x v="0"/>
    <n v="2"/>
    <n v="2127"/>
    <n v="4254"/>
    <n v="4254"/>
  </r>
  <r>
    <n v="12640"/>
    <d v="2023-05-29T00:00:00"/>
    <x v="3"/>
    <x v="3"/>
    <x v="4"/>
    <n v="12"/>
    <n v="8658"/>
    <n v="103896"/>
    <n v="103896"/>
  </r>
  <r>
    <n v="12641"/>
    <d v="2023-11-03T00:00:00"/>
    <x v="2"/>
    <x v="2"/>
    <x v="1"/>
    <n v="3"/>
    <n v="19819"/>
    <n v="59457"/>
    <n v="59457"/>
  </r>
  <r>
    <n v="12642"/>
    <d v="2023-03-05T00:00:00"/>
    <x v="4"/>
    <x v="2"/>
    <x v="4"/>
    <n v="7"/>
    <n v="22774"/>
    <n v="159418"/>
    <n v="159418"/>
  </r>
  <r>
    <n v="12643"/>
    <d v="2023-06-30T00:00:00"/>
    <x v="6"/>
    <x v="3"/>
    <x v="4"/>
    <n v="10"/>
    <n v="13821"/>
    <n v="138210"/>
    <n v="138210"/>
  </r>
  <r>
    <n v="12644"/>
    <d v="2023-06-24T00:00:00"/>
    <x v="5"/>
    <x v="0"/>
    <x v="4"/>
    <n v="10"/>
    <n v="9620"/>
    <n v="96200"/>
    <n v="96200"/>
  </r>
  <r>
    <n v="12645"/>
    <d v="2023-12-10T00:00:00"/>
    <x v="4"/>
    <x v="0"/>
    <x v="5"/>
    <n v="10"/>
    <n v="22557"/>
    <n v="225570"/>
    <n v="225570"/>
  </r>
  <r>
    <n v="12646"/>
    <d v="2023-09-11T00:00:00"/>
    <x v="6"/>
    <x v="0"/>
    <x v="1"/>
    <n v="17"/>
    <n v="13937"/>
    <n v="236929"/>
    <n v="236929"/>
  </r>
  <r>
    <n v="12647"/>
    <d v="2023-12-23T00:00:00"/>
    <x v="1"/>
    <x v="2"/>
    <x v="0"/>
    <n v="8"/>
    <n v="1551"/>
    <n v="12408"/>
    <n v="12408"/>
  </r>
  <r>
    <n v="12648"/>
    <d v="2023-07-25T00:00:00"/>
    <x v="2"/>
    <x v="2"/>
    <x v="2"/>
    <n v="8"/>
    <n v="6466"/>
    <n v="51728"/>
    <n v="51728"/>
  </r>
  <r>
    <n v="12649"/>
    <d v="2023-04-28T00:00:00"/>
    <x v="0"/>
    <x v="0"/>
    <x v="5"/>
    <n v="11"/>
    <n v="50677"/>
    <n v="557447"/>
    <n v="557447"/>
  </r>
  <r>
    <n v="12650"/>
    <d v="2023-05-31T00:00:00"/>
    <x v="3"/>
    <x v="3"/>
    <x v="5"/>
    <n v="2"/>
    <n v="18071"/>
    <n v="36142"/>
    <n v="36142"/>
  </r>
  <r>
    <n v="12651"/>
    <d v="2023-03-05T00:00:00"/>
    <x v="1"/>
    <x v="2"/>
    <x v="5"/>
    <n v="18"/>
    <n v="12491"/>
    <n v="224838"/>
    <n v="224838"/>
  </r>
  <r>
    <n v="12652"/>
    <d v="2023-09-10T00:00:00"/>
    <x v="4"/>
    <x v="2"/>
    <x v="5"/>
    <n v="4"/>
    <n v="59596"/>
    <n v="238384"/>
    <n v="238384"/>
  </r>
  <r>
    <n v="12653"/>
    <d v="2023-09-19T00:00:00"/>
    <x v="6"/>
    <x v="1"/>
    <x v="3"/>
    <n v="14"/>
    <n v="9088"/>
    <n v="127232"/>
    <n v="127232"/>
  </r>
  <r>
    <n v="12654"/>
    <d v="2023-07-16T00:00:00"/>
    <x v="4"/>
    <x v="2"/>
    <x v="0"/>
    <n v="3"/>
    <n v="25095"/>
    <n v="75285"/>
    <n v="75285"/>
  </r>
  <r>
    <n v="12655"/>
    <d v="2023-07-28T00:00:00"/>
    <x v="0"/>
    <x v="2"/>
    <x v="3"/>
    <n v="12"/>
    <n v="15364"/>
    <n v="184368"/>
    <n v="184368"/>
  </r>
  <r>
    <n v="12656"/>
    <d v="2023-10-08T00:00:00"/>
    <x v="2"/>
    <x v="3"/>
    <x v="2"/>
    <n v="1"/>
    <n v="45813"/>
    <n v="45813"/>
    <n v="45813"/>
  </r>
  <r>
    <n v="12657"/>
    <d v="2023-10-27T00:00:00"/>
    <x v="5"/>
    <x v="3"/>
    <x v="4"/>
    <n v="17"/>
    <n v="55383"/>
    <n v="941511"/>
    <n v="941511"/>
  </r>
  <r>
    <n v="12658"/>
    <d v="2023-01-13T00:00:00"/>
    <x v="0"/>
    <x v="1"/>
    <x v="3"/>
    <n v="5"/>
    <n v="17675"/>
    <n v="88375"/>
    <n v="88375"/>
  </r>
  <r>
    <n v="12659"/>
    <d v="2023-08-10T00:00:00"/>
    <x v="1"/>
    <x v="2"/>
    <x v="0"/>
    <n v="9"/>
    <n v="7381"/>
    <n v="66429"/>
    <n v="66429"/>
  </r>
  <r>
    <n v="12660"/>
    <d v="2023-06-27T00:00:00"/>
    <x v="5"/>
    <x v="0"/>
    <x v="1"/>
    <n v="4"/>
    <n v="32212"/>
    <n v="128848"/>
    <n v="128848"/>
  </r>
  <r>
    <n v="12661"/>
    <d v="2023-11-24T00:00:00"/>
    <x v="5"/>
    <x v="1"/>
    <x v="4"/>
    <n v="5"/>
    <n v="45699"/>
    <n v="228495"/>
    <n v="228495"/>
  </r>
  <r>
    <n v="12662"/>
    <d v="2023-07-31T00:00:00"/>
    <x v="5"/>
    <x v="2"/>
    <x v="0"/>
    <n v="14"/>
    <n v="12877"/>
    <n v="180278"/>
    <n v="180278"/>
  </r>
  <r>
    <n v="12663"/>
    <d v="2023-04-02T00:00:00"/>
    <x v="3"/>
    <x v="0"/>
    <x v="5"/>
    <n v="4"/>
    <n v="12060"/>
    <n v="48240"/>
    <n v="48240"/>
  </r>
  <r>
    <n v="12664"/>
    <d v="2023-09-05T00:00:00"/>
    <x v="2"/>
    <x v="2"/>
    <x v="0"/>
    <n v="1"/>
    <n v="57465"/>
    <n v="57465"/>
    <n v="57465"/>
  </r>
  <r>
    <n v="12665"/>
    <d v="2023-05-19T00:00:00"/>
    <x v="5"/>
    <x v="1"/>
    <x v="4"/>
    <n v="16"/>
    <n v="48916"/>
    <n v="782656"/>
    <n v="782656"/>
  </r>
  <r>
    <n v="12666"/>
    <d v="2023-04-29T00:00:00"/>
    <x v="5"/>
    <x v="3"/>
    <x v="5"/>
    <n v="13"/>
    <n v="53244"/>
    <n v="692172"/>
    <n v="692172"/>
  </r>
  <r>
    <n v="12667"/>
    <d v="2023-03-04T00:00:00"/>
    <x v="1"/>
    <x v="3"/>
    <x v="4"/>
    <n v="10"/>
    <n v="5265"/>
    <n v="52650"/>
    <n v="52650"/>
  </r>
  <r>
    <n v="12668"/>
    <d v="2023-02-10T00:00:00"/>
    <x v="3"/>
    <x v="0"/>
    <x v="5"/>
    <n v="1"/>
    <n v="52968"/>
    <n v="52968"/>
    <n v="52968"/>
  </r>
  <r>
    <n v="12669"/>
    <d v="2023-08-19T00:00:00"/>
    <x v="1"/>
    <x v="1"/>
    <x v="2"/>
    <n v="3"/>
    <n v="54416"/>
    <n v="163248"/>
    <n v="163248"/>
  </r>
  <r>
    <n v="12670"/>
    <d v="2023-07-07T00:00:00"/>
    <x v="6"/>
    <x v="1"/>
    <x v="4"/>
    <n v="12"/>
    <n v="9933"/>
    <n v="119196"/>
    <n v="119196"/>
  </r>
  <r>
    <n v="12671"/>
    <d v="2023-11-13T00:00:00"/>
    <x v="6"/>
    <x v="2"/>
    <x v="1"/>
    <n v="18"/>
    <n v="46894"/>
    <n v="844092"/>
    <n v="844092"/>
  </r>
  <r>
    <n v="12672"/>
    <d v="2023-03-07T00:00:00"/>
    <x v="3"/>
    <x v="2"/>
    <x v="2"/>
    <n v="4"/>
    <n v="53222"/>
    <n v="212888"/>
    <n v="212888"/>
  </r>
  <r>
    <n v="12673"/>
    <d v="2023-04-02T00:00:00"/>
    <x v="5"/>
    <x v="3"/>
    <x v="3"/>
    <n v="18"/>
    <n v="21563"/>
    <n v="388134"/>
    <n v="388134"/>
  </r>
  <r>
    <n v="12674"/>
    <d v="2023-10-15T00:00:00"/>
    <x v="3"/>
    <x v="1"/>
    <x v="1"/>
    <n v="8"/>
    <n v="53993"/>
    <n v="431944"/>
    <n v="431944"/>
  </r>
  <r>
    <n v="12675"/>
    <d v="2023-08-10T00:00:00"/>
    <x v="4"/>
    <x v="3"/>
    <x v="1"/>
    <n v="9"/>
    <n v="4014"/>
    <n v="36126"/>
    <n v="36126"/>
  </r>
  <r>
    <n v="12676"/>
    <d v="2023-01-01T00:00:00"/>
    <x v="0"/>
    <x v="2"/>
    <x v="3"/>
    <n v="1"/>
    <n v="41550"/>
    <n v="41550"/>
    <n v="41550"/>
  </r>
  <r>
    <n v="12677"/>
    <d v="2023-04-12T00:00:00"/>
    <x v="0"/>
    <x v="1"/>
    <x v="2"/>
    <n v="11"/>
    <n v="4504"/>
    <n v="49544"/>
    <n v="49544"/>
  </r>
  <r>
    <n v="12678"/>
    <d v="2023-09-11T00:00:00"/>
    <x v="1"/>
    <x v="0"/>
    <x v="1"/>
    <n v="13"/>
    <n v="45129"/>
    <n v="586677"/>
    <n v="586677"/>
  </r>
  <r>
    <n v="12679"/>
    <d v="2023-12-15T00:00:00"/>
    <x v="6"/>
    <x v="0"/>
    <x v="4"/>
    <n v="10"/>
    <n v="53144"/>
    <n v="531440"/>
    <n v="531440"/>
  </r>
  <r>
    <n v="12680"/>
    <d v="2023-01-27T00:00:00"/>
    <x v="4"/>
    <x v="0"/>
    <x v="2"/>
    <n v="7"/>
    <n v="22888"/>
    <n v="160216"/>
    <n v="160216"/>
  </r>
  <r>
    <n v="12681"/>
    <d v="2023-07-24T00:00:00"/>
    <x v="1"/>
    <x v="0"/>
    <x v="2"/>
    <n v="7"/>
    <n v="20192"/>
    <n v="141344"/>
    <n v="141344"/>
  </r>
  <r>
    <n v="12682"/>
    <d v="2023-12-04T00:00:00"/>
    <x v="5"/>
    <x v="1"/>
    <x v="4"/>
    <n v="14"/>
    <n v="37249"/>
    <n v="521486"/>
    <n v="521486"/>
  </r>
  <r>
    <n v="12683"/>
    <d v="2023-01-10T00:00:00"/>
    <x v="6"/>
    <x v="3"/>
    <x v="4"/>
    <n v="1"/>
    <n v="33514"/>
    <n v="33514"/>
    <n v="33514"/>
  </r>
  <r>
    <n v="12684"/>
    <d v="2023-02-10T00:00:00"/>
    <x v="6"/>
    <x v="1"/>
    <x v="5"/>
    <n v="4"/>
    <n v="36889"/>
    <n v="147556"/>
    <n v="147556"/>
  </r>
  <r>
    <n v="12685"/>
    <d v="2023-08-02T00:00:00"/>
    <x v="3"/>
    <x v="3"/>
    <x v="5"/>
    <n v="5"/>
    <n v="52123"/>
    <n v="260615"/>
    <n v="260615"/>
  </r>
  <r>
    <n v="12686"/>
    <d v="2023-05-09T00:00:00"/>
    <x v="4"/>
    <x v="2"/>
    <x v="2"/>
    <n v="13"/>
    <n v="26550"/>
    <n v="345150"/>
    <n v="345150"/>
  </r>
  <r>
    <n v="12687"/>
    <d v="2023-03-07T00:00:00"/>
    <x v="0"/>
    <x v="3"/>
    <x v="2"/>
    <n v="19"/>
    <n v="43139"/>
    <n v="819641"/>
    <n v="819641"/>
  </r>
  <r>
    <n v="12688"/>
    <d v="2023-08-30T00:00:00"/>
    <x v="1"/>
    <x v="3"/>
    <x v="2"/>
    <n v="3"/>
    <n v="23473"/>
    <n v="70419"/>
    <n v="70419"/>
  </r>
  <r>
    <n v="12689"/>
    <d v="2023-07-04T00:00:00"/>
    <x v="4"/>
    <x v="3"/>
    <x v="5"/>
    <n v="6"/>
    <n v="18903"/>
    <n v="113418"/>
    <n v="113418"/>
  </r>
  <r>
    <n v="12690"/>
    <d v="2023-08-14T00:00:00"/>
    <x v="1"/>
    <x v="3"/>
    <x v="2"/>
    <n v="12"/>
    <n v="40914"/>
    <n v="490968"/>
    <n v="490968"/>
  </r>
  <r>
    <n v="12691"/>
    <d v="2023-05-04T00:00:00"/>
    <x v="2"/>
    <x v="3"/>
    <x v="4"/>
    <n v="13"/>
    <n v="39851"/>
    <n v="518063"/>
    <n v="518063"/>
  </r>
  <r>
    <n v="12692"/>
    <d v="2023-12-06T00:00:00"/>
    <x v="6"/>
    <x v="3"/>
    <x v="3"/>
    <n v="8"/>
    <n v="32473"/>
    <n v="259784"/>
    <n v="259784"/>
  </r>
  <r>
    <n v="12693"/>
    <d v="2023-11-14T00:00:00"/>
    <x v="5"/>
    <x v="0"/>
    <x v="3"/>
    <n v="5"/>
    <n v="27838"/>
    <n v="139190"/>
    <n v="139190"/>
  </r>
  <r>
    <n v="12694"/>
    <d v="2023-11-04T00:00:00"/>
    <x v="2"/>
    <x v="3"/>
    <x v="2"/>
    <n v="1"/>
    <n v="19022"/>
    <n v="19022"/>
    <n v="19022"/>
  </r>
  <r>
    <n v="12695"/>
    <d v="2023-03-03T00:00:00"/>
    <x v="1"/>
    <x v="2"/>
    <x v="5"/>
    <n v="17"/>
    <n v="11767"/>
    <n v="200039"/>
    <n v="200039"/>
  </r>
  <r>
    <n v="12696"/>
    <d v="2023-08-16T00:00:00"/>
    <x v="5"/>
    <x v="3"/>
    <x v="4"/>
    <n v="8"/>
    <n v="50902"/>
    <n v="407216"/>
    <n v="407216"/>
  </r>
  <r>
    <n v="12697"/>
    <d v="2023-03-24T00:00:00"/>
    <x v="1"/>
    <x v="2"/>
    <x v="0"/>
    <n v="6"/>
    <n v="11421"/>
    <n v="68526"/>
    <n v="68526"/>
  </r>
  <r>
    <n v="12698"/>
    <d v="2023-04-29T00:00:00"/>
    <x v="4"/>
    <x v="2"/>
    <x v="4"/>
    <n v="9"/>
    <n v="59353"/>
    <n v="534177"/>
    <n v="534177"/>
  </r>
  <r>
    <n v="12699"/>
    <d v="2023-02-23T00:00:00"/>
    <x v="3"/>
    <x v="2"/>
    <x v="4"/>
    <n v="20"/>
    <n v="2088"/>
    <n v="41760"/>
    <n v="41760"/>
  </r>
  <r>
    <n v="12700"/>
    <d v="2023-05-04T00:00:00"/>
    <x v="2"/>
    <x v="3"/>
    <x v="4"/>
    <n v="1"/>
    <n v="23012"/>
    <n v="23012"/>
    <n v="23012"/>
  </r>
  <r>
    <n v="12701"/>
    <d v="2023-02-27T00:00:00"/>
    <x v="1"/>
    <x v="0"/>
    <x v="5"/>
    <n v="15"/>
    <n v="25452"/>
    <n v="381780"/>
    <n v="381780"/>
  </r>
  <r>
    <n v="12702"/>
    <d v="2023-08-20T00:00:00"/>
    <x v="1"/>
    <x v="2"/>
    <x v="1"/>
    <n v="3"/>
    <n v="42817"/>
    <n v="128451"/>
    <n v="128451"/>
  </r>
  <r>
    <n v="12703"/>
    <d v="2023-04-16T00:00:00"/>
    <x v="6"/>
    <x v="3"/>
    <x v="1"/>
    <n v="9"/>
    <n v="42462"/>
    <n v="382158"/>
    <n v="382158"/>
  </r>
  <r>
    <n v="12704"/>
    <d v="2023-05-06T00:00:00"/>
    <x v="1"/>
    <x v="2"/>
    <x v="4"/>
    <n v="10"/>
    <n v="21122"/>
    <n v="211220"/>
    <n v="211220"/>
  </r>
  <r>
    <n v="12705"/>
    <d v="2023-02-23T00:00:00"/>
    <x v="6"/>
    <x v="0"/>
    <x v="3"/>
    <n v="10"/>
    <n v="8555"/>
    <n v="85550"/>
    <n v="85550"/>
  </r>
  <r>
    <n v="12706"/>
    <d v="2023-09-27T00:00:00"/>
    <x v="5"/>
    <x v="1"/>
    <x v="5"/>
    <n v="1"/>
    <n v="50870"/>
    <n v="50870"/>
    <n v="50870"/>
  </r>
  <r>
    <n v="12707"/>
    <d v="2023-05-22T00:00:00"/>
    <x v="3"/>
    <x v="3"/>
    <x v="0"/>
    <n v="14"/>
    <n v="27332"/>
    <n v="382648"/>
    <n v="382648"/>
  </r>
  <r>
    <n v="12708"/>
    <d v="2023-09-05T00:00:00"/>
    <x v="3"/>
    <x v="1"/>
    <x v="4"/>
    <n v="12"/>
    <n v="46564"/>
    <n v="558768"/>
    <n v="558768"/>
  </r>
  <r>
    <n v="12709"/>
    <d v="2023-01-09T00:00:00"/>
    <x v="5"/>
    <x v="0"/>
    <x v="2"/>
    <n v="19"/>
    <n v="45470"/>
    <n v="863930"/>
    <n v="863930"/>
  </r>
  <r>
    <n v="12710"/>
    <d v="2023-11-13T00:00:00"/>
    <x v="5"/>
    <x v="2"/>
    <x v="0"/>
    <n v="18"/>
    <n v="1045"/>
    <n v="18810"/>
    <n v="18810"/>
  </r>
  <r>
    <n v="12711"/>
    <d v="2023-11-18T00:00:00"/>
    <x v="2"/>
    <x v="3"/>
    <x v="5"/>
    <n v="11"/>
    <n v="36478"/>
    <n v="401258"/>
    <n v="401258"/>
  </r>
  <r>
    <n v="12712"/>
    <d v="2023-07-07T00:00:00"/>
    <x v="5"/>
    <x v="0"/>
    <x v="5"/>
    <n v="10"/>
    <n v="59127"/>
    <n v="591270"/>
    <n v="591270"/>
  </r>
  <r>
    <n v="12713"/>
    <d v="2023-03-26T00:00:00"/>
    <x v="4"/>
    <x v="1"/>
    <x v="0"/>
    <n v="2"/>
    <n v="15296"/>
    <n v="30592"/>
    <n v="30592"/>
  </r>
  <r>
    <n v="12714"/>
    <d v="2023-11-05T00:00:00"/>
    <x v="2"/>
    <x v="3"/>
    <x v="3"/>
    <n v="12"/>
    <n v="5505"/>
    <n v="66060"/>
    <n v="66060"/>
  </r>
  <r>
    <n v="12715"/>
    <d v="2023-11-12T00:00:00"/>
    <x v="5"/>
    <x v="0"/>
    <x v="3"/>
    <n v="20"/>
    <n v="12120"/>
    <n v="242400"/>
    <n v="242400"/>
  </r>
  <r>
    <n v="12716"/>
    <d v="2023-07-20T00:00:00"/>
    <x v="6"/>
    <x v="2"/>
    <x v="2"/>
    <n v="3"/>
    <n v="45471"/>
    <n v="136413"/>
    <n v="136413"/>
  </r>
  <r>
    <n v="12717"/>
    <d v="2023-04-12T00:00:00"/>
    <x v="3"/>
    <x v="1"/>
    <x v="1"/>
    <n v="10"/>
    <n v="9046"/>
    <n v="90460"/>
    <n v="90460"/>
  </r>
  <r>
    <n v="12718"/>
    <d v="2023-03-30T00:00:00"/>
    <x v="3"/>
    <x v="1"/>
    <x v="3"/>
    <n v="7"/>
    <n v="9060"/>
    <n v="63420"/>
    <n v="63420"/>
  </r>
  <r>
    <n v="12719"/>
    <d v="2023-09-14T00:00:00"/>
    <x v="2"/>
    <x v="2"/>
    <x v="0"/>
    <n v="10"/>
    <n v="50537"/>
    <n v="505370"/>
    <n v="505370"/>
  </r>
  <r>
    <n v="12720"/>
    <d v="2023-08-25T00:00:00"/>
    <x v="0"/>
    <x v="1"/>
    <x v="2"/>
    <n v="10"/>
    <n v="57982"/>
    <n v="579820"/>
    <n v="579820"/>
  </r>
  <r>
    <n v="12721"/>
    <d v="2023-11-08T00:00:00"/>
    <x v="5"/>
    <x v="3"/>
    <x v="5"/>
    <n v="18"/>
    <n v="23192"/>
    <n v="417456"/>
    <n v="417456"/>
  </r>
  <r>
    <n v="12722"/>
    <d v="2023-02-13T00:00:00"/>
    <x v="5"/>
    <x v="2"/>
    <x v="1"/>
    <n v="7"/>
    <n v="18344"/>
    <n v="128408"/>
    <n v="128408"/>
  </r>
  <r>
    <n v="12723"/>
    <d v="2023-06-07T00:00:00"/>
    <x v="5"/>
    <x v="0"/>
    <x v="0"/>
    <n v="13"/>
    <n v="8839"/>
    <n v="114907"/>
    <n v="114907"/>
  </r>
  <r>
    <n v="12724"/>
    <d v="2023-02-23T00:00:00"/>
    <x v="1"/>
    <x v="2"/>
    <x v="0"/>
    <n v="12"/>
    <n v="38720"/>
    <n v="464640"/>
    <n v="464640"/>
  </r>
  <r>
    <n v="12725"/>
    <d v="2023-02-23T00:00:00"/>
    <x v="0"/>
    <x v="0"/>
    <x v="2"/>
    <n v="2"/>
    <n v="21955"/>
    <n v="43910"/>
    <n v="43910"/>
  </r>
  <r>
    <n v="12726"/>
    <d v="2023-07-08T00:00:00"/>
    <x v="6"/>
    <x v="2"/>
    <x v="1"/>
    <n v="17"/>
    <n v="12770"/>
    <n v="217090"/>
    <n v="217090"/>
  </r>
  <r>
    <n v="12727"/>
    <d v="2023-05-24T00:00:00"/>
    <x v="5"/>
    <x v="2"/>
    <x v="3"/>
    <n v="7"/>
    <n v="52773"/>
    <n v="369411"/>
    <n v="369411"/>
  </r>
  <r>
    <n v="12728"/>
    <d v="2023-06-13T00:00:00"/>
    <x v="1"/>
    <x v="2"/>
    <x v="1"/>
    <n v="2"/>
    <n v="22392"/>
    <n v="44784"/>
    <n v="44784"/>
  </r>
  <r>
    <n v="12729"/>
    <d v="2023-11-27T00:00:00"/>
    <x v="4"/>
    <x v="1"/>
    <x v="4"/>
    <n v="20"/>
    <n v="13425"/>
    <n v="268500"/>
    <n v="268500"/>
  </r>
  <r>
    <n v="12730"/>
    <d v="2023-02-20T00:00:00"/>
    <x v="0"/>
    <x v="2"/>
    <x v="4"/>
    <n v="3"/>
    <n v="37310"/>
    <n v="111930"/>
    <n v="111930"/>
  </r>
  <r>
    <n v="12731"/>
    <d v="2023-09-03T00:00:00"/>
    <x v="3"/>
    <x v="2"/>
    <x v="0"/>
    <n v="4"/>
    <n v="46558"/>
    <n v="186232"/>
    <n v="186232"/>
  </r>
  <r>
    <n v="12732"/>
    <d v="2023-09-01T00:00:00"/>
    <x v="5"/>
    <x v="0"/>
    <x v="4"/>
    <n v="19"/>
    <n v="59240"/>
    <n v="1125560"/>
    <n v="1125560"/>
  </r>
  <r>
    <n v="12733"/>
    <d v="2023-01-06T00:00:00"/>
    <x v="1"/>
    <x v="2"/>
    <x v="5"/>
    <n v="9"/>
    <n v="5611"/>
    <n v="50499"/>
    <n v="50499"/>
  </r>
  <r>
    <n v="12734"/>
    <d v="2023-07-20T00:00:00"/>
    <x v="1"/>
    <x v="3"/>
    <x v="3"/>
    <n v="11"/>
    <n v="41493"/>
    <n v="456423"/>
    <n v="456423"/>
  </r>
  <r>
    <n v="12735"/>
    <d v="2023-09-19T00:00:00"/>
    <x v="2"/>
    <x v="2"/>
    <x v="2"/>
    <n v="8"/>
    <n v="11013"/>
    <n v="88104"/>
    <n v="88104"/>
  </r>
  <r>
    <n v="12736"/>
    <d v="2023-06-03T00:00:00"/>
    <x v="0"/>
    <x v="0"/>
    <x v="5"/>
    <n v="7"/>
    <n v="43806"/>
    <n v="306642"/>
    <n v="306642"/>
  </r>
  <r>
    <n v="12737"/>
    <d v="2023-09-07T00:00:00"/>
    <x v="3"/>
    <x v="0"/>
    <x v="4"/>
    <n v="7"/>
    <n v="52070"/>
    <n v="364490"/>
    <n v="364490"/>
  </r>
  <r>
    <n v="12738"/>
    <d v="2023-04-22T00:00:00"/>
    <x v="1"/>
    <x v="3"/>
    <x v="0"/>
    <n v="7"/>
    <n v="10098"/>
    <n v="70686"/>
    <n v="70686"/>
  </r>
  <r>
    <n v="12739"/>
    <d v="2023-08-24T00:00:00"/>
    <x v="6"/>
    <x v="0"/>
    <x v="3"/>
    <n v="13"/>
    <n v="30387"/>
    <n v="395031"/>
    <n v="395031"/>
  </r>
  <r>
    <n v="12740"/>
    <d v="2023-02-15T00:00:00"/>
    <x v="6"/>
    <x v="3"/>
    <x v="5"/>
    <n v="16"/>
    <n v="24341"/>
    <n v="389456"/>
    <n v="389456"/>
  </r>
  <r>
    <n v="12741"/>
    <d v="2023-08-02T00:00:00"/>
    <x v="4"/>
    <x v="3"/>
    <x v="2"/>
    <n v="20"/>
    <n v="19225"/>
    <n v="384500"/>
    <n v="384500"/>
  </r>
  <r>
    <n v="12742"/>
    <d v="2023-09-01T00:00:00"/>
    <x v="4"/>
    <x v="2"/>
    <x v="5"/>
    <n v="7"/>
    <n v="55452"/>
    <n v="388164"/>
    <n v="388164"/>
  </r>
  <r>
    <n v="12743"/>
    <d v="2023-09-28T00:00:00"/>
    <x v="5"/>
    <x v="1"/>
    <x v="2"/>
    <n v="2"/>
    <n v="31089"/>
    <n v="62178"/>
    <n v="62178"/>
  </r>
  <r>
    <n v="12744"/>
    <d v="2023-02-17T00:00:00"/>
    <x v="3"/>
    <x v="3"/>
    <x v="5"/>
    <n v="4"/>
    <n v="51866"/>
    <n v="207464"/>
    <n v="207464"/>
  </r>
  <r>
    <n v="12745"/>
    <d v="2023-02-08T00:00:00"/>
    <x v="3"/>
    <x v="3"/>
    <x v="5"/>
    <n v="6"/>
    <n v="12825"/>
    <n v="76950"/>
    <n v="76950"/>
  </r>
  <r>
    <n v="12746"/>
    <d v="2023-03-09T00:00:00"/>
    <x v="6"/>
    <x v="0"/>
    <x v="0"/>
    <n v="20"/>
    <n v="4501"/>
    <n v="90020"/>
    <n v="90020"/>
  </r>
  <r>
    <n v="12747"/>
    <d v="2023-11-10T00:00:00"/>
    <x v="6"/>
    <x v="0"/>
    <x v="3"/>
    <n v="18"/>
    <n v="22034"/>
    <n v="396612"/>
    <n v="396612"/>
  </r>
  <r>
    <n v="12748"/>
    <d v="2023-07-22T00:00:00"/>
    <x v="6"/>
    <x v="1"/>
    <x v="4"/>
    <n v="9"/>
    <n v="34839"/>
    <n v="313551"/>
    <n v="313551"/>
  </r>
  <r>
    <n v="12749"/>
    <d v="2023-07-23T00:00:00"/>
    <x v="6"/>
    <x v="0"/>
    <x v="2"/>
    <n v="19"/>
    <n v="12023"/>
    <n v="228437"/>
    <n v="228437"/>
  </r>
  <r>
    <n v="12750"/>
    <d v="2023-06-29T00:00:00"/>
    <x v="1"/>
    <x v="1"/>
    <x v="5"/>
    <n v="5"/>
    <n v="43575"/>
    <n v="217875"/>
    <n v="217875"/>
  </r>
  <r>
    <n v="12751"/>
    <d v="2023-08-15T00:00:00"/>
    <x v="6"/>
    <x v="2"/>
    <x v="2"/>
    <n v="10"/>
    <n v="28451"/>
    <n v="284510"/>
    <n v="284510"/>
  </r>
  <r>
    <n v="12752"/>
    <d v="2023-02-10T00:00:00"/>
    <x v="2"/>
    <x v="2"/>
    <x v="3"/>
    <n v="8"/>
    <n v="30398"/>
    <n v="243184"/>
    <n v="243184"/>
  </r>
  <r>
    <n v="12753"/>
    <d v="2023-01-27T00:00:00"/>
    <x v="4"/>
    <x v="0"/>
    <x v="4"/>
    <n v="20"/>
    <n v="46734"/>
    <n v="934680"/>
    <n v="934680"/>
  </r>
  <r>
    <n v="12754"/>
    <d v="2023-03-21T00:00:00"/>
    <x v="0"/>
    <x v="3"/>
    <x v="1"/>
    <n v="4"/>
    <n v="55996"/>
    <n v="223984"/>
    <n v="223984"/>
  </r>
  <r>
    <n v="12755"/>
    <d v="2023-10-04T00:00:00"/>
    <x v="2"/>
    <x v="1"/>
    <x v="1"/>
    <n v="1"/>
    <n v="46225"/>
    <n v="46225"/>
    <n v="46225"/>
  </r>
  <r>
    <n v="12756"/>
    <d v="2023-04-03T00:00:00"/>
    <x v="3"/>
    <x v="1"/>
    <x v="5"/>
    <n v="14"/>
    <n v="46792"/>
    <n v="655088"/>
    <n v="655088"/>
  </r>
  <r>
    <n v="12757"/>
    <d v="2023-04-10T00:00:00"/>
    <x v="4"/>
    <x v="2"/>
    <x v="4"/>
    <n v="8"/>
    <n v="36626"/>
    <n v="293008"/>
    <n v="293008"/>
  </r>
  <r>
    <n v="12758"/>
    <d v="2023-11-20T00:00:00"/>
    <x v="5"/>
    <x v="3"/>
    <x v="3"/>
    <n v="18"/>
    <n v="26985"/>
    <n v="485730"/>
    <n v="485730"/>
  </r>
  <r>
    <n v="12759"/>
    <d v="2023-01-21T00:00:00"/>
    <x v="3"/>
    <x v="0"/>
    <x v="1"/>
    <n v="18"/>
    <n v="31264"/>
    <n v="562752"/>
    <n v="562752"/>
  </r>
  <r>
    <n v="12760"/>
    <d v="2023-11-09T00:00:00"/>
    <x v="1"/>
    <x v="2"/>
    <x v="1"/>
    <n v="5"/>
    <n v="22781"/>
    <n v="113905"/>
    <n v="113905"/>
  </r>
  <r>
    <n v="12761"/>
    <d v="2023-08-21T00:00:00"/>
    <x v="3"/>
    <x v="3"/>
    <x v="5"/>
    <n v="14"/>
    <n v="45266"/>
    <n v="633724"/>
    <n v="633724"/>
  </r>
  <r>
    <n v="12762"/>
    <d v="2023-09-22T00:00:00"/>
    <x v="3"/>
    <x v="3"/>
    <x v="1"/>
    <n v="15"/>
    <n v="32726"/>
    <n v="490890"/>
    <n v="490890"/>
  </r>
  <r>
    <n v="12763"/>
    <d v="2023-06-29T00:00:00"/>
    <x v="6"/>
    <x v="0"/>
    <x v="0"/>
    <n v="20"/>
    <n v="42018"/>
    <n v="840360"/>
    <n v="840360"/>
  </r>
  <r>
    <n v="12764"/>
    <d v="2023-03-23T00:00:00"/>
    <x v="5"/>
    <x v="2"/>
    <x v="0"/>
    <n v="6"/>
    <n v="23151"/>
    <n v="138906"/>
    <n v="138906"/>
  </r>
  <r>
    <n v="12765"/>
    <d v="2023-02-26T00:00:00"/>
    <x v="5"/>
    <x v="2"/>
    <x v="3"/>
    <n v="8"/>
    <n v="49029"/>
    <n v="392232"/>
    <n v="392232"/>
  </r>
  <r>
    <n v="12766"/>
    <d v="2023-05-07T00:00:00"/>
    <x v="2"/>
    <x v="3"/>
    <x v="0"/>
    <n v="4"/>
    <n v="54450"/>
    <n v="217800"/>
    <n v="217800"/>
  </r>
  <r>
    <n v="12767"/>
    <d v="2023-01-10T00:00:00"/>
    <x v="1"/>
    <x v="0"/>
    <x v="0"/>
    <n v="17"/>
    <n v="28344"/>
    <n v="481848"/>
    <n v="481848"/>
  </r>
  <r>
    <n v="12768"/>
    <d v="2023-12-18T00:00:00"/>
    <x v="1"/>
    <x v="2"/>
    <x v="4"/>
    <n v="20"/>
    <n v="38359"/>
    <n v="767180"/>
    <n v="767180"/>
  </r>
  <r>
    <n v="12769"/>
    <d v="2023-11-09T00:00:00"/>
    <x v="6"/>
    <x v="0"/>
    <x v="4"/>
    <n v="5"/>
    <n v="47542"/>
    <n v="237710"/>
    <n v="237710"/>
  </r>
  <r>
    <n v="12770"/>
    <d v="2023-08-02T00:00:00"/>
    <x v="3"/>
    <x v="1"/>
    <x v="0"/>
    <n v="6"/>
    <n v="53579"/>
    <n v="321474"/>
    <n v="321474"/>
  </r>
  <r>
    <n v="12771"/>
    <d v="2023-06-01T00:00:00"/>
    <x v="1"/>
    <x v="2"/>
    <x v="5"/>
    <n v="20"/>
    <n v="44808"/>
    <n v="896160"/>
    <n v="896160"/>
  </r>
  <r>
    <n v="12772"/>
    <d v="2023-05-22T00:00:00"/>
    <x v="1"/>
    <x v="3"/>
    <x v="5"/>
    <n v="12"/>
    <n v="18122"/>
    <n v="217464"/>
    <n v="217464"/>
  </r>
  <r>
    <n v="12773"/>
    <d v="2023-06-07T00:00:00"/>
    <x v="6"/>
    <x v="2"/>
    <x v="1"/>
    <n v="19"/>
    <n v="23572"/>
    <n v="447868"/>
    <n v="447868"/>
  </r>
  <r>
    <n v="12774"/>
    <d v="2023-06-23T00:00:00"/>
    <x v="3"/>
    <x v="3"/>
    <x v="3"/>
    <n v="8"/>
    <n v="2673"/>
    <n v="21384"/>
    <n v="21384"/>
  </r>
  <r>
    <n v="12775"/>
    <d v="2023-02-11T00:00:00"/>
    <x v="6"/>
    <x v="3"/>
    <x v="3"/>
    <n v="18"/>
    <n v="9429"/>
    <n v="169722"/>
    <n v="169722"/>
  </r>
  <r>
    <n v="12776"/>
    <d v="2023-08-09T00:00:00"/>
    <x v="5"/>
    <x v="0"/>
    <x v="2"/>
    <n v="10"/>
    <n v="49278"/>
    <n v="492780"/>
    <n v="492780"/>
  </r>
  <r>
    <n v="12777"/>
    <d v="2023-12-12T00:00:00"/>
    <x v="4"/>
    <x v="0"/>
    <x v="2"/>
    <n v="13"/>
    <n v="36189"/>
    <n v="470457"/>
    <n v="470457"/>
  </r>
  <r>
    <n v="12778"/>
    <d v="2023-11-10T00:00:00"/>
    <x v="0"/>
    <x v="3"/>
    <x v="0"/>
    <n v="12"/>
    <n v="7729"/>
    <n v="92748"/>
    <n v="92748"/>
  </r>
  <r>
    <n v="12779"/>
    <d v="2023-12-03T00:00:00"/>
    <x v="0"/>
    <x v="0"/>
    <x v="0"/>
    <n v="13"/>
    <n v="8643"/>
    <n v="112359"/>
    <n v="112359"/>
  </r>
  <r>
    <n v="12780"/>
    <d v="2023-07-27T00:00:00"/>
    <x v="5"/>
    <x v="3"/>
    <x v="2"/>
    <n v="16"/>
    <n v="25908"/>
    <n v="414528"/>
    <n v="414528"/>
  </r>
  <r>
    <n v="12781"/>
    <d v="2023-07-11T00:00:00"/>
    <x v="5"/>
    <x v="0"/>
    <x v="5"/>
    <n v="12"/>
    <n v="13915"/>
    <n v="166980"/>
    <n v="166980"/>
  </r>
  <r>
    <n v="12782"/>
    <d v="2023-12-08T00:00:00"/>
    <x v="1"/>
    <x v="1"/>
    <x v="1"/>
    <n v="12"/>
    <n v="3868"/>
    <n v="46416"/>
    <n v="46416"/>
  </r>
  <r>
    <n v="12783"/>
    <d v="2023-09-18T00:00:00"/>
    <x v="3"/>
    <x v="0"/>
    <x v="5"/>
    <n v="18"/>
    <n v="35462"/>
    <n v="638316"/>
    <n v="638316"/>
  </r>
  <r>
    <n v="12784"/>
    <d v="2023-03-30T00:00:00"/>
    <x v="1"/>
    <x v="0"/>
    <x v="3"/>
    <n v="8"/>
    <n v="58991"/>
    <n v="471928"/>
    <n v="471928"/>
  </r>
  <r>
    <n v="12785"/>
    <d v="2023-02-14T00:00:00"/>
    <x v="6"/>
    <x v="1"/>
    <x v="1"/>
    <n v="7"/>
    <n v="37748"/>
    <n v="264236"/>
    <n v="264236"/>
  </r>
  <r>
    <n v="12786"/>
    <d v="2023-04-28T00:00:00"/>
    <x v="5"/>
    <x v="0"/>
    <x v="0"/>
    <n v="11"/>
    <n v="57600"/>
    <n v="633600"/>
    <n v="633600"/>
  </r>
  <r>
    <n v="12787"/>
    <d v="2023-06-10T00:00:00"/>
    <x v="6"/>
    <x v="1"/>
    <x v="4"/>
    <n v="14"/>
    <n v="53657"/>
    <n v="751198"/>
    <n v="751198"/>
  </r>
  <r>
    <n v="12788"/>
    <d v="2023-06-13T00:00:00"/>
    <x v="3"/>
    <x v="0"/>
    <x v="4"/>
    <n v="18"/>
    <n v="30165"/>
    <n v="542970"/>
    <n v="542970"/>
  </r>
  <r>
    <n v="12789"/>
    <d v="2023-10-18T00:00:00"/>
    <x v="2"/>
    <x v="0"/>
    <x v="1"/>
    <n v="19"/>
    <n v="13806"/>
    <n v="262314"/>
    <n v="262314"/>
  </r>
  <r>
    <n v="12790"/>
    <d v="2023-08-13T00:00:00"/>
    <x v="5"/>
    <x v="1"/>
    <x v="5"/>
    <n v="5"/>
    <n v="5860"/>
    <n v="29300"/>
    <n v="29300"/>
  </r>
  <r>
    <n v="12791"/>
    <d v="2023-05-27T00:00:00"/>
    <x v="5"/>
    <x v="3"/>
    <x v="1"/>
    <n v="7"/>
    <n v="51417"/>
    <n v="359919"/>
    <n v="359919"/>
  </r>
  <r>
    <n v="12792"/>
    <d v="2023-06-07T00:00:00"/>
    <x v="5"/>
    <x v="2"/>
    <x v="5"/>
    <n v="12"/>
    <n v="43880"/>
    <n v="526560"/>
    <n v="526560"/>
  </r>
  <r>
    <n v="12793"/>
    <d v="2023-07-09T00:00:00"/>
    <x v="2"/>
    <x v="0"/>
    <x v="4"/>
    <n v="12"/>
    <n v="15339"/>
    <n v="184068"/>
    <n v="184068"/>
  </r>
  <r>
    <n v="12794"/>
    <d v="2023-11-28T00:00:00"/>
    <x v="2"/>
    <x v="0"/>
    <x v="2"/>
    <n v="17"/>
    <n v="23007"/>
    <n v="391119"/>
    <n v="391119"/>
  </r>
  <r>
    <n v="12795"/>
    <d v="2023-05-11T00:00:00"/>
    <x v="0"/>
    <x v="0"/>
    <x v="3"/>
    <n v="3"/>
    <n v="48455"/>
    <n v="145365"/>
    <n v="145365"/>
  </r>
  <r>
    <n v="12796"/>
    <d v="2023-09-28T00:00:00"/>
    <x v="5"/>
    <x v="1"/>
    <x v="4"/>
    <n v="2"/>
    <n v="8099"/>
    <n v="16198"/>
    <n v="16198"/>
  </r>
  <r>
    <n v="12797"/>
    <d v="2023-08-15T00:00:00"/>
    <x v="1"/>
    <x v="0"/>
    <x v="3"/>
    <n v="7"/>
    <n v="47882"/>
    <n v="335174"/>
    <n v="335174"/>
  </r>
  <r>
    <n v="12798"/>
    <d v="2023-01-10T00:00:00"/>
    <x v="1"/>
    <x v="0"/>
    <x v="0"/>
    <n v="14"/>
    <n v="35115"/>
    <n v="491610"/>
    <n v="491610"/>
  </r>
  <r>
    <n v="12799"/>
    <d v="2023-07-19T00:00:00"/>
    <x v="0"/>
    <x v="1"/>
    <x v="0"/>
    <n v="7"/>
    <n v="23178"/>
    <n v="162246"/>
    <n v="162246"/>
  </r>
  <r>
    <n v="12800"/>
    <d v="2023-04-01T00:00:00"/>
    <x v="3"/>
    <x v="1"/>
    <x v="4"/>
    <n v="11"/>
    <n v="44020"/>
    <n v="484220"/>
    <n v="484220"/>
  </r>
  <r>
    <n v="12801"/>
    <d v="2023-11-16T00:00:00"/>
    <x v="0"/>
    <x v="3"/>
    <x v="0"/>
    <n v="12"/>
    <n v="14937"/>
    <n v="179244"/>
    <n v="179244"/>
  </r>
  <r>
    <n v="12802"/>
    <d v="2023-10-22T00:00:00"/>
    <x v="2"/>
    <x v="1"/>
    <x v="3"/>
    <n v="20"/>
    <n v="8110"/>
    <n v="162200"/>
    <n v="162200"/>
  </r>
  <r>
    <n v="12803"/>
    <d v="2023-07-01T00:00:00"/>
    <x v="6"/>
    <x v="1"/>
    <x v="3"/>
    <n v="5"/>
    <n v="58184"/>
    <n v="290920"/>
    <n v="290920"/>
  </r>
  <r>
    <n v="12804"/>
    <d v="2023-06-21T00:00:00"/>
    <x v="4"/>
    <x v="2"/>
    <x v="1"/>
    <n v="11"/>
    <n v="46573"/>
    <n v="512303"/>
    <n v="512303"/>
  </r>
  <r>
    <n v="12805"/>
    <d v="2023-04-28T00:00:00"/>
    <x v="3"/>
    <x v="3"/>
    <x v="0"/>
    <n v="19"/>
    <n v="43711"/>
    <n v="830509"/>
    <n v="830509"/>
  </r>
  <r>
    <n v="12806"/>
    <d v="2023-01-14T00:00:00"/>
    <x v="1"/>
    <x v="1"/>
    <x v="4"/>
    <n v="20"/>
    <n v="17788"/>
    <n v="355760"/>
    <n v="355760"/>
  </r>
  <r>
    <n v="12807"/>
    <d v="2023-02-15T00:00:00"/>
    <x v="0"/>
    <x v="0"/>
    <x v="0"/>
    <n v="18"/>
    <n v="39288"/>
    <n v="707184"/>
    <n v="707184"/>
  </r>
  <r>
    <n v="12808"/>
    <d v="2023-02-15T00:00:00"/>
    <x v="4"/>
    <x v="3"/>
    <x v="4"/>
    <n v="12"/>
    <n v="48654"/>
    <n v="583848"/>
    <n v="583848"/>
  </r>
  <r>
    <n v="12809"/>
    <d v="2023-11-30T00:00:00"/>
    <x v="3"/>
    <x v="1"/>
    <x v="4"/>
    <n v="16"/>
    <n v="45781"/>
    <n v="732496"/>
    <n v="732496"/>
  </r>
  <r>
    <n v="12810"/>
    <d v="2023-10-13T00:00:00"/>
    <x v="2"/>
    <x v="2"/>
    <x v="3"/>
    <n v="11"/>
    <n v="34447"/>
    <n v="378917"/>
    <n v="378917"/>
  </r>
  <r>
    <n v="12811"/>
    <d v="2023-05-08T00:00:00"/>
    <x v="3"/>
    <x v="0"/>
    <x v="5"/>
    <n v="15"/>
    <n v="19581"/>
    <n v="293715"/>
    <n v="293715"/>
  </r>
  <r>
    <n v="12812"/>
    <d v="2023-11-29T00:00:00"/>
    <x v="2"/>
    <x v="1"/>
    <x v="5"/>
    <n v="16"/>
    <n v="48095"/>
    <n v="769520"/>
    <n v="769520"/>
  </r>
  <r>
    <n v="12813"/>
    <d v="2023-09-13T00:00:00"/>
    <x v="6"/>
    <x v="2"/>
    <x v="2"/>
    <n v="3"/>
    <n v="42059"/>
    <n v="126177"/>
    <n v="126177"/>
  </r>
  <r>
    <n v="12814"/>
    <d v="2023-06-22T00:00:00"/>
    <x v="1"/>
    <x v="3"/>
    <x v="0"/>
    <n v="20"/>
    <n v="56565"/>
    <n v="1131300"/>
    <n v="1131300"/>
  </r>
  <r>
    <n v="12815"/>
    <d v="2023-11-28T00:00:00"/>
    <x v="6"/>
    <x v="2"/>
    <x v="0"/>
    <n v="13"/>
    <n v="31512"/>
    <n v="409656"/>
    <n v="409656"/>
  </r>
  <r>
    <n v="12816"/>
    <d v="2023-05-22T00:00:00"/>
    <x v="1"/>
    <x v="1"/>
    <x v="5"/>
    <n v="12"/>
    <n v="20185"/>
    <n v="242220"/>
    <n v="242220"/>
  </r>
  <r>
    <n v="12817"/>
    <d v="2023-04-05T00:00:00"/>
    <x v="4"/>
    <x v="0"/>
    <x v="5"/>
    <n v="11"/>
    <n v="55032"/>
    <n v="605352"/>
    <n v="605352"/>
  </r>
  <r>
    <n v="12818"/>
    <d v="2023-12-06T00:00:00"/>
    <x v="4"/>
    <x v="1"/>
    <x v="4"/>
    <n v="12"/>
    <n v="41735"/>
    <n v="500820"/>
    <n v="500820"/>
  </r>
  <r>
    <n v="12819"/>
    <d v="2023-10-02T00:00:00"/>
    <x v="3"/>
    <x v="1"/>
    <x v="3"/>
    <n v="16"/>
    <n v="11434"/>
    <n v="182944"/>
    <n v="182944"/>
  </r>
  <r>
    <n v="12820"/>
    <d v="2023-02-19T00:00:00"/>
    <x v="2"/>
    <x v="3"/>
    <x v="4"/>
    <n v="20"/>
    <n v="8963"/>
    <n v="179260"/>
    <n v="179260"/>
  </r>
  <r>
    <n v="12821"/>
    <d v="2023-01-17T00:00:00"/>
    <x v="6"/>
    <x v="3"/>
    <x v="3"/>
    <n v="1"/>
    <n v="18528"/>
    <n v="18528"/>
    <n v="18528"/>
  </r>
  <r>
    <n v="12822"/>
    <d v="2023-03-14T00:00:00"/>
    <x v="3"/>
    <x v="0"/>
    <x v="2"/>
    <n v="9"/>
    <n v="57066"/>
    <n v="513594"/>
    <n v="513594"/>
  </r>
  <r>
    <n v="12823"/>
    <d v="2023-11-16T00:00:00"/>
    <x v="4"/>
    <x v="2"/>
    <x v="5"/>
    <n v="4"/>
    <n v="17146"/>
    <n v="68584"/>
    <n v="68584"/>
  </r>
  <r>
    <n v="12824"/>
    <d v="2023-10-12T00:00:00"/>
    <x v="3"/>
    <x v="0"/>
    <x v="1"/>
    <n v="4"/>
    <n v="17945"/>
    <n v="71780"/>
    <n v="71780"/>
  </r>
  <r>
    <n v="12825"/>
    <d v="2023-07-04T00:00:00"/>
    <x v="0"/>
    <x v="1"/>
    <x v="3"/>
    <n v="5"/>
    <n v="25220"/>
    <n v="126100"/>
    <n v="126100"/>
  </r>
  <r>
    <n v="12826"/>
    <d v="2023-01-03T00:00:00"/>
    <x v="6"/>
    <x v="1"/>
    <x v="4"/>
    <n v="8"/>
    <n v="16394"/>
    <n v="131152"/>
    <n v="131152"/>
  </r>
  <r>
    <n v="12827"/>
    <d v="2023-05-24T00:00:00"/>
    <x v="4"/>
    <x v="1"/>
    <x v="3"/>
    <n v="20"/>
    <n v="36594"/>
    <n v="731880"/>
    <n v="731880"/>
  </r>
  <r>
    <n v="12828"/>
    <d v="2023-05-03T00:00:00"/>
    <x v="1"/>
    <x v="1"/>
    <x v="0"/>
    <n v="5"/>
    <n v="42198"/>
    <n v="210990"/>
    <n v="210990"/>
  </r>
  <r>
    <n v="12829"/>
    <d v="2023-01-24T00:00:00"/>
    <x v="4"/>
    <x v="0"/>
    <x v="4"/>
    <n v="9"/>
    <n v="7817"/>
    <n v="70353"/>
    <n v="70353"/>
  </r>
  <r>
    <n v="12830"/>
    <d v="2023-12-12T00:00:00"/>
    <x v="3"/>
    <x v="0"/>
    <x v="5"/>
    <n v="2"/>
    <n v="42997"/>
    <n v="85994"/>
    <n v="85994"/>
  </r>
  <r>
    <n v="12831"/>
    <d v="2023-07-05T00:00:00"/>
    <x v="3"/>
    <x v="0"/>
    <x v="1"/>
    <n v="6"/>
    <n v="56235"/>
    <n v="337410"/>
    <n v="337410"/>
  </r>
  <r>
    <n v="12832"/>
    <d v="2023-08-05T00:00:00"/>
    <x v="3"/>
    <x v="1"/>
    <x v="4"/>
    <n v="11"/>
    <n v="14104"/>
    <n v="155144"/>
    <n v="155144"/>
  </r>
  <r>
    <n v="12833"/>
    <d v="2023-05-02T00:00:00"/>
    <x v="5"/>
    <x v="0"/>
    <x v="4"/>
    <n v="8"/>
    <n v="13133"/>
    <n v="105064"/>
    <n v="105064"/>
  </r>
  <r>
    <n v="12834"/>
    <d v="2023-12-05T00:00:00"/>
    <x v="4"/>
    <x v="2"/>
    <x v="0"/>
    <n v="15"/>
    <n v="47706"/>
    <n v="715590"/>
    <n v="715590"/>
  </r>
  <r>
    <n v="12835"/>
    <d v="2023-04-22T00:00:00"/>
    <x v="1"/>
    <x v="3"/>
    <x v="5"/>
    <n v="19"/>
    <n v="37726"/>
    <n v="716794"/>
    <n v="716794"/>
  </r>
  <r>
    <n v="12836"/>
    <d v="2023-10-08T00:00:00"/>
    <x v="0"/>
    <x v="0"/>
    <x v="1"/>
    <n v="6"/>
    <n v="501"/>
    <n v="3006"/>
    <n v="3006"/>
  </r>
  <r>
    <n v="12837"/>
    <d v="2023-10-22T00:00:00"/>
    <x v="3"/>
    <x v="2"/>
    <x v="2"/>
    <n v="9"/>
    <n v="18128"/>
    <n v="163152"/>
    <n v="163152"/>
  </r>
  <r>
    <n v="12838"/>
    <d v="2023-11-28T00:00:00"/>
    <x v="4"/>
    <x v="0"/>
    <x v="3"/>
    <n v="2"/>
    <n v="14867"/>
    <n v="29734"/>
    <n v="29734"/>
  </r>
  <r>
    <n v="12839"/>
    <d v="2023-06-07T00:00:00"/>
    <x v="3"/>
    <x v="0"/>
    <x v="4"/>
    <n v="12"/>
    <n v="9698"/>
    <n v="116376"/>
    <n v="116376"/>
  </r>
  <r>
    <n v="12840"/>
    <d v="2023-11-25T00:00:00"/>
    <x v="1"/>
    <x v="0"/>
    <x v="3"/>
    <n v="4"/>
    <n v="51973"/>
    <n v="207892"/>
    <n v="207892"/>
  </r>
  <r>
    <n v="12841"/>
    <d v="2023-07-04T00:00:00"/>
    <x v="3"/>
    <x v="3"/>
    <x v="3"/>
    <n v="19"/>
    <n v="29185"/>
    <n v="554515"/>
    <n v="554515"/>
  </r>
  <r>
    <n v="12842"/>
    <d v="2023-12-31T00:00:00"/>
    <x v="2"/>
    <x v="1"/>
    <x v="0"/>
    <n v="5"/>
    <n v="54655"/>
    <n v="273275"/>
    <n v="273275"/>
  </r>
  <r>
    <n v="12843"/>
    <d v="2024-01-01T00:00:00"/>
    <x v="4"/>
    <x v="3"/>
    <x v="3"/>
    <n v="8"/>
    <n v="45132"/>
    <n v="361056"/>
    <n v="361056"/>
  </r>
  <r>
    <n v="12844"/>
    <d v="2023-01-15T00:00:00"/>
    <x v="3"/>
    <x v="2"/>
    <x v="5"/>
    <n v="3"/>
    <n v="5183"/>
    <n v="15549"/>
    <n v="15549"/>
  </r>
  <r>
    <n v="12845"/>
    <d v="2023-05-03T00:00:00"/>
    <x v="0"/>
    <x v="0"/>
    <x v="3"/>
    <n v="4"/>
    <n v="21682"/>
    <n v="86728"/>
    <n v="86728"/>
  </r>
  <r>
    <n v="12846"/>
    <d v="2023-11-21T00:00:00"/>
    <x v="0"/>
    <x v="0"/>
    <x v="4"/>
    <n v="14"/>
    <n v="14492"/>
    <n v="202888"/>
    <n v="202888"/>
  </r>
  <r>
    <n v="12847"/>
    <d v="2023-07-13T00:00:00"/>
    <x v="6"/>
    <x v="2"/>
    <x v="0"/>
    <n v="15"/>
    <n v="49541"/>
    <n v="743115"/>
    <n v="743115"/>
  </r>
  <r>
    <n v="12848"/>
    <d v="2023-05-13T00:00:00"/>
    <x v="0"/>
    <x v="3"/>
    <x v="1"/>
    <n v="5"/>
    <n v="48621"/>
    <n v="243105"/>
    <n v="243105"/>
  </r>
  <r>
    <n v="12849"/>
    <d v="2023-10-15T00:00:00"/>
    <x v="4"/>
    <x v="3"/>
    <x v="5"/>
    <n v="4"/>
    <n v="33938"/>
    <n v="135752"/>
    <n v="135752"/>
  </r>
  <r>
    <n v="12850"/>
    <d v="2023-07-09T00:00:00"/>
    <x v="0"/>
    <x v="0"/>
    <x v="3"/>
    <n v="3"/>
    <n v="7552"/>
    <n v="22656"/>
    <n v="22656"/>
  </r>
  <r>
    <n v="12851"/>
    <d v="2023-12-26T00:00:00"/>
    <x v="6"/>
    <x v="3"/>
    <x v="0"/>
    <n v="17"/>
    <n v="44203"/>
    <n v="751451"/>
    <n v="751451"/>
  </r>
  <r>
    <n v="12852"/>
    <d v="2023-10-20T00:00:00"/>
    <x v="6"/>
    <x v="3"/>
    <x v="3"/>
    <n v="5"/>
    <n v="30275"/>
    <n v="151375"/>
    <n v="151375"/>
  </r>
  <r>
    <n v="12853"/>
    <d v="2023-04-19T00:00:00"/>
    <x v="4"/>
    <x v="2"/>
    <x v="4"/>
    <n v="8"/>
    <n v="46176"/>
    <n v="369408"/>
    <n v="369408"/>
  </r>
  <r>
    <n v="12854"/>
    <d v="2023-10-13T00:00:00"/>
    <x v="3"/>
    <x v="3"/>
    <x v="5"/>
    <n v="11"/>
    <n v="39607"/>
    <n v="435677"/>
    <n v="435677"/>
  </r>
  <r>
    <n v="12855"/>
    <d v="2023-02-19T00:00:00"/>
    <x v="1"/>
    <x v="2"/>
    <x v="3"/>
    <n v="2"/>
    <n v="29989"/>
    <n v="59978"/>
    <n v="59978"/>
  </r>
  <r>
    <n v="12856"/>
    <d v="2023-05-13T00:00:00"/>
    <x v="0"/>
    <x v="0"/>
    <x v="3"/>
    <n v="7"/>
    <n v="3726"/>
    <n v="26082"/>
    <n v="26082"/>
  </r>
  <r>
    <n v="12857"/>
    <d v="2023-09-18T00:00:00"/>
    <x v="1"/>
    <x v="3"/>
    <x v="5"/>
    <n v="18"/>
    <n v="25385"/>
    <n v="456930"/>
    <n v="456930"/>
  </r>
  <r>
    <n v="12858"/>
    <d v="2023-01-26T00:00:00"/>
    <x v="2"/>
    <x v="1"/>
    <x v="3"/>
    <n v="3"/>
    <n v="2987"/>
    <n v="8961"/>
    <n v="8961"/>
  </r>
  <r>
    <n v="12859"/>
    <d v="2023-11-12T00:00:00"/>
    <x v="0"/>
    <x v="2"/>
    <x v="2"/>
    <n v="4"/>
    <n v="24668"/>
    <n v="98672"/>
    <n v="98672"/>
  </r>
  <r>
    <n v="12860"/>
    <d v="2023-03-05T00:00:00"/>
    <x v="5"/>
    <x v="2"/>
    <x v="2"/>
    <n v="2"/>
    <n v="31705"/>
    <n v="63410"/>
    <n v="63410"/>
  </r>
  <r>
    <n v="12861"/>
    <d v="2023-10-30T00:00:00"/>
    <x v="6"/>
    <x v="2"/>
    <x v="0"/>
    <n v="4"/>
    <n v="19214"/>
    <n v="76856"/>
    <n v="76856"/>
  </r>
  <r>
    <n v="12862"/>
    <d v="2023-01-21T00:00:00"/>
    <x v="0"/>
    <x v="2"/>
    <x v="5"/>
    <n v="16"/>
    <n v="16198"/>
    <n v="259168"/>
    <n v="259168"/>
  </r>
  <r>
    <n v="12863"/>
    <d v="2023-11-08T00:00:00"/>
    <x v="1"/>
    <x v="1"/>
    <x v="4"/>
    <n v="20"/>
    <n v="17776"/>
    <n v="355520"/>
    <n v="355520"/>
  </r>
  <r>
    <n v="12864"/>
    <d v="2023-05-24T00:00:00"/>
    <x v="1"/>
    <x v="1"/>
    <x v="0"/>
    <n v="5"/>
    <n v="10522"/>
    <n v="52610"/>
    <n v="52610"/>
  </r>
  <r>
    <n v="12865"/>
    <d v="2023-05-30T00:00:00"/>
    <x v="0"/>
    <x v="0"/>
    <x v="1"/>
    <n v="15"/>
    <n v="42824"/>
    <n v="642360"/>
    <n v="642360"/>
  </r>
  <r>
    <n v="12866"/>
    <d v="2023-01-21T00:00:00"/>
    <x v="1"/>
    <x v="3"/>
    <x v="0"/>
    <n v="19"/>
    <n v="38670"/>
    <n v="734730"/>
    <n v="734730"/>
  </r>
  <r>
    <n v="12867"/>
    <d v="2023-11-22T00:00:00"/>
    <x v="6"/>
    <x v="2"/>
    <x v="5"/>
    <n v="6"/>
    <n v="39202"/>
    <n v="235212"/>
    <n v="235212"/>
  </r>
  <r>
    <n v="12868"/>
    <d v="2023-09-17T00:00:00"/>
    <x v="5"/>
    <x v="1"/>
    <x v="0"/>
    <n v="6"/>
    <n v="30990"/>
    <n v="185940"/>
    <n v="185940"/>
  </r>
  <r>
    <n v="12869"/>
    <d v="2023-09-07T00:00:00"/>
    <x v="3"/>
    <x v="2"/>
    <x v="4"/>
    <n v="19"/>
    <n v="21208"/>
    <n v="402952"/>
    <n v="402952"/>
  </r>
  <r>
    <n v="12870"/>
    <d v="2023-06-14T00:00:00"/>
    <x v="6"/>
    <x v="2"/>
    <x v="1"/>
    <n v="13"/>
    <n v="7552"/>
    <n v="98176"/>
    <n v="98176"/>
  </r>
  <r>
    <n v="12871"/>
    <d v="2023-06-12T00:00:00"/>
    <x v="3"/>
    <x v="2"/>
    <x v="0"/>
    <n v="4"/>
    <n v="59875"/>
    <n v="239500"/>
    <n v="239500"/>
  </r>
  <r>
    <n v="12872"/>
    <d v="2023-12-24T00:00:00"/>
    <x v="6"/>
    <x v="2"/>
    <x v="0"/>
    <n v="3"/>
    <n v="59655"/>
    <n v="178965"/>
    <n v="178965"/>
  </r>
  <r>
    <n v="12873"/>
    <d v="2023-11-04T00:00:00"/>
    <x v="0"/>
    <x v="2"/>
    <x v="1"/>
    <n v="1"/>
    <n v="59205"/>
    <n v="59205"/>
    <n v="59205"/>
  </r>
  <r>
    <n v="12874"/>
    <d v="2023-03-25T00:00:00"/>
    <x v="4"/>
    <x v="0"/>
    <x v="2"/>
    <n v="11"/>
    <n v="44837"/>
    <n v="493207"/>
    <n v="493207"/>
  </r>
  <r>
    <n v="12875"/>
    <d v="2023-07-20T00:00:00"/>
    <x v="2"/>
    <x v="3"/>
    <x v="3"/>
    <n v="19"/>
    <n v="22244"/>
    <n v="422636"/>
    <n v="422636"/>
  </r>
  <r>
    <n v="12876"/>
    <d v="2023-03-06T00:00:00"/>
    <x v="6"/>
    <x v="3"/>
    <x v="5"/>
    <n v="10"/>
    <n v="20662"/>
    <n v="206620"/>
    <n v="206620"/>
  </r>
  <r>
    <n v="12877"/>
    <d v="2023-08-21T00:00:00"/>
    <x v="5"/>
    <x v="2"/>
    <x v="1"/>
    <n v="11"/>
    <n v="32145"/>
    <n v="353595"/>
    <n v="353595"/>
  </r>
  <r>
    <n v="12878"/>
    <d v="2023-11-16T00:00:00"/>
    <x v="6"/>
    <x v="0"/>
    <x v="4"/>
    <n v="10"/>
    <n v="59831"/>
    <n v="598310"/>
    <n v="598310"/>
  </r>
  <r>
    <n v="12879"/>
    <d v="2023-02-12T00:00:00"/>
    <x v="6"/>
    <x v="2"/>
    <x v="1"/>
    <n v="19"/>
    <n v="46153"/>
    <n v="876907"/>
    <n v="876907"/>
  </r>
  <r>
    <n v="12880"/>
    <d v="2023-04-29T00:00:00"/>
    <x v="6"/>
    <x v="3"/>
    <x v="4"/>
    <n v="11"/>
    <n v="48965"/>
    <n v="538615"/>
    <n v="538615"/>
  </r>
  <r>
    <n v="12881"/>
    <d v="2023-09-08T00:00:00"/>
    <x v="1"/>
    <x v="2"/>
    <x v="4"/>
    <n v="19"/>
    <n v="2177"/>
    <n v="41363"/>
    <n v="41363"/>
  </r>
  <r>
    <n v="12882"/>
    <d v="2023-03-31T00:00:00"/>
    <x v="3"/>
    <x v="1"/>
    <x v="2"/>
    <n v="3"/>
    <n v="44751"/>
    <n v="134253"/>
    <n v="134253"/>
  </r>
  <r>
    <n v="12883"/>
    <d v="2023-01-25T00:00:00"/>
    <x v="4"/>
    <x v="1"/>
    <x v="3"/>
    <n v="3"/>
    <n v="8792"/>
    <n v="26376"/>
    <n v="26376"/>
  </r>
  <r>
    <n v="12884"/>
    <d v="2023-01-20T00:00:00"/>
    <x v="1"/>
    <x v="3"/>
    <x v="0"/>
    <n v="5"/>
    <n v="47540"/>
    <n v="237700"/>
    <n v="237700"/>
  </r>
  <r>
    <n v="12885"/>
    <d v="2023-06-19T00:00:00"/>
    <x v="1"/>
    <x v="3"/>
    <x v="3"/>
    <n v="15"/>
    <n v="9200"/>
    <n v="138000"/>
    <n v="138000"/>
  </r>
  <r>
    <n v="12886"/>
    <d v="2023-09-28T00:00:00"/>
    <x v="0"/>
    <x v="2"/>
    <x v="4"/>
    <n v="5"/>
    <n v="51790"/>
    <n v="258950"/>
    <n v="258950"/>
  </r>
  <r>
    <n v="12887"/>
    <d v="2023-04-01T00:00:00"/>
    <x v="3"/>
    <x v="2"/>
    <x v="1"/>
    <n v="14"/>
    <n v="11635"/>
    <n v="162890"/>
    <n v="162890"/>
  </r>
  <r>
    <n v="12888"/>
    <d v="2023-09-09T00:00:00"/>
    <x v="4"/>
    <x v="1"/>
    <x v="4"/>
    <n v="7"/>
    <n v="50435"/>
    <n v="353045"/>
    <n v="353045"/>
  </r>
  <r>
    <n v="12889"/>
    <d v="2023-05-07T00:00:00"/>
    <x v="1"/>
    <x v="2"/>
    <x v="5"/>
    <n v="18"/>
    <n v="45884"/>
    <n v="825912"/>
    <n v="825912"/>
  </r>
  <r>
    <n v="12890"/>
    <d v="2023-03-28T00:00:00"/>
    <x v="4"/>
    <x v="3"/>
    <x v="5"/>
    <n v="8"/>
    <n v="11698"/>
    <n v="93584"/>
    <n v="93584"/>
  </r>
  <r>
    <n v="12891"/>
    <d v="2023-03-27T00:00:00"/>
    <x v="4"/>
    <x v="1"/>
    <x v="1"/>
    <n v="11"/>
    <n v="27703"/>
    <n v="304733"/>
    <n v="304733"/>
  </r>
  <r>
    <n v="12892"/>
    <d v="2023-03-29T00:00:00"/>
    <x v="1"/>
    <x v="1"/>
    <x v="0"/>
    <n v="7"/>
    <n v="24636"/>
    <n v="172452"/>
    <n v="172452"/>
  </r>
  <r>
    <n v="12893"/>
    <d v="2023-03-03T00:00:00"/>
    <x v="0"/>
    <x v="3"/>
    <x v="1"/>
    <n v="15"/>
    <n v="17248"/>
    <n v="258720"/>
    <n v="258720"/>
  </r>
  <r>
    <n v="12894"/>
    <d v="2023-01-24T00:00:00"/>
    <x v="1"/>
    <x v="3"/>
    <x v="0"/>
    <n v="2"/>
    <n v="8573"/>
    <n v="17146"/>
    <n v="17146"/>
  </r>
  <r>
    <n v="12895"/>
    <d v="2023-12-25T00:00:00"/>
    <x v="1"/>
    <x v="0"/>
    <x v="2"/>
    <n v="4"/>
    <n v="48195"/>
    <n v="192780"/>
    <n v="192780"/>
  </r>
  <r>
    <n v="12896"/>
    <d v="2023-03-03T00:00:00"/>
    <x v="6"/>
    <x v="3"/>
    <x v="2"/>
    <n v="19"/>
    <n v="13233"/>
    <n v="251427"/>
    <n v="251427"/>
  </r>
  <r>
    <n v="12897"/>
    <d v="2023-02-02T00:00:00"/>
    <x v="2"/>
    <x v="0"/>
    <x v="4"/>
    <n v="14"/>
    <n v="12697"/>
    <n v="177758"/>
    <n v="177758"/>
  </r>
  <r>
    <n v="12898"/>
    <d v="2023-08-12T00:00:00"/>
    <x v="4"/>
    <x v="2"/>
    <x v="0"/>
    <n v="20"/>
    <n v="10808"/>
    <n v="216160"/>
    <n v="216160"/>
  </r>
  <r>
    <n v="12899"/>
    <d v="2023-04-25T00:00:00"/>
    <x v="3"/>
    <x v="0"/>
    <x v="5"/>
    <n v="3"/>
    <n v="5957"/>
    <n v="17871"/>
    <n v="17871"/>
  </r>
  <r>
    <n v="12900"/>
    <d v="2023-03-05T00:00:00"/>
    <x v="1"/>
    <x v="1"/>
    <x v="1"/>
    <n v="8"/>
    <n v="35744"/>
    <n v="285952"/>
    <n v="285952"/>
  </r>
  <r>
    <n v="12901"/>
    <d v="2023-04-01T00:00:00"/>
    <x v="5"/>
    <x v="2"/>
    <x v="1"/>
    <n v="3"/>
    <n v="3752"/>
    <n v="11256"/>
    <n v="11256"/>
  </r>
  <r>
    <n v="12902"/>
    <d v="2023-04-16T00:00:00"/>
    <x v="6"/>
    <x v="2"/>
    <x v="0"/>
    <n v="20"/>
    <n v="24431"/>
    <n v="488620"/>
    <n v="488620"/>
  </r>
  <r>
    <n v="12903"/>
    <d v="2023-12-25T00:00:00"/>
    <x v="3"/>
    <x v="2"/>
    <x v="2"/>
    <n v="11"/>
    <n v="38582"/>
    <n v="424402"/>
    <n v="424402"/>
  </r>
  <r>
    <n v="12904"/>
    <d v="2023-01-12T00:00:00"/>
    <x v="0"/>
    <x v="0"/>
    <x v="1"/>
    <n v="12"/>
    <n v="3931"/>
    <n v="47172"/>
    <n v="47172"/>
  </r>
  <r>
    <n v="12905"/>
    <d v="2023-09-07T00:00:00"/>
    <x v="2"/>
    <x v="0"/>
    <x v="3"/>
    <n v="9"/>
    <n v="941"/>
    <n v="8469"/>
    <n v="8469"/>
  </r>
  <r>
    <n v="12906"/>
    <d v="2023-09-23T00:00:00"/>
    <x v="1"/>
    <x v="2"/>
    <x v="3"/>
    <n v="1"/>
    <n v="46797"/>
    <n v="46797"/>
    <n v="46797"/>
  </r>
  <r>
    <n v="12907"/>
    <d v="2023-02-04T00:00:00"/>
    <x v="0"/>
    <x v="1"/>
    <x v="0"/>
    <n v="16"/>
    <n v="12101"/>
    <n v="193616"/>
    <n v="193616"/>
  </r>
  <r>
    <n v="12908"/>
    <d v="2023-01-01T00:00:00"/>
    <x v="4"/>
    <x v="0"/>
    <x v="0"/>
    <n v="7"/>
    <n v="18169"/>
    <n v="127183"/>
    <n v="127183"/>
  </r>
  <r>
    <n v="12909"/>
    <d v="2023-09-29T00:00:00"/>
    <x v="0"/>
    <x v="0"/>
    <x v="5"/>
    <n v="7"/>
    <n v="42188"/>
    <n v="295316"/>
    <n v="295316"/>
  </r>
  <r>
    <n v="12910"/>
    <d v="2023-05-20T00:00:00"/>
    <x v="1"/>
    <x v="1"/>
    <x v="1"/>
    <n v="2"/>
    <n v="23020"/>
    <n v="46040"/>
    <n v="46040"/>
  </r>
  <r>
    <n v="12911"/>
    <d v="2023-09-30T00:00:00"/>
    <x v="4"/>
    <x v="3"/>
    <x v="3"/>
    <n v="10"/>
    <n v="14163"/>
    <n v="141630"/>
    <n v="141630"/>
  </r>
  <r>
    <n v="12912"/>
    <d v="2023-12-19T00:00:00"/>
    <x v="5"/>
    <x v="3"/>
    <x v="3"/>
    <n v="19"/>
    <n v="19482"/>
    <n v="370158"/>
    <n v="370158"/>
  </r>
  <r>
    <n v="12913"/>
    <d v="2023-05-03T00:00:00"/>
    <x v="5"/>
    <x v="3"/>
    <x v="5"/>
    <n v="16"/>
    <n v="27522"/>
    <n v="440352"/>
    <n v="440352"/>
  </r>
  <r>
    <n v="12914"/>
    <d v="2023-12-23T00:00:00"/>
    <x v="4"/>
    <x v="1"/>
    <x v="2"/>
    <n v="16"/>
    <n v="50750"/>
    <n v="812000"/>
    <n v="812000"/>
  </r>
  <r>
    <n v="12915"/>
    <d v="2023-04-02T00:00:00"/>
    <x v="0"/>
    <x v="0"/>
    <x v="3"/>
    <n v="2"/>
    <n v="40886"/>
    <n v="81772"/>
    <n v="81772"/>
  </r>
  <r>
    <n v="12916"/>
    <d v="2023-06-05T00:00:00"/>
    <x v="5"/>
    <x v="1"/>
    <x v="1"/>
    <n v="3"/>
    <n v="23725"/>
    <n v="71175"/>
    <n v="71175"/>
  </r>
  <r>
    <n v="12917"/>
    <d v="2023-12-01T00:00:00"/>
    <x v="2"/>
    <x v="1"/>
    <x v="0"/>
    <n v="9"/>
    <n v="44368"/>
    <n v="399312"/>
    <n v="399312"/>
  </r>
  <r>
    <n v="12918"/>
    <d v="2023-02-28T00:00:00"/>
    <x v="4"/>
    <x v="1"/>
    <x v="0"/>
    <n v="14"/>
    <n v="32432"/>
    <n v="454048"/>
    <n v="454048"/>
  </r>
  <r>
    <n v="12919"/>
    <d v="2023-03-08T00:00:00"/>
    <x v="0"/>
    <x v="3"/>
    <x v="5"/>
    <n v="15"/>
    <n v="12911"/>
    <n v="193665"/>
    <n v="193665"/>
  </r>
  <r>
    <n v="12920"/>
    <d v="2023-01-07T00:00:00"/>
    <x v="2"/>
    <x v="2"/>
    <x v="5"/>
    <n v="1"/>
    <n v="28486"/>
    <n v="28486"/>
    <n v="28486"/>
  </r>
  <r>
    <n v="12921"/>
    <d v="2023-01-22T00:00:00"/>
    <x v="3"/>
    <x v="1"/>
    <x v="2"/>
    <n v="13"/>
    <n v="39497"/>
    <n v="513461"/>
    <n v="513461"/>
  </r>
  <r>
    <n v="12922"/>
    <d v="2023-02-04T00:00:00"/>
    <x v="5"/>
    <x v="2"/>
    <x v="5"/>
    <n v="6"/>
    <n v="44430"/>
    <n v="266580"/>
    <n v="266580"/>
  </r>
  <r>
    <n v="12923"/>
    <d v="2023-01-15T00:00:00"/>
    <x v="2"/>
    <x v="3"/>
    <x v="1"/>
    <n v="14"/>
    <n v="55760"/>
    <n v="780640"/>
    <n v="780640"/>
  </r>
  <r>
    <n v="12924"/>
    <d v="2023-10-26T00:00:00"/>
    <x v="5"/>
    <x v="0"/>
    <x v="1"/>
    <n v="12"/>
    <n v="18785"/>
    <n v="225420"/>
    <n v="225420"/>
  </r>
  <r>
    <n v="12925"/>
    <d v="2023-12-19T00:00:00"/>
    <x v="2"/>
    <x v="2"/>
    <x v="0"/>
    <n v="7"/>
    <n v="41808"/>
    <n v="292656"/>
    <n v="292656"/>
  </r>
  <r>
    <n v="12926"/>
    <d v="2023-05-04T00:00:00"/>
    <x v="1"/>
    <x v="2"/>
    <x v="1"/>
    <n v="4"/>
    <n v="30869"/>
    <n v="123476"/>
    <n v="123476"/>
  </r>
  <r>
    <n v="12927"/>
    <d v="2023-05-14T00:00:00"/>
    <x v="3"/>
    <x v="0"/>
    <x v="0"/>
    <n v="15"/>
    <n v="41948"/>
    <n v="629220"/>
    <n v="629220"/>
  </r>
  <r>
    <n v="12928"/>
    <d v="2023-07-18T00:00:00"/>
    <x v="0"/>
    <x v="0"/>
    <x v="0"/>
    <n v="6"/>
    <n v="49513"/>
    <n v="297078"/>
    <n v="297078"/>
  </r>
  <r>
    <n v="12929"/>
    <d v="2023-04-21T00:00:00"/>
    <x v="3"/>
    <x v="2"/>
    <x v="4"/>
    <n v="7"/>
    <n v="29889"/>
    <n v="209223"/>
    <n v="209223"/>
  </r>
  <r>
    <n v="12930"/>
    <d v="2023-04-25T00:00:00"/>
    <x v="4"/>
    <x v="3"/>
    <x v="0"/>
    <n v="7"/>
    <n v="2568"/>
    <n v="17976"/>
    <n v="17976"/>
  </r>
  <r>
    <n v="12931"/>
    <d v="2023-08-30T00:00:00"/>
    <x v="5"/>
    <x v="0"/>
    <x v="0"/>
    <n v="4"/>
    <n v="32651"/>
    <n v="130604"/>
    <n v="130604"/>
  </r>
  <r>
    <n v="12932"/>
    <d v="2023-09-17T00:00:00"/>
    <x v="1"/>
    <x v="2"/>
    <x v="5"/>
    <n v="18"/>
    <n v="19799"/>
    <n v="356382"/>
    <n v="356382"/>
  </r>
  <r>
    <n v="12933"/>
    <d v="2023-07-10T00:00:00"/>
    <x v="1"/>
    <x v="0"/>
    <x v="2"/>
    <n v="1"/>
    <n v="1650"/>
    <n v="1650"/>
    <n v="1650"/>
  </r>
  <r>
    <n v="12934"/>
    <d v="2023-10-27T00:00:00"/>
    <x v="4"/>
    <x v="1"/>
    <x v="2"/>
    <n v="2"/>
    <n v="15116"/>
    <n v="30232"/>
    <n v="30232"/>
  </r>
  <r>
    <n v="12935"/>
    <d v="2023-03-18T00:00:00"/>
    <x v="3"/>
    <x v="1"/>
    <x v="1"/>
    <n v="15"/>
    <n v="39564"/>
    <n v="593460"/>
    <n v="593460"/>
  </r>
  <r>
    <n v="12936"/>
    <d v="2023-04-01T00:00:00"/>
    <x v="6"/>
    <x v="0"/>
    <x v="3"/>
    <n v="6"/>
    <n v="57255"/>
    <n v="343530"/>
    <n v="343530"/>
  </r>
  <r>
    <n v="12937"/>
    <d v="2023-03-17T00:00:00"/>
    <x v="3"/>
    <x v="2"/>
    <x v="5"/>
    <n v="3"/>
    <n v="42124"/>
    <n v="126372"/>
    <n v="126372"/>
  </r>
  <r>
    <n v="12938"/>
    <d v="2023-06-13T00:00:00"/>
    <x v="6"/>
    <x v="3"/>
    <x v="1"/>
    <n v="2"/>
    <n v="796"/>
    <n v="1592"/>
    <n v="1592"/>
  </r>
  <r>
    <n v="12939"/>
    <d v="2023-03-16T00:00:00"/>
    <x v="4"/>
    <x v="3"/>
    <x v="3"/>
    <n v="3"/>
    <n v="35543"/>
    <n v="106629"/>
    <n v="106629"/>
  </r>
  <r>
    <n v="12940"/>
    <d v="2023-03-23T00:00:00"/>
    <x v="3"/>
    <x v="2"/>
    <x v="0"/>
    <n v="1"/>
    <n v="39492"/>
    <n v="39492"/>
    <n v="39492"/>
  </r>
  <r>
    <n v="12941"/>
    <d v="2023-03-20T00:00:00"/>
    <x v="3"/>
    <x v="0"/>
    <x v="4"/>
    <n v="1"/>
    <n v="1697"/>
    <n v="1697"/>
    <n v="1697"/>
  </r>
  <r>
    <n v="12942"/>
    <d v="2023-04-05T00:00:00"/>
    <x v="6"/>
    <x v="2"/>
    <x v="2"/>
    <n v="5"/>
    <n v="32096"/>
    <n v="160480"/>
    <n v="160480"/>
  </r>
  <r>
    <n v="12943"/>
    <d v="2023-10-13T00:00:00"/>
    <x v="1"/>
    <x v="0"/>
    <x v="5"/>
    <n v="2"/>
    <n v="49735"/>
    <n v="99470"/>
    <n v="99470"/>
  </r>
  <r>
    <n v="12944"/>
    <d v="2023-09-07T00:00:00"/>
    <x v="6"/>
    <x v="1"/>
    <x v="3"/>
    <n v="8"/>
    <n v="30050"/>
    <n v="240400"/>
    <n v="240400"/>
  </r>
  <r>
    <n v="12945"/>
    <d v="2023-12-23T00:00:00"/>
    <x v="4"/>
    <x v="0"/>
    <x v="4"/>
    <n v="4"/>
    <n v="10812"/>
    <n v="43248"/>
    <n v="43248"/>
  </r>
  <r>
    <n v="12946"/>
    <d v="2023-06-07T00:00:00"/>
    <x v="6"/>
    <x v="1"/>
    <x v="0"/>
    <n v="12"/>
    <n v="44871"/>
    <n v="538452"/>
    <n v="538452"/>
  </r>
  <r>
    <n v="12947"/>
    <d v="2023-04-01T00:00:00"/>
    <x v="4"/>
    <x v="1"/>
    <x v="3"/>
    <n v="13"/>
    <n v="25455"/>
    <n v="330915"/>
    <n v="330915"/>
  </r>
  <r>
    <n v="12948"/>
    <d v="2023-09-24T00:00:00"/>
    <x v="2"/>
    <x v="1"/>
    <x v="2"/>
    <n v="5"/>
    <n v="55437"/>
    <n v="277185"/>
    <n v="277185"/>
  </r>
  <r>
    <n v="12949"/>
    <d v="2023-01-13T00:00:00"/>
    <x v="2"/>
    <x v="2"/>
    <x v="2"/>
    <n v="3"/>
    <n v="29397"/>
    <n v="88191"/>
    <n v="88191"/>
  </r>
  <r>
    <n v="12950"/>
    <d v="2023-09-19T00:00:00"/>
    <x v="3"/>
    <x v="3"/>
    <x v="1"/>
    <n v="1"/>
    <n v="56756"/>
    <n v="56756"/>
    <n v="56756"/>
  </r>
  <r>
    <n v="12951"/>
    <d v="2023-10-23T00:00:00"/>
    <x v="3"/>
    <x v="1"/>
    <x v="3"/>
    <n v="9"/>
    <n v="17447"/>
    <n v="157023"/>
    <n v="157023"/>
  </r>
  <r>
    <n v="12952"/>
    <d v="2023-07-06T00:00:00"/>
    <x v="3"/>
    <x v="2"/>
    <x v="5"/>
    <n v="19"/>
    <n v="36035"/>
    <n v="684665"/>
    <n v="684665"/>
  </r>
  <r>
    <n v="12953"/>
    <d v="2023-04-21T00:00:00"/>
    <x v="3"/>
    <x v="3"/>
    <x v="4"/>
    <n v="20"/>
    <n v="30253"/>
    <n v="605060"/>
    <n v="605060"/>
  </r>
  <r>
    <n v="12954"/>
    <d v="2023-04-19T00:00:00"/>
    <x v="2"/>
    <x v="3"/>
    <x v="1"/>
    <n v="4"/>
    <n v="31214"/>
    <n v="124856"/>
    <n v="124856"/>
  </r>
  <r>
    <n v="12955"/>
    <d v="2023-11-27T00:00:00"/>
    <x v="3"/>
    <x v="3"/>
    <x v="4"/>
    <n v="3"/>
    <n v="55646"/>
    <n v="166938"/>
    <n v="166938"/>
  </r>
  <r>
    <n v="12956"/>
    <d v="2023-09-02T00:00:00"/>
    <x v="5"/>
    <x v="0"/>
    <x v="1"/>
    <n v="6"/>
    <n v="42607"/>
    <n v="255642"/>
    <n v="255642"/>
  </r>
  <r>
    <n v="12957"/>
    <d v="2023-08-14T00:00:00"/>
    <x v="2"/>
    <x v="3"/>
    <x v="1"/>
    <n v="17"/>
    <n v="46748"/>
    <n v="794716"/>
    <n v="794716"/>
  </r>
  <r>
    <n v="12958"/>
    <d v="2023-03-27T00:00:00"/>
    <x v="6"/>
    <x v="3"/>
    <x v="1"/>
    <n v="4"/>
    <n v="16456"/>
    <n v="65824"/>
    <n v="65824"/>
  </r>
  <r>
    <n v="12959"/>
    <d v="2023-06-07T00:00:00"/>
    <x v="2"/>
    <x v="2"/>
    <x v="5"/>
    <n v="19"/>
    <n v="53611"/>
    <n v="1018609"/>
    <n v="1018609"/>
  </r>
  <r>
    <n v="12960"/>
    <d v="2023-10-24T00:00:00"/>
    <x v="0"/>
    <x v="3"/>
    <x v="5"/>
    <n v="19"/>
    <n v="27942"/>
    <n v="530898"/>
    <n v="530898"/>
  </r>
  <r>
    <n v="12961"/>
    <d v="2023-03-24T00:00:00"/>
    <x v="5"/>
    <x v="3"/>
    <x v="2"/>
    <n v="18"/>
    <n v="53050"/>
    <n v="954900"/>
    <n v="954900"/>
  </r>
  <r>
    <n v="12962"/>
    <d v="2023-10-14T00:00:00"/>
    <x v="5"/>
    <x v="0"/>
    <x v="3"/>
    <n v="15"/>
    <n v="35199"/>
    <n v="527985"/>
    <n v="527985"/>
  </r>
  <r>
    <n v="12963"/>
    <d v="2023-12-30T00:00:00"/>
    <x v="5"/>
    <x v="0"/>
    <x v="3"/>
    <n v="19"/>
    <n v="26790"/>
    <n v="509010"/>
    <n v="509010"/>
  </r>
  <r>
    <n v="12964"/>
    <d v="2023-07-15T00:00:00"/>
    <x v="1"/>
    <x v="0"/>
    <x v="3"/>
    <n v="5"/>
    <n v="37647"/>
    <n v="188235"/>
    <n v="188235"/>
  </r>
  <r>
    <n v="12965"/>
    <d v="2023-09-04T00:00:00"/>
    <x v="4"/>
    <x v="0"/>
    <x v="5"/>
    <n v="18"/>
    <n v="23015"/>
    <n v="414270"/>
    <n v="414270"/>
  </r>
  <r>
    <n v="12966"/>
    <d v="2023-05-28T00:00:00"/>
    <x v="2"/>
    <x v="3"/>
    <x v="2"/>
    <n v="15"/>
    <n v="29976"/>
    <n v="449640"/>
    <n v="449640"/>
  </r>
  <r>
    <n v="12967"/>
    <d v="2023-04-26T00:00:00"/>
    <x v="2"/>
    <x v="2"/>
    <x v="2"/>
    <n v="18"/>
    <n v="24485"/>
    <n v="440730"/>
    <n v="440730"/>
  </r>
  <r>
    <n v="12968"/>
    <d v="2023-01-22T00:00:00"/>
    <x v="2"/>
    <x v="2"/>
    <x v="3"/>
    <n v="13"/>
    <n v="51636"/>
    <n v="671268"/>
    <n v="671268"/>
  </r>
  <r>
    <n v="12969"/>
    <d v="2023-06-05T00:00:00"/>
    <x v="4"/>
    <x v="0"/>
    <x v="2"/>
    <n v="6"/>
    <n v="46477"/>
    <n v="278862"/>
    <n v="278862"/>
  </r>
  <r>
    <n v="12970"/>
    <d v="2023-09-16T00:00:00"/>
    <x v="2"/>
    <x v="2"/>
    <x v="1"/>
    <n v="2"/>
    <n v="42512"/>
    <n v="85024"/>
    <n v="85024"/>
  </r>
  <r>
    <n v="12971"/>
    <d v="2023-02-26T00:00:00"/>
    <x v="6"/>
    <x v="1"/>
    <x v="3"/>
    <n v="14"/>
    <n v="14616"/>
    <n v="204624"/>
    <n v="204624"/>
  </r>
  <r>
    <n v="12972"/>
    <d v="2023-09-09T00:00:00"/>
    <x v="6"/>
    <x v="1"/>
    <x v="5"/>
    <n v="10"/>
    <n v="19088"/>
    <n v="190880"/>
    <n v="190880"/>
  </r>
  <r>
    <n v="12973"/>
    <d v="2023-08-07T00:00:00"/>
    <x v="5"/>
    <x v="0"/>
    <x v="0"/>
    <n v="13"/>
    <n v="55561"/>
    <n v="722293"/>
    <n v="722293"/>
  </r>
  <r>
    <n v="12974"/>
    <d v="2023-06-15T00:00:00"/>
    <x v="0"/>
    <x v="3"/>
    <x v="3"/>
    <n v="14"/>
    <n v="9164"/>
    <n v="128296"/>
    <n v="128296"/>
  </r>
  <r>
    <n v="12975"/>
    <d v="2023-03-05T00:00:00"/>
    <x v="1"/>
    <x v="1"/>
    <x v="1"/>
    <n v="14"/>
    <n v="59617"/>
    <n v="834638"/>
    <n v="834638"/>
  </r>
  <r>
    <n v="12976"/>
    <d v="2023-02-12T00:00:00"/>
    <x v="5"/>
    <x v="2"/>
    <x v="4"/>
    <n v="6"/>
    <n v="33643"/>
    <n v="201858"/>
    <n v="201858"/>
  </r>
  <r>
    <n v="12977"/>
    <d v="2023-06-22T00:00:00"/>
    <x v="2"/>
    <x v="3"/>
    <x v="3"/>
    <n v="7"/>
    <n v="9609"/>
    <n v="67263"/>
    <n v="67263"/>
  </r>
  <r>
    <n v="12978"/>
    <d v="2023-06-25T00:00:00"/>
    <x v="1"/>
    <x v="2"/>
    <x v="4"/>
    <n v="19"/>
    <n v="34404"/>
    <n v="653676"/>
    <n v="653676"/>
  </r>
  <r>
    <n v="12979"/>
    <d v="2023-01-06T00:00:00"/>
    <x v="0"/>
    <x v="1"/>
    <x v="5"/>
    <n v="9"/>
    <n v="44929"/>
    <n v="404361"/>
    <n v="404361"/>
  </r>
  <r>
    <n v="12980"/>
    <d v="2023-01-31T00:00:00"/>
    <x v="5"/>
    <x v="1"/>
    <x v="0"/>
    <n v="20"/>
    <n v="29966"/>
    <n v="599320"/>
    <n v="599320"/>
  </r>
  <r>
    <n v="12981"/>
    <d v="2023-03-23T00:00:00"/>
    <x v="2"/>
    <x v="1"/>
    <x v="5"/>
    <n v="15"/>
    <n v="21500"/>
    <n v="322500"/>
    <n v="322500"/>
  </r>
  <r>
    <n v="12982"/>
    <d v="2023-11-11T00:00:00"/>
    <x v="5"/>
    <x v="3"/>
    <x v="4"/>
    <n v="2"/>
    <n v="6763"/>
    <n v="13526"/>
    <n v="13526"/>
  </r>
  <r>
    <n v="12983"/>
    <d v="2023-05-29T00:00:00"/>
    <x v="5"/>
    <x v="3"/>
    <x v="5"/>
    <n v="1"/>
    <n v="58047"/>
    <n v="58047"/>
    <n v="58047"/>
  </r>
  <r>
    <n v="12984"/>
    <d v="2023-02-14T00:00:00"/>
    <x v="3"/>
    <x v="1"/>
    <x v="2"/>
    <n v="8"/>
    <n v="33125"/>
    <n v="265000"/>
    <n v="265000"/>
  </r>
  <r>
    <n v="12985"/>
    <d v="2023-09-04T00:00:00"/>
    <x v="6"/>
    <x v="0"/>
    <x v="2"/>
    <n v="14"/>
    <n v="51677"/>
    <n v="723478"/>
    <n v="723478"/>
  </r>
  <r>
    <n v="12986"/>
    <d v="2023-07-20T00:00:00"/>
    <x v="2"/>
    <x v="2"/>
    <x v="4"/>
    <n v="14"/>
    <n v="13723"/>
    <n v="192122"/>
    <n v="192122"/>
  </r>
  <r>
    <n v="12987"/>
    <d v="2023-03-23T00:00:00"/>
    <x v="0"/>
    <x v="0"/>
    <x v="0"/>
    <n v="12"/>
    <n v="7893"/>
    <n v="94716"/>
    <n v="94716"/>
  </r>
  <r>
    <n v="12988"/>
    <d v="2023-05-12T00:00:00"/>
    <x v="3"/>
    <x v="0"/>
    <x v="0"/>
    <n v="20"/>
    <n v="27049"/>
    <n v="540980"/>
    <n v="540980"/>
  </r>
  <r>
    <n v="12989"/>
    <d v="2023-09-16T00:00:00"/>
    <x v="4"/>
    <x v="2"/>
    <x v="1"/>
    <n v="16"/>
    <n v="53762"/>
    <n v="860192"/>
    <n v="860192"/>
  </r>
  <r>
    <n v="12990"/>
    <d v="2023-07-25T00:00:00"/>
    <x v="0"/>
    <x v="1"/>
    <x v="5"/>
    <n v="16"/>
    <n v="41994"/>
    <n v="671904"/>
    <n v="671904"/>
  </r>
  <r>
    <n v="12991"/>
    <d v="2023-12-01T00:00:00"/>
    <x v="2"/>
    <x v="3"/>
    <x v="4"/>
    <n v="17"/>
    <n v="44846"/>
    <n v="762382"/>
    <n v="762382"/>
  </r>
  <r>
    <n v="12992"/>
    <d v="2023-07-19T00:00:00"/>
    <x v="2"/>
    <x v="1"/>
    <x v="0"/>
    <n v="15"/>
    <n v="23785"/>
    <n v="356775"/>
    <n v="356775"/>
  </r>
  <r>
    <n v="12993"/>
    <d v="2023-01-31T00:00:00"/>
    <x v="5"/>
    <x v="2"/>
    <x v="4"/>
    <n v="1"/>
    <n v="40788"/>
    <n v="40788"/>
    <n v="40788"/>
  </r>
  <r>
    <n v="12994"/>
    <d v="2023-10-28T00:00:00"/>
    <x v="2"/>
    <x v="3"/>
    <x v="2"/>
    <n v="4"/>
    <n v="12006"/>
    <n v="48024"/>
    <n v="48024"/>
  </r>
  <r>
    <n v="12995"/>
    <d v="2023-11-08T00:00:00"/>
    <x v="2"/>
    <x v="1"/>
    <x v="5"/>
    <n v="19"/>
    <n v="14675"/>
    <n v="278825"/>
    <n v="278825"/>
  </r>
  <r>
    <n v="12996"/>
    <d v="2023-06-22T00:00:00"/>
    <x v="1"/>
    <x v="0"/>
    <x v="2"/>
    <n v="13"/>
    <n v="48434"/>
    <n v="629642"/>
    <n v="629642"/>
  </r>
  <r>
    <n v="12997"/>
    <d v="2023-04-21T00:00:00"/>
    <x v="1"/>
    <x v="3"/>
    <x v="4"/>
    <n v="11"/>
    <n v="14784"/>
    <n v="162624"/>
    <n v="162624"/>
  </r>
  <r>
    <n v="12998"/>
    <d v="2023-05-29T00:00:00"/>
    <x v="2"/>
    <x v="2"/>
    <x v="0"/>
    <n v="7"/>
    <n v="46095"/>
    <n v="322665"/>
    <n v="322665"/>
  </r>
  <r>
    <n v="12999"/>
    <d v="2023-04-09T00:00:00"/>
    <x v="1"/>
    <x v="2"/>
    <x v="2"/>
    <n v="6"/>
    <n v="18479"/>
    <n v="110874"/>
    <n v="110874"/>
  </r>
  <r>
    <n v="13000"/>
    <d v="2023-06-21T00:00:00"/>
    <x v="6"/>
    <x v="1"/>
    <x v="0"/>
    <n v="16"/>
    <n v="51215"/>
    <n v="819440"/>
    <n v="8194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27231-FD43-45CA-B3CC-EBE46BF5CFC8}" name="PivotTable15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5" rowHeaderCaption="Region">
  <location ref="AG1:AH5" firstHeaderRow="1" firstDataRow="1" firstDataCol="1"/>
  <pivotFields count="9">
    <pivotField showAll="0"/>
    <pivotField numFmtId="16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_Sales" fld="7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outline="0" axis="axisValues" fieldPosition="0"/>
    </format>
  </formats>
  <chartFormats count="5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26A14-92BA-4F06-89C8-30459F5E212A}" name="PivotTable14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Top 5 sales_person">
  <location ref="T1:U6" firstHeaderRow="1" firstDataRow="1" firstDataCol="1"/>
  <pivotFields count="9">
    <pivotField showAll="0"/>
    <pivotField numFmtId="164" showAll="0"/>
    <pivotField showAll="0"/>
    <pivotField showAll="0"/>
    <pivotField axis="axisRow" showAll="0" measureFilter="1" sortType="descending">
      <items count="7">
        <item x="3"/>
        <item x="5"/>
        <item x="1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4"/>
  </rowFields>
  <rowItems count="5">
    <i>
      <x v="1"/>
    </i>
    <i>
      <x v="5"/>
    </i>
    <i>
      <x v="2"/>
    </i>
    <i>
      <x/>
    </i>
    <i>
      <x v="4"/>
    </i>
  </rowItems>
  <colItems count="1">
    <i/>
  </colItems>
  <dataFields count="1">
    <dataField name="Sum of Total_Sales" fld="7" baseField="0" baseItem="0"/>
  </dataFields>
  <formats count="5">
    <format dxfId="10">
      <pivotArea type="all" dataOnly="0" outline="0" fieldPosition="0"/>
    </format>
    <format dxfId="9">
      <pivotArea outline="0" collapsedLevelsAreSubtotals="1" fieldPosition="0"/>
    </format>
    <format dxfId="8">
      <pivotArea field="4" type="button" dataOnly="0" labelOnly="1" outline="0" axis="axisRow" fieldPosition="0"/>
    </format>
    <format dxfId="7">
      <pivotArea dataOnly="0" labelOnly="1" fieldPosition="0">
        <references count="1">
          <reference field="4" count="5">
            <x v="0"/>
            <x v="1"/>
            <x v="2"/>
            <x v="4"/>
            <x v="5"/>
          </reference>
        </references>
      </pivotArea>
    </format>
    <format dxfId="6">
      <pivotArea dataOnly="0" labelOnly="1" outline="0" axis="axisValues" fieldPosition="0"/>
    </format>
  </formats>
  <pivotTableStyleInfo name="PivotStyleMedium19" showRowHeaders="1" showColHeaders="1" showRowStripes="0" showColStripes="0" showLastColumn="1"/>
  <filters count="1">
    <filter fld="4" type="count" evalOrder="-1" id="10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9FDFF-6626-483B-966D-FBCF76BDE7C8}" name="PivotTable10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0" rowHeaderCaption="Month">
  <location ref="O3:Q15" firstHeaderRow="0" firstDataRow="1" firstDataCol="1" rowPageCount="1" colPageCount="1"/>
  <pivotFields count="12">
    <pivotField showAll="0"/>
    <pivotField showAll="0">
      <items count="368">
        <item x="255"/>
        <item x="28"/>
        <item x="163"/>
        <item x="216"/>
        <item x="47"/>
        <item x="76"/>
        <item x="117"/>
        <item x="149"/>
        <item x="6"/>
        <item x="169"/>
        <item x="300"/>
        <item x="181"/>
        <item x="83"/>
        <item x="177"/>
        <item x="195"/>
        <item x="104"/>
        <item x="95"/>
        <item x="342"/>
        <item x="79"/>
        <item x="263"/>
        <item x="290"/>
        <item x="157"/>
        <item x="159"/>
        <item x="174"/>
        <item x="29"/>
        <item x="178"/>
        <item x="127"/>
        <item x="9"/>
        <item x="345"/>
        <item x="137"/>
        <item x="315"/>
        <item x="45"/>
        <item x="270"/>
        <item x="143"/>
        <item x="7"/>
        <item x="312"/>
        <item x="206"/>
        <item x="134"/>
        <item x="158"/>
        <item x="166"/>
        <item x="335"/>
        <item x="247"/>
        <item x="330"/>
        <item x="291"/>
        <item x="344"/>
        <item x="365"/>
        <item x="273"/>
        <item x="217"/>
        <item x="65"/>
        <item x="25"/>
        <item x="108"/>
        <item x="14"/>
        <item x="278"/>
        <item x="92"/>
        <item x="107"/>
        <item x="339"/>
        <item x="298"/>
        <item x="105"/>
        <item x="196"/>
        <item x="8"/>
        <item x="139"/>
        <item x="354"/>
        <item x="282"/>
        <item x="319"/>
        <item x="186"/>
        <item x="184"/>
        <item x="144"/>
        <item x="249"/>
        <item x="213"/>
        <item x="183"/>
        <item x="207"/>
        <item x="180"/>
        <item x="4"/>
        <item x="152"/>
        <item x="115"/>
        <item x="297"/>
        <item x="151"/>
        <item x="252"/>
        <item x="114"/>
        <item x="337"/>
        <item x="82"/>
        <item x="325"/>
        <item x="23"/>
        <item x="221"/>
        <item x="269"/>
        <item x="246"/>
        <item x="19"/>
        <item x="59"/>
        <item x="243"/>
        <item x="318"/>
        <item x="329"/>
        <item x="113"/>
        <item x="161"/>
        <item x="364"/>
        <item x="135"/>
        <item x="352"/>
        <item x="362"/>
        <item x="304"/>
        <item x="78"/>
        <item x="313"/>
        <item x="40"/>
        <item x="38"/>
        <item x="122"/>
        <item x="268"/>
        <item x="257"/>
        <item x="305"/>
        <item x="49"/>
        <item x="118"/>
        <item x="33"/>
        <item x="172"/>
        <item x="86"/>
        <item x="5"/>
        <item x="356"/>
        <item x="61"/>
        <item x="13"/>
        <item x="182"/>
        <item x="190"/>
        <item x="116"/>
        <item x="70"/>
        <item x="160"/>
        <item x="299"/>
        <item x="30"/>
        <item x="218"/>
        <item x="162"/>
        <item x="310"/>
        <item x="296"/>
        <item x="16"/>
        <item x="331"/>
        <item x="27"/>
        <item x="256"/>
        <item x="189"/>
        <item x="111"/>
        <item x="77"/>
        <item x="51"/>
        <item x="35"/>
        <item x="225"/>
        <item x="241"/>
        <item x="226"/>
        <item x="63"/>
        <item x="245"/>
        <item x="171"/>
        <item x="284"/>
        <item x="262"/>
        <item x="348"/>
        <item x="81"/>
        <item x="187"/>
        <item x="316"/>
        <item x="133"/>
        <item x="280"/>
        <item x="155"/>
        <item x="220"/>
        <item x="176"/>
        <item x="277"/>
        <item x="84"/>
        <item x="237"/>
        <item x="261"/>
        <item x="235"/>
        <item x="209"/>
        <item x="62"/>
        <item x="353"/>
        <item x="293"/>
        <item x="55"/>
        <item x="17"/>
        <item x="308"/>
        <item x="11"/>
        <item x="205"/>
        <item x="229"/>
        <item x="56"/>
        <item x="326"/>
        <item x="31"/>
        <item x="314"/>
        <item x="44"/>
        <item x="281"/>
        <item x="102"/>
        <item x="287"/>
        <item x="129"/>
        <item x="328"/>
        <item x="227"/>
        <item x="96"/>
        <item x="89"/>
        <item x="46"/>
        <item x="18"/>
        <item x="192"/>
        <item x="248"/>
        <item x="24"/>
        <item x="112"/>
        <item x="351"/>
        <item x="57"/>
        <item x="202"/>
        <item x="311"/>
        <item x="48"/>
        <item x="231"/>
        <item x="98"/>
        <item x="75"/>
        <item x="22"/>
        <item x="219"/>
        <item x="132"/>
        <item x="271"/>
        <item x="21"/>
        <item x="336"/>
        <item x="360"/>
        <item x="168"/>
        <item x="338"/>
        <item x="215"/>
        <item x="265"/>
        <item x="222"/>
        <item x="307"/>
        <item x="254"/>
        <item x="238"/>
        <item x="343"/>
        <item x="154"/>
        <item x="91"/>
        <item x="210"/>
        <item x="0"/>
        <item x="1"/>
        <item x="101"/>
        <item x="124"/>
        <item x="121"/>
        <item x="317"/>
        <item x="306"/>
        <item x="15"/>
        <item x="288"/>
        <item x="260"/>
        <item x="350"/>
        <item x="148"/>
        <item x="359"/>
        <item x="52"/>
        <item x="2"/>
        <item x="228"/>
        <item x="203"/>
        <item x="175"/>
        <item x="234"/>
        <item x="32"/>
        <item x="233"/>
        <item x="88"/>
        <item x="324"/>
        <item x="258"/>
        <item x="294"/>
        <item x="90"/>
        <item x="232"/>
        <item x="208"/>
        <item x="309"/>
        <item x="119"/>
        <item x="131"/>
        <item x="240"/>
        <item x="97"/>
        <item x="361"/>
        <item x="150"/>
        <item x="194"/>
        <item x="333"/>
        <item x="74"/>
        <item x="214"/>
        <item x="69"/>
        <item x="211"/>
        <item x="200"/>
        <item x="332"/>
        <item x="66"/>
        <item x="275"/>
        <item x="242"/>
        <item x="43"/>
        <item x="301"/>
        <item x="10"/>
        <item x="264"/>
        <item x="36"/>
        <item x="321"/>
        <item x="123"/>
        <item x="80"/>
        <item x="272"/>
        <item x="193"/>
        <item x="173"/>
        <item x="327"/>
        <item x="136"/>
        <item x="110"/>
        <item x="279"/>
        <item x="106"/>
        <item x="54"/>
        <item x="94"/>
        <item x="20"/>
        <item x="60"/>
        <item x="191"/>
        <item x="323"/>
        <item x="50"/>
        <item x="292"/>
        <item x="276"/>
        <item x="126"/>
        <item x="3"/>
        <item x="198"/>
        <item x="120"/>
        <item x="295"/>
        <item x="322"/>
        <item x="340"/>
        <item x="320"/>
        <item x="223"/>
        <item x="346"/>
        <item x="253"/>
        <item x="42"/>
        <item x="141"/>
        <item x="302"/>
        <item x="125"/>
        <item x="87"/>
        <item x="58"/>
        <item x="138"/>
        <item x="39"/>
        <item x="363"/>
        <item x="12"/>
        <item x="355"/>
        <item x="212"/>
        <item x="41"/>
        <item x="100"/>
        <item x="146"/>
        <item x="37"/>
        <item x="93"/>
        <item x="303"/>
        <item x="109"/>
        <item x="156"/>
        <item x="165"/>
        <item x="239"/>
        <item x="53"/>
        <item x="251"/>
        <item x="142"/>
        <item x="85"/>
        <item x="153"/>
        <item x="204"/>
        <item x="197"/>
        <item x="267"/>
        <item x="266"/>
        <item x="72"/>
        <item x="347"/>
        <item x="286"/>
        <item x="73"/>
        <item x="285"/>
        <item x="164"/>
        <item x="68"/>
        <item x="349"/>
        <item x="128"/>
        <item x="103"/>
        <item x="283"/>
        <item x="145"/>
        <item x="358"/>
        <item x="67"/>
        <item x="250"/>
        <item x="224"/>
        <item x="147"/>
        <item x="130"/>
        <item x="140"/>
        <item x="34"/>
        <item x="230"/>
        <item x="71"/>
        <item x="170"/>
        <item x="188"/>
        <item x="99"/>
        <item x="185"/>
        <item x="199"/>
        <item x="274"/>
        <item x="26"/>
        <item x="334"/>
        <item x="244"/>
        <item x="179"/>
        <item x="259"/>
        <item x="167"/>
        <item x="341"/>
        <item x="64"/>
        <item x="236"/>
        <item x="289"/>
        <item x="357"/>
        <item x="201"/>
        <item x="366"/>
        <item t="default"/>
      </items>
    </pivotField>
    <pivotField axis="axisPage" dataField="1" multipleItemSelectionAllowed="1" showAll="0">
      <items count="9">
        <item x="6"/>
        <item x="0"/>
        <item x="1"/>
        <item x="4"/>
        <item x="3"/>
        <item x="5"/>
        <item x="2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9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Total_product_per_month" fld="2" subtotal="count" baseField="9" baseItem="1"/>
    <dataField name="Total_Revenue" fld="8" baseField="9" baseItem="1"/>
  </dataFields>
  <formats count="5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9" type="button" dataOnly="0" labelOnly="1" outline="0" axis="axisRow" fieldPosition="0"/>
    </format>
    <format dxfId="12">
      <pivotArea dataOnly="0" labelOnly="1" fieldPosition="0">
        <references count="1">
          <reference field="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3F307-317A-44B7-9923-A6566BC5E7E6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Region">
  <location ref="M3:N4" firstHeaderRow="1" firstDataRow="1" firstDataCol="1"/>
  <pivotFields count="2">
    <pivotField axis="axisRow" showAll="0" measureFilter="1">
      <items count="5">
        <item x="3"/>
        <item x="0"/>
        <item x="2"/>
        <item x="1"/>
        <item t="default"/>
      </items>
    </pivotField>
    <pivotField dataField="1" showAll="0"/>
  </pivotFields>
  <rowFields count="1">
    <field x="0"/>
  </rowFields>
  <rowItems count="1">
    <i>
      <x/>
    </i>
  </rowItems>
  <colItems count="1">
    <i/>
  </colItems>
  <dataFields count="1">
    <dataField name="Sum of Revenue" fld="1" baseField="0" baseItem="0"/>
  </dataFields>
  <pivotTableStyleInfo name="PivotStyleMedium23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0551B-EAE2-49D4-89E6-4AD515833C78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Top_sales_person">
  <location ref="M6:N7" firstHeaderRow="1" firstDataRow="1" firstDataCol="1"/>
  <pivotFields count="2">
    <pivotField axis="axisRow" showAll="0" measureFilter="1">
      <items count="7">
        <item x="3"/>
        <item x="5"/>
        <item x="1"/>
        <item x="2"/>
        <item x="0"/>
        <item x="4"/>
        <item t="default"/>
      </items>
    </pivotField>
    <pivotField dataField="1" showAll="0"/>
  </pivotFields>
  <rowFields count="1">
    <field x="0"/>
  </rowFields>
  <rowItems count="1">
    <i>
      <x v="5"/>
    </i>
  </rowItems>
  <colItems count="1">
    <i/>
  </colItems>
  <dataFields count="1">
    <dataField name="Sum of Units_Sold" fld="1" baseField="0" baseItem="0"/>
  </dataFields>
  <pivotTableStyleInfo name="PivotStyleMedium28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8BC147-8B2D-4244-A6DD-F3979C24EB08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V1:AA10" firstHeaderRow="1" firstDataRow="2" firstDataCol="1"/>
  <pivotFields count="9">
    <pivotField showAll="0"/>
    <pivotField numFmtId="164" showAll="0"/>
    <pivotField axis="axisRow" showAll="0">
      <items count="8">
        <item x="6"/>
        <item x="0"/>
        <item x="1"/>
        <item x="4"/>
        <item x="3"/>
        <item x="5"/>
        <item x="2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Sales" fld="7" baseField="0" baseItem="0"/>
  </dataFields>
  <formats count="10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3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2" type="button" dataOnly="0" labelOnly="1" outline="0" axis="axisRow" fieldPosition="0"/>
    </format>
    <format dxfId="19">
      <pivotArea dataOnly="0" labelOnly="1" fieldPosition="0">
        <references count="1">
          <reference field="2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3" count="0"/>
        </references>
      </pivotArea>
    </format>
    <format dxfId="16">
      <pivotArea dataOnly="0" labelOnly="1" grandCol="1" outline="0" fieldPosition="0"/>
    </format>
  </formats>
  <pivotTableStyleInfo name="PivotStyleMedium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362EC-7FD1-449B-8C01-467C3F5A5DF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">
  <location ref="K10:L11" firstHeaderRow="1" firstDataRow="1" firstDataCol="1"/>
  <pivotFields count="2">
    <pivotField axis="axisRow" showAll="0" measureFilter="1">
      <items count="8">
        <item x="6"/>
        <item x="0"/>
        <item x="1"/>
        <item x="4"/>
        <item x="3"/>
        <item x="5"/>
        <item x="2"/>
        <item t="default"/>
      </items>
    </pivotField>
    <pivotField dataField="1" showAll="0"/>
  </pivotFields>
  <rowFields count="1">
    <field x="0"/>
  </rowFields>
  <rowItems count="1">
    <i>
      <x v="4"/>
    </i>
  </rowItems>
  <colItems count="1">
    <i/>
  </colItems>
  <dataFields count="1">
    <dataField name="Highest_Total_Sales" fld="1" baseField="0" baseItem="4"/>
  </dataFields>
  <formats count="5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0" type="button" dataOnly="0" labelOnly="1" outline="0" axis="axisRow" fieldPosition="0"/>
    </format>
    <format dxfId="27">
      <pivotArea dataOnly="0" labelOnly="1" fieldPosition="0">
        <references count="1">
          <reference field="0" count="1">
            <x v="4"/>
          </reference>
        </references>
      </pivotArea>
    </format>
    <format dxfId="26">
      <pivotArea dataOnly="0" labelOnly="1" outline="0" axis="axisValues" fieldPosition="0"/>
    </format>
  </formats>
  <pivotTableStyleInfo name="PivotStyleMedium25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9C1F0-81B3-46D7-AACB-308605560631}" name="PivotTable12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Products">
  <location ref="R1:S8" firstHeaderRow="1" firstDataRow="1" firstDataCol="1"/>
  <pivotFields count="9">
    <pivotField showAll="0"/>
    <pivotField numFmtId="164" showAll="0"/>
    <pivotField axis="axisRow" showAll="0">
      <items count="8">
        <item x="6"/>
        <item x="0"/>
        <item x="1"/>
        <item x="4"/>
        <item x="3"/>
        <item x="5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of Units_Sold" fld="5" subtotal="average" baseField="2" baseItem="0" numFmtId="2"/>
  </dataFields>
  <formats count="11">
    <format dxfId="41">
      <pivotArea outline="0" collapsedLevelsAreSubtotals="1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2" type="button" dataOnly="0" labelOnly="1" outline="0" axis="axisRow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dataOnly="0" labelOnly="1" outline="0" axis="axisValues" fieldPosition="0"/>
    </format>
  </formats>
  <pivotTableStyleInfo name="PivotStyleMedium2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01"/>
  <sheetViews>
    <sheetView tabSelected="1" workbookViewId="0">
      <selection activeCell="AG8" sqref="AG8"/>
    </sheetView>
  </sheetViews>
  <sheetFormatPr defaultRowHeight="14.4" x14ac:dyDescent="0.3"/>
  <cols>
    <col min="2" max="2" width="18.109375" bestFit="1" customWidth="1"/>
    <col min="3" max="3" width="8" customWidth="1"/>
    <col min="5" max="5" width="11" bestFit="1" customWidth="1"/>
    <col min="6" max="6" width="10" bestFit="1" customWidth="1"/>
    <col min="7" max="7" width="9.6640625" bestFit="1" customWidth="1"/>
    <col min="8" max="8" width="10.44140625" bestFit="1" customWidth="1"/>
    <col min="9" max="9" width="10.44140625" customWidth="1"/>
    <col min="10" max="10" width="18.5546875" bestFit="1" customWidth="1"/>
    <col min="11" max="11" width="14.21875" bestFit="1" customWidth="1"/>
    <col min="12" max="12" width="12.88671875" customWidth="1"/>
    <col min="13" max="13" width="14.21875" bestFit="1" customWidth="1"/>
    <col min="14" max="14" width="16.44140625" bestFit="1" customWidth="1"/>
    <col min="15" max="15" width="9.88671875" bestFit="1" customWidth="1"/>
    <col min="16" max="16" width="17.88671875" bestFit="1" customWidth="1"/>
    <col min="17" max="17" width="14.109375" customWidth="1"/>
    <col min="18" max="18" width="16.44140625" bestFit="1" customWidth="1"/>
    <col min="19" max="19" width="21.33203125" customWidth="1"/>
    <col min="20" max="20" width="14.88671875" bestFit="1" customWidth="1"/>
    <col min="21" max="21" width="18" bestFit="1" customWidth="1"/>
    <col min="22" max="22" width="15.88671875" customWidth="1"/>
    <col min="23" max="23" width="9" bestFit="1" customWidth="1"/>
    <col min="24" max="24" width="23.6640625" bestFit="1" customWidth="1"/>
    <col min="25" max="25" width="16.6640625" customWidth="1"/>
    <col min="26" max="26" width="17" bestFit="1" customWidth="1"/>
    <col min="27" max="27" width="15.5546875" bestFit="1" customWidth="1"/>
    <col min="28" max="28" width="18.44140625" bestFit="1" customWidth="1"/>
    <col min="29" max="29" width="21.6640625" bestFit="1" customWidth="1"/>
    <col min="30" max="30" width="11.77734375" bestFit="1" customWidth="1"/>
    <col min="31" max="31" width="10.5546875" customWidth="1"/>
    <col min="32" max="32" width="18.88671875" bestFit="1" customWidth="1"/>
    <col min="33" max="33" width="16.5546875" bestFit="1" customWidth="1"/>
    <col min="34" max="34" width="17" bestFit="1" customWidth="1"/>
    <col min="36" max="36" width="12.5546875" bestFit="1" customWidth="1"/>
    <col min="37" max="37" width="17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7" t="s">
        <v>34</v>
      </c>
      <c r="J1" s="1" t="s">
        <v>25</v>
      </c>
      <c r="K1" s="1" t="s">
        <v>2</v>
      </c>
      <c r="L1" s="1" t="s">
        <v>7</v>
      </c>
      <c r="M1" s="1" t="s">
        <v>2</v>
      </c>
      <c r="N1" s="1" t="s">
        <v>30</v>
      </c>
      <c r="O1" s="4" t="s">
        <v>2</v>
      </c>
      <c r="P1" t="s">
        <v>51</v>
      </c>
      <c r="R1" s="7" t="s">
        <v>59</v>
      </c>
      <c r="S1" s="8" t="s">
        <v>55</v>
      </c>
      <c r="T1" s="12" t="s">
        <v>56</v>
      </c>
      <c r="U1" s="13" t="s">
        <v>32</v>
      </c>
      <c r="V1" s="12" t="s">
        <v>32</v>
      </c>
      <c r="W1" s="12" t="s">
        <v>50</v>
      </c>
      <c r="X1" s="13"/>
      <c r="Y1" s="13"/>
      <c r="Z1" s="13"/>
      <c r="AA1" s="13"/>
      <c r="AB1" s="6" t="s">
        <v>7</v>
      </c>
      <c r="AC1" s="6" t="s">
        <v>57</v>
      </c>
      <c r="AD1" s="6" t="s">
        <v>58</v>
      </c>
      <c r="AE1" s="1" t="s">
        <v>2</v>
      </c>
      <c r="AF1" s="1" t="s">
        <v>7</v>
      </c>
      <c r="AG1" s="19" t="s">
        <v>3</v>
      </c>
      <c r="AH1" s="13" t="s">
        <v>32</v>
      </c>
    </row>
    <row r="2" spans="1:34" ht="21" x14ac:dyDescent="0.4">
      <c r="A2">
        <v>10001</v>
      </c>
      <c r="B2" s="2">
        <v>45140</v>
      </c>
      <c r="C2" t="s">
        <v>8</v>
      </c>
      <c r="D2" t="s">
        <v>15</v>
      </c>
      <c r="E2" t="s">
        <v>19</v>
      </c>
      <c r="F2">
        <v>2</v>
      </c>
      <c r="G2">
        <v>28065</v>
      </c>
      <c r="H2">
        <v>56130</v>
      </c>
      <c r="I2">
        <f>G2*F2</f>
        <v>56130</v>
      </c>
      <c r="J2" s="8">
        <f>SUM(H2:H3001)</f>
        <v>955104152</v>
      </c>
      <c r="K2" s="8" t="s">
        <v>8</v>
      </c>
      <c r="L2" s="8">
        <v>144642750</v>
      </c>
      <c r="M2" s="8" t="str">
        <f>INDEX(K2:K8,MATCH(MAX(L2:L8),L2:L8, 0))</f>
        <v>Mouse</v>
      </c>
      <c r="N2" s="8">
        <f>MAX(L2:L8)</f>
        <v>145099766</v>
      </c>
      <c r="R2" s="9" t="s">
        <v>14</v>
      </c>
      <c r="S2" s="10">
        <v>10.436657681940702</v>
      </c>
      <c r="T2" s="14" t="s">
        <v>24</v>
      </c>
      <c r="U2" s="13">
        <v>170955805</v>
      </c>
      <c r="V2" s="12" t="s">
        <v>59</v>
      </c>
      <c r="W2" s="13" t="s">
        <v>18</v>
      </c>
      <c r="X2" s="13" t="s">
        <v>15</v>
      </c>
      <c r="Y2" s="13" t="s">
        <v>17</v>
      </c>
      <c r="Z2" s="13" t="s">
        <v>16</v>
      </c>
      <c r="AA2" s="13" t="s">
        <v>31</v>
      </c>
      <c r="AB2" s="16">
        <f>SUM(B2:B3001)</f>
        <v>135322486</v>
      </c>
      <c r="AC2" s="16">
        <f>AVERAGE(B2:B3001)</f>
        <v>45107.495333333332</v>
      </c>
      <c r="AD2" s="16">
        <f>COUNT(A2:A3001)</f>
        <v>3000</v>
      </c>
      <c r="AE2" s="8" t="s">
        <v>8</v>
      </c>
      <c r="AF2" s="8">
        <v>144642750</v>
      </c>
      <c r="AG2" s="20" t="s">
        <v>18</v>
      </c>
      <c r="AH2" s="13">
        <v>262626474</v>
      </c>
    </row>
    <row r="3" spans="1:34" x14ac:dyDescent="0.3">
      <c r="A3">
        <v>10002</v>
      </c>
      <c r="B3" s="2">
        <v>45141</v>
      </c>
      <c r="C3" t="s">
        <v>9</v>
      </c>
      <c r="D3" t="s">
        <v>16</v>
      </c>
      <c r="E3" t="s">
        <v>20</v>
      </c>
      <c r="F3">
        <v>13</v>
      </c>
      <c r="G3">
        <v>31447</v>
      </c>
      <c r="H3">
        <v>408811</v>
      </c>
      <c r="I3">
        <f t="shared" ref="I3:I66" si="0">G3*F3</f>
        <v>408811</v>
      </c>
      <c r="J3" s="1" t="s">
        <v>26</v>
      </c>
      <c r="K3" s="8" t="s">
        <v>9</v>
      </c>
      <c r="L3" s="8">
        <v>144342862</v>
      </c>
      <c r="M3" s="4" t="s">
        <v>3</v>
      </c>
      <c r="N3" t="s">
        <v>35</v>
      </c>
      <c r="O3" s="12" t="s">
        <v>52</v>
      </c>
      <c r="P3" s="13" t="s">
        <v>53</v>
      </c>
      <c r="Q3" s="13" t="s">
        <v>54</v>
      </c>
      <c r="R3" s="11" t="s">
        <v>8</v>
      </c>
      <c r="S3" s="10">
        <v>10.533632286995516</v>
      </c>
      <c r="T3" s="14" t="s">
        <v>23</v>
      </c>
      <c r="U3" s="13">
        <v>164859551</v>
      </c>
      <c r="V3" s="14" t="s">
        <v>14</v>
      </c>
      <c r="W3" s="13">
        <v>30320945</v>
      </c>
      <c r="X3" s="13">
        <v>26350013</v>
      </c>
      <c r="Y3" s="13">
        <v>25629737</v>
      </c>
      <c r="Z3" s="13">
        <v>33744123</v>
      </c>
      <c r="AA3" s="13">
        <v>116044818</v>
      </c>
      <c r="AE3" s="8" t="s">
        <v>9</v>
      </c>
      <c r="AF3" s="8">
        <v>144342862</v>
      </c>
      <c r="AG3" s="20" t="s">
        <v>15</v>
      </c>
      <c r="AH3" s="13">
        <v>225784228</v>
      </c>
    </row>
    <row r="4" spans="1:34" x14ac:dyDescent="0.3">
      <c r="A4">
        <v>10003</v>
      </c>
      <c r="B4" s="2">
        <v>45154</v>
      </c>
      <c r="C4" t="s">
        <v>8</v>
      </c>
      <c r="D4" t="s">
        <v>16</v>
      </c>
      <c r="E4" t="s">
        <v>19</v>
      </c>
      <c r="F4">
        <v>17</v>
      </c>
      <c r="G4">
        <v>15964</v>
      </c>
      <c r="H4">
        <v>271388</v>
      </c>
      <c r="I4">
        <f t="shared" si="0"/>
        <v>271388</v>
      </c>
      <c r="J4" s="8">
        <f>AVERAGE(G2:G3001)</f>
        <v>30560.555</v>
      </c>
      <c r="K4" s="8" t="s">
        <v>10</v>
      </c>
      <c r="L4" s="8">
        <v>131945752</v>
      </c>
      <c r="M4" s="5" t="s">
        <v>18</v>
      </c>
      <c r="N4">
        <v>262626474</v>
      </c>
      <c r="O4" s="14" t="s">
        <v>38</v>
      </c>
      <c r="P4" s="13">
        <v>282</v>
      </c>
      <c r="Q4" s="13">
        <v>90764127</v>
      </c>
      <c r="R4" s="11" t="s">
        <v>9</v>
      </c>
      <c r="S4" s="10">
        <v>10.598253275109171</v>
      </c>
      <c r="T4" s="14" t="s">
        <v>20</v>
      </c>
      <c r="U4" s="13">
        <v>161618082</v>
      </c>
      <c r="V4" s="14" t="s">
        <v>8</v>
      </c>
      <c r="W4" s="13">
        <v>44112398</v>
      </c>
      <c r="X4" s="13">
        <v>39357875</v>
      </c>
      <c r="Y4" s="13">
        <v>28505845</v>
      </c>
      <c r="Z4" s="13">
        <v>32666632</v>
      </c>
      <c r="AA4" s="13">
        <v>144642750</v>
      </c>
      <c r="AE4" s="8" t="s">
        <v>10</v>
      </c>
      <c r="AF4" s="8">
        <v>131945752</v>
      </c>
      <c r="AG4" s="20" t="s">
        <v>17</v>
      </c>
      <c r="AH4" s="13">
        <v>232704424</v>
      </c>
    </row>
    <row r="5" spans="1:34" x14ac:dyDescent="0.3">
      <c r="A5">
        <v>10004</v>
      </c>
      <c r="B5" s="2">
        <v>45212</v>
      </c>
      <c r="C5" t="s">
        <v>10</v>
      </c>
      <c r="D5" t="s">
        <v>16</v>
      </c>
      <c r="E5" t="s">
        <v>20</v>
      </c>
      <c r="F5">
        <v>1</v>
      </c>
      <c r="G5">
        <v>7998</v>
      </c>
      <c r="H5">
        <v>7998</v>
      </c>
      <c r="I5">
        <f t="shared" si="0"/>
        <v>7998</v>
      </c>
      <c r="J5" s="1" t="s">
        <v>27</v>
      </c>
      <c r="K5" s="8" t="s">
        <v>11</v>
      </c>
      <c r="L5" s="8">
        <v>145099766</v>
      </c>
      <c r="O5" s="14" t="s">
        <v>39</v>
      </c>
      <c r="P5" s="13">
        <v>227</v>
      </c>
      <c r="Q5" s="13">
        <v>68914330</v>
      </c>
      <c r="R5" s="11" t="s">
        <v>12</v>
      </c>
      <c r="S5" s="10">
        <v>10.470588235294118</v>
      </c>
      <c r="T5" s="14" t="s">
        <v>22</v>
      </c>
      <c r="U5" s="13">
        <v>158180632</v>
      </c>
      <c r="V5" s="14" t="s">
        <v>9</v>
      </c>
      <c r="W5" s="13">
        <v>39715517</v>
      </c>
      <c r="X5" s="13">
        <v>29643235</v>
      </c>
      <c r="Y5" s="13">
        <v>40615910</v>
      </c>
      <c r="Z5" s="13">
        <v>34368200</v>
      </c>
      <c r="AA5" s="13">
        <v>144342862</v>
      </c>
      <c r="AE5" s="8" t="s">
        <v>11</v>
      </c>
      <c r="AF5" s="8">
        <v>145099766</v>
      </c>
      <c r="AG5" s="20" t="s">
        <v>16</v>
      </c>
      <c r="AH5" s="13">
        <v>233989026</v>
      </c>
    </row>
    <row r="6" spans="1:34" x14ac:dyDescent="0.3">
      <c r="A6">
        <v>10005</v>
      </c>
      <c r="B6" s="2">
        <v>44999</v>
      </c>
      <c r="C6" t="s">
        <v>10</v>
      </c>
      <c r="D6" t="s">
        <v>17</v>
      </c>
      <c r="E6" t="s">
        <v>20</v>
      </c>
      <c r="F6">
        <v>15</v>
      </c>
      <c r="G6">
        <v>24427</v>
      </c>
      <c r="H6">
        <v>366405</v>
      </c>
      <c r="I6">
        <f t="shared" si="0"/>
        <v>366405</v>
      </c>
      <c r="J6" s="8">
        <f>COUNT(A2:A3001)</f>
        <v>3000</v>
      </c>
      <c r="K6" s="8" t="s">
        <v>12</v>
      </c>
      <c r="L6" s="8">
        <v>143906689</v>
      </c>
      <c r="M6" s="4" t="s">
        <v>37</v>
      </c>
      <c r="N6" t="s">
        <v>36</v>
      </c>
      <c r="O6" s="14" t="s">
        <v>40</v>
      </c>
      <c r="P6" s="13">
        <v>258</v>
      </c>
      <c r="Q6" s="13">
        <v>80557161</v>
      </c>
      <c r="R6" s="11" t="s">
        <v>11</v>
      </c>
      <c r="S6" s="10">
        <v>10.410714285714286</v>
      </c>
      <c r="T6" s="14" t="s">
        <v>19</v>
      </c>
      <c r="U6" s="13">
        <v>153290767</v>
      </c>
      <c r="V6" s="14" t="s">
        <v>12</v>
      </c>
      <c r="W6" s="13">
        <v>37374587</v>
      </c>
      <c r="X6" s="13">
        <v>31449635</v>
      </c>
      <c r="Y6" s="13">
        <v>39314533</v>
      </c>
      <c r="Z6" s="13">
        <v>35767934</v>
      </c>
      <c r="AA6" s="13">
        <v>143906689</v>
      </c>
      <c r="AE6" s="8" t="s">
        <v>12</v>
      </c>
      <c r="AF6" s="8">
        <v>143906689</v>
      </c>
    </row>
    <row r="7" spans="1:34" x14ac:dyDescent="0.3">
      <c r="A7">
        <v>10006</v>
      </c>
      <c r="B7" s="2">
        <v>45038</v>
      </c>
      <c r="C7" t="s">
        <v>11</v>
      </c>
      <c r="D7" t="s">
        <v>15</v>
      </c>
      <c r="E7" t="s">
        <v>19</v>
      </c>
      <c r="F7">
        <v>18</v>
      </c>
      <c r="G7">
        <v>29506</v>
      </c>
      <c r="H7">
        <v>531108</v>
      </c>
      <c r="I7">
        <f t="shared" si="0"/>
        <v>531108</v>
      </c>
      <c r="J7" s="1" t="s">
        <v>28</v>
      </c>
      <c r="K7" s="8" t="s">
        <v>13</v>
      </c>
      <c r="L7" s="8">
        <v>129121515</v>
      </c>
      <c r="M7" s="5" t="s">
        <v>23</v>
      </c>
      <c r="N7">
        <v>5758</v>
      </c>
      <c r="O7" s="14" t="s">
        <v>41</v>
      </c>
      <c r="P7" s="13">
        <v>259</v>
      </c>
      <c r="Q7" s="13">
        <v>90302978</v>
      </c>
      <c r="R7" s="11" t="s">
        <v>13</v>
      </c>
      <c r="S7" s="10">
        <v>10.240384615384615</v>
      </c>
      <c r="V7" s="14" t="s">
        <v>11</v>
      </c>
      <c r="W7" s="13">
        <v>40685961</v>
      </c>
      <c r="X7" s="13">
        <v>36645724</v>
      </c>
      <c r="Y7" s="13">
        <v>33467689</v>
      </c>
      <c r="Z7" s="13">
        <v>34300392</v>
      </c>
      <c r="AA7" s="13">
        <v>145099766</v>
      </c>
      <c r="AE7" s="8" t="s">
        <v>13</v>
      </c>
      <c r="AF7" s="8">
        <v>129121515</v>
      </c>
    </row>
    <row r="8" spans="1:34" x14ac:dyDescent="0.3">
      <c r="A8">
        <v>10007</v>
      </c>
      <c r="B8" s="2">
        <v>44935</v>
      </c>
      <c r="C8" t="s">
        <v>8</v>
      </c>
      <c r="D8" t="s">
        <v>18</v>
      </c>
      <c r="E8" t="s">
        <v>21</v>
      </c>
      <c r="F8">
        <v>11</v>
      </c>
      <c r="G8">
        <v>27450</v>
      </c>
      <c r="H8">
        <v>301950</v>
      </c>
      <c r="I8">
        <f t="shared" si="0"/>
        <v>301950</v>
      </c>
      <c r="J8" s="8">
        <f>MAX(G2:G3001)</f>
        <v>59959</v>
      </c>
      <c r="K8" s="8" t="s">
        <v>14</v>
      </c>
      <c r="L8" s="8">
        <v>116044818</v>
      </c>
      <c r="O8" s="14" t="s">
        <v>42</v>
      </c>
      <c r="P8" s="13">
        <v>260</v>
      </c>
      <c r="Q8" s="13">
        <v>86433243</v>
      </c>
      <c r="R8" s="11" t="s">
        <v>10</v>
      </c>
      <c r="S8" s="10">
        <v>10.431980906921241</v>
      </c>
      <c r="V8" s="14" t="s">
        <v>13</v>
      </c>
      <c r="W8" s="13">
        <v>34846775</v>
      </c>
      <c r="X8" s="13">
        <v>35477038</v>
      </c>
      <c r="Y8" s="13">
        <v>29170638</v>
      </c>
      <c r="Z8" s="13">
        <v>29627064</v>
      </c>
      <c r="AA8" s="13">
        <v>129121515</v>
      </c>
      <c r="AE8" s="8" t="s">
        <v>14</v>
      </c>
      <c r="AF8" s="8">
        <v>116044818</v>
      </c>
    </row>
    <row r="9" spans="1:34" x14ac:dyDescent="0.3">
      <c r="A9">
        <v>10008</v>
      </c>
      <c r="B9" s="2">
        <v>44961</v>
      </c>
      <c r="C9" t="s">
        <v>12</v>
      </c>
      <c r="D9" t="s">
        <v>16</v>
      </c>
      <c r="E9" t="s">
        <v>19</v>
      </c>
      <c r="F9">
        <v>17</v>
      </c>
      <c r="G9">
        <v>47146</v>
      </c>
      <c r="H9">
        <v>801482</v>
      </c>
      <c r="I9">
        <f t="shared" si="0"/>
        <v>801482</v>
      </c>
      <c r="J9" s="1" t="s">
        <v>29</v>
      </c>
      <c r="O9" s="14" t="s">
        <v>43</v>
      </c>
      <c r="P9" s="13">
        <v>246</v>
      </c>
      <c r="Q9" s="13">
        <v>75102365</v>
      </c>
      <c r="V9" s="14" t="s">
        <v>10</v>
      </c>
      <c r="W9" s="13">
        <v>35570291</v>
      </c>
      <c r="X9" s="13">
        <v>26860708</v>
      </c>
      <c r="Y9" s="13">
        <v>36000072</v>
      </c>
      <c r="Z9" s="13">
        <v>33514681</v>
      </c>
      <c r="AA9" s="13">
        <v>131945752</v>
      </c>
    </row>
    <row r="10" spans="1:34" x14ac:dyDescent="0.3">
      <c r="A10">
        <v>10009</v>
      </c>
      <c r="B10" s="2">
        <v>44986</v>
      </c>
      <c r="C10" t="s">
        <v>12</v>
      </c>
      <c r="D10" t="s">
        <v>18</v>
      </c>
      <c r="E10" t="s">
        <v>21</v>
      </c>
      <c r="F10">
        <v>1</v>
      </c>
      <c r="G10">
        <v>32413</v>
      </c>
      <c r="H10">
        <v>32413</v>
      </c>
      <c r="I10">
        <f t="shared" si="0"/>
        <v>32413</v>
      </c>
      <c r="J10" s="18">
        <f>MIN(G2:G3001)</f>
        <v>501</v>
      </c>
      <c r="K10" s="4" t="s">
        <v>2</v>
      </c>
      <c r="L10" t="s">
        <v>33</v>
      </c>
      <c r="O10" s="14" t="s">
        <v>44</v>
      </c>
      <c r="P10" s="13">
        <v>249</v>
      </c>
      <c r="Q10" s="13">
        <v>76866116</v>
      </c>
      <c r="V10" s="14" t="s">
        <v>31</v>
      </c>
      <c r="W10" s="13">
        <v>262626474</v>
      </c>
      <c r="X10" s="13">
        <v>225784228</v>
      </c>
      <c r="Y10" s="13">
        <v>232704424</v>
      </c>
      <c r="Z10" s="13">
        <v>233989026</v>
      </c>
      <c r="AA10" s="13">
        <v>955104152</v>
      </c>
    </row>
    <row r="11" spans="1:34" x14ac:dyDescent="0.3">
      <c r="A11">
        <v>10010</v>
      </c>
      <c r="B11" s="2">
        <v>44954</v>
      </c>
      <c r="C11" t="s">
        <v>10</v>
      </c>
      <c r="D11" t="s">
        <v>15</v>
      </c>
      <c r="E11" t="s">
        <v>22</v>
      </c>
      <c r="F11">
        <v>15</v>
      </c>
      <c r="G11">
        <v>49247</v>
      </c>
      <c r="H11">
        <v>738705</v>
      </c>
      <c r="I11">
        <f t="shared" si="0"/>
        <v>738705</v>
      </c>
      <c r="K11" s="5" t="s">
        <v>11</v>
      </c>
      <c r="L11">
        <v>145099766</v>
      </c>
      <c r="O11" s="14" t="s">
        <v>45</v>
      </c>
      <c r="P11" s="13">
        <v>238</v>
      </c>
      <c r="Q11" s="13">
        <v>67055958</v>
      </c>
    </row>
    <row r="12" spans="1:34" x14ac:dyDescent="0.3">
      <c r="A12">
        <v>10011</v>
      </c>
      <c r="B12" s="2">
        <v>45188</v>
      </c>
      <c r="C12" t="s">
        <v>10</v>
      </c>
      <c r="D12" t="s">
        <v>18</v>
      </c>
      <c r="E12" t="s">
        <v>22</v>
      </c>
      <c r="F12">
        <v>3</v>
      </c>
      <c r="G12">
        <v>4699</v>
      </c>
      <c r="H12">
        <v>14097</v>
      </c>
      <c r="I12">
        <f t="shared" si="0"/>
        <v>14097</v>
      </c>
      <c r="O12" s="14" t="s">
        <v>46</v>
      </c>
      <c r="P12" s="13">
        <v>238</v>
      </c>
      <c r="Q12" s="15">
        <v>77940151</v>
      </c>
    </row>
    <row r="13" spans="1:34" x14ac:dyDescent="0.3">
      <c r="A13">
        <v>10012</v>
      </c>
      <c r="B13" s="2">
        <v>45091</v>
      </c>
      <c r="C13" t="s">
        <v>11</v>
      </c>
      <c r="D13" t="s">
        <v>18</v>
      </c>
      <c r="E13" t="s">
        <v>21</v>
      </c>
      <c r="F13">
        <v>15</v>
      </c>
      <c r="G13">
        <v>42072</v>
      </c>
      <c r="H13">
        <v>631080</v>
      </c>
      <c r="I13">
        <f t="shared" si="0"/>
        <v>631080</v>
      </c>
      <c r="O13" s="14" t="s">
        <v>47</v>
      </c>
      <c r="P13" s="13">
        <v>239</v>
      </c>
      <c r="Q13" s="15">
        <v>77544990</v>
      </c>
    </row>
    <row r="14" spans="1:34" x14ac:dyDescent="0.3">
      <c r="A14">
        <v>10013</v>
      </c>
      <c r="B14" s="2">
        <v>45231</v>
      </c>
      <c r="C14" t="s">
        <v>10</v>
      </c>
      <c r="D14" t="s">
        <v>17</v>
      </c>
      <c r="E14" t="s">
        <v>21</v>
      </c>
      <c r="F14">
        <v>12</v>
      </c>
      <c r="G14">
        <v>39654</v>
      </c>
      <c r="H14">
        <v>475848</v>
      </c>
      <c r="I14">
        <f t="shared" si="0"/>
        <v>475848</v>
      </c>
      <c r="O14" s="14" t="s">
        <v>48</v>
      </c>
      <c r="P14" s="13">
        <v>268</v>
      </c>
      <c r="Q14" s="15">
        <v>82345904</v>
      </c>
    </row>
    <row r="15" spans="1:34" x14ac:dyDescent="0.3">
      <c r="A15">
        <v>10014</v>
      </c>
      <c r="B15" s="2">
        <v>45041</v>
      </c>
      <c r="C15" t="s">
        <v>11</v>
      </c>
      <c r="D15" t="s">
        <v>15</v>
      </c>
      <c r="E15" t="s">
        <v>22</v>
      </c>
      <c r="F15">
        <v>6</v>
      </c>
      <c r="G15">
        <v>52534</v>
      </c>
      <c r="H15">
        <v>315204</v>
      </c>
      <c r="I15">
        <f t="shared" si="0"/>
        <v>315204</v>
      </c>
      <c r="O15" s="14" t="s">
        <v>49</v>
      </c>
      <c r="P15" s="13">
        <v>236</v>
      </c>
      <c r="Q15" s="15">
        <v>81276829</v>
      </c>
    </row>
    <row r="16" spans="1:34" x14ac:dyDescent="0.3">
      <c r="A16">
        <v>10015</v>
      </c>
      <c r="B16" s="2">
        <v>44978</v>
      </c>
      <c r="C16" t="s">
        <v>10</v>
      </c>
      <c r="D16" t="s">
        <v>15</v>
      </c>
      <c r="E16" t="s">
        <v>23</v>
      </c>
      <c r="F16">
        <v>5</v>
      </c>
      <c r="G16">
        <v>52669</v>
      </c>
      <c r="H16">
        <v>263345</v>
      </c>
      <c r="I16">
        <f t="shared" si="0"/>
        <v>263345</v>
      </c>
    </row>
    <row r="17" spans="1:9" x14ac:dyDescent="0.3">
      <c r="A17">
        <v>10016</v>
      </c>
      <c r="B17" s="2">
        <v>45147</v>
      </c>
      <c r="C17" t="s">
        <v>8</v>
      </c>
      <c r="D17" t="s">
        <v>18</v>
      </c>
      <c r="E17" t="s">
        <v>23</v>
      </c>
      <c r="F17">
        <v>1</v>
      </c>
      <c r="G17">
        <v>29501</v>
      </c>
      <c r="H17">
        <v>29501</v>
      </c>
      <c r="I17">
        <f t="shared" si="0"/>
        <v>29501</v>
      </c>
    </row>
    <row r="18" spans="1:9" x14ac:dyDescent="0.3">
      <c r="A18">
        <v>10017</v>
      </c>
      <c r="B18" s="2">
        <v>45053</v>
      </c>
      <c r="C18" t="s">
        <v>12</v>
      </c>
      <c r="D18" t="s">
        <v>16</v>
      </c>
      <c r="E18" t="s">
        <v>21</v>
      </c>
      <c r="F18">
        <v>3</v>
      </c>
      <c r="G18">
        <v>1059</v>
      </c>
      <c r="H18">
        <v>3177</v>
      </c>
      <c r="I18">
        <f t="shared" si="0"/>
        <v>3177</v>
      </c>
    </row>
    <row r="19" spans="1:9" x14ac:dyDescent="0.3">
      <c r="A19">
        <v>10018</v>
      </c>
      <c r="B19" s="2">
        <v>45089</v>
      </c>
      <c r="C19" t="s">
        <v>9</v>
      </c>
      <c r="D19" t="s">
        <v>18</v>
      </c>
      <c r="E19" t="s">
        <v>20</v>
      </c>
      <c r="F19">
        <v>12</v>
      </c>
      <c r="G19">
        <v>39102</v>
      </c>
      <c r="H19">
        <v>469224</v>
      </c>
      <c r="I19">
        <f t="shared" si="0"/>
        <v>469224</v>
      </c>
    </row>
    <row r="20" spans="1:9" x14ac:dyDescent="0.3">
      <c r="A20">
        <v>10019</v>
      </c>
      <c r="B20" s="2">
        <v>45108</v>
      </c>
      <c r="C20" t="s">
        <v>8</v>
      </c>
      <c r="D20" t="s">
        <v>15</v>
      </c>
      <c r="E20" t="s">
        <v>24</v>
      </c>
      <c r="F20">
        <v>6</v>
      </c>
      <c r="G20">
        <v>3115</v>
      </c>
      <c r="H20">
        <v>18690</v>
      </c>
      <c r="I20">
        <f t="shared" si="0"/>
        <v>18690</v>
      </c>
    </row>
    <row r="21" spans="1:9" x14ac:dyDescent="0.3">
      <c r="A21">
        <v>10020</v>
      </c>
      <c r="B21" s="2">
        <v>45013</v>
      </c>
      <c r="C21" t="s">
        <v>13</v>
      </c>
      <c r="D21" t="s">
        <v>15</v>
      </c>
      <c r="E21" t="s">
        <v>24</v>
      </c>
      <c r="F21">
        <v>14</v>
      </c>
      <c r="G21">
        <v>6317</v>
      </c>
      <c r="H21">
        <v>88438</v>
      </c>
      <c r="I21">
        <f t="shared" si="0"/>
        <v>88438</v>
      </c>
    </row>
    <row r="22" spans="1:9" x14ac:dyDescent="0.3">
      <c r="A22">
        <v>10021</v>
      </c>
      <c r="B22" s="2">
        <v>45204</v>
      </c>
      <c r="C22" t="s">
        <v>9</v>
      </c>
      <c r="D22" t="s">
        <v>18</v>
      </c>
      <c r="E22" t="s">
        <v>21</v>
      </c>
      <c r="F22">
        <v>14</v>
      </c>
      <c r="G22">
        <v>9167</v>
      </c>
      <c r="H22">
        <v>128338</v>
      </c>
      <c r="I22">
        <f t="shared" si="0"/>
        <v>128338</v>
      </c>
    </row>
    <row r="23" spans="1:9" x14ac:dyDescent="0.3">
      <c r="A23">
        <v>10022</v>
      </c>
      <c r="B23" s="2">
        <v>45125</v>
      </c>
      <c r="C23" t="s">
        <v>14</v>
      </c>
      <c r="D23" t="s">
        <v>16</v>
      </c>
      <c r="E23" t="s">
        <v>24</v>
      </c>
      <c r="F23">
        <v>1</v>
      </c>
      <c r="G23">
        <v>3469</v>
      </c>
      <c r="H23">
        <v>3469</v>
      </c>
      <c r="I23">
        <f t="shared" si="0"/>
        <v>3469</v>
      </c>
    </row>
    <row r="24" spans="1:9" x14ac:dyDescent="0.3">
      <c r="A24">
        <v>10023</v>
      </c>
      <c r="B24" s="2">
        <v>45121</v>
      </c>
      <c r="C24" t="s">
        <v>9</v>
      </c>
      <c r="D24" t="s">
        <v>17</v>
      </c>
      <c r="E24" t="s">
        <v>22</v>
      </c>
      <c r="F24">
        <v>3</v>
      </c>
      <c r="G24">
        <v>10394</v>
      </c>
      <c r="H24">
        <v>31182</v>
      </c>
      <c r="I24">
        <f t="shared" si="0"/>
        <v>31182</v>
      </c>
    </row>
    <row r="25" spans="1:9" x14ac:dyDescent="0.3">
      <c r="A25">
        <v>10024</v>
      </c>
      <c r="B25" s="2">
        <v>45009</v>
      </c>
      <c r="C25" t="s">
        <v>13</v>
      </c>
      <c r="D25" t="s">
        <v>18</v>
      </c>
      <c r="E25" t="s">
        <v>24</v>
      </c>
      <c r="F25">
        <v>1</v>
      </c>
      <c r="G25">
        <v>54444</v>
      </c>
      <c r="H25">
        <v>54444</v>
      </c>
      <c r="I25">
        <f t="shared" si="0"/>
        <v>54444</v>
      </c>
    </row>
    <row r="26" spans="1:9" x14ac:dyDescent="0.3">
      <c r="A26">
        <v>10025</v>
      </c>
      <c r="B26" s="2">
        <v>45111</v>
      </c>
      <c r="C26" t="s">
        <v>9</v>
      </c>
      <c r="D26" t="s">
        <v>17</v>
      </c>
      <c r="E26" t="s">
        <v>23</v>
      </c>
      <c r="F26">
        <v>3</v>
      </c>
      <c r="G26">
        <v>4960</v>
      </c>
      <c r="H26">
        <v>14880</v>
      </c>
      <c r="I26">
        <f t="shared" si="0"/>
        <v>14880</v>
      </c>
    </row>
    <row r="27" spans="1:9" x14ac:dyDescent="0.3">
      <c r="A27">
        <v>10026</v>
      </c>
      <c r="B27" s="2">
        <v>44976</v>
      </c>
      <c r="C27" t="s">
        <v>12</v>
      </c>
      <c r="D27" t="s">
        <v>16</v>
      </c>
      <c r="E27" t="s">
        <v>22</v>
      </c>
      <c r="F27">
        <v>2</v>
      </c>
      <c r="G27">
        <v>20055</v>
      </c>
      <c r="H27">
        <v>40110</v>
      </c>
      <c r="I27">
        <f t="shared" si="0"/>
        <v>40110</v>
      </c>
    </row>
    <row r="28" spans="1:9" x14ac:dyDescent="0.3">
      <c r="A28">
        <v>10027</v>
      </c>
      <c r="B28" s="2">
        <v>45281</v>
      </c>
      <c r="C28" t="s">
        <v>14</v>
      </c>
      <c r="D28" t="s">
        <v>15</v>
      </c>
      <c r="E28" t="s">
        <v>23</v>
      </c>
      <c r="F28">
        <v>11</v>
      </c>
      <c r="G28">
        <v>16483</v>
      </c>
      <c r="H28">
        <v>181313</v>
      </c>
      <c r="I28">
        <f t="shared" si="0"/>
        <v>181313</v>
      </c>
    </row>
    <row r="29" spans="1:9" x14ac:dyDescent="0.3">
      <c r="A29">
        <v>10028</v>
      </c>
      <c r="B29" s="2">
        <v>45055</v>
      </c>
      <c r="C29" t="s">
        <v>10</v>
      </c>
      <c r="D29" t="s">
        <v>15</v>
      </c>
      <c r="E29" t="s">
        <v>20</v>
      </c>
      <c r="F29">
        <v>17</v>
      </c>
      <c r="G29">
        <v>49017</v>
      </c>
      <c r="H29">
        <v>833289</v>
      </c>
      <c r="I29">
        <f t="shared" si="0"/>
        <v>833289</v>
      </c>
    </row>
    <row r="30" spans="1:9" x14ac:dyDescent="0.3">
      <c r="A30">
        <v>10029</v>
      </c>
      <c r="B30" s="2">
        <v>44928</v>
      </c>
      <c r="C30" t="s">
        <v>9</v>
      </c>
      <c r="D30" t="s">
        <v>15</v>
      </c>
      <c r="E30" t="s">
        <v>24</v>
      </c>
      <c r="F30">
        <v>19</v>
      </c>
      <c r="G30">
        <v>6254</v>
      </c>
      <c r="H30">
        <v>118826</v>
      </c>
      <c r="I30">
        <f t="shared" si="0"/>
        <v>118826</v>
      </c>
    </row>
    <row r="31" spans="1:9" x14ac:dyDescent="0.3">
      <c r="A31">
        <v>10030</v>
      </c>
      <c r="B31" s="2">
        <v>44951</v>
      </c>
      <c r="C31" t="s">
        <v>8</v>
      </c>
      <c r="D31" t="s">
        <v>16</v>
      </c>
      <c r="E31" t="s">
        <v>22</v>
      </c>
      <c r="F31">
        <v>19</v>
      </c>
      <c r="G31">
        <v>45051</v>
      </c>
      <c r="H31">
        <v>855969</v>
      </c>
      <c r="I31">
        <f t="shared" si="0"/>
        <v>855969</v>
      </c>
    </row>
    <row r="32" spans="1:9" x14ac:dyDescent="0.3">
      <c r="A32">
        <v>10031</v>
      </c>
      <c r="B32" s="2">
        <v>45048</v>
      </c>
      <c r="C32" t="s">
        <v>11</v>
      </c>
      <c r="D32" t="s">
        <v>18</v>
      </c>
      <c r="E32" t="s">
        <v>22</v>
      </c>
      <c r="F32">
        <v>5</v>
      </c>
      <c r="G32">
        <v>37913</v>
      </c>
      <c r="H32">
        <v>189565</v>
      </c>
      <c r="I32">
        <f t="shared" si="0"/>
        <v>189565</v>
      </c>
    </row>
    <row r="33" spans="1:9" x14ac:dyDescent="0.3">
      <c r="A33">
        <v>10032</v>
      </c>
      <c r="B33" s="2">
        <v>45096</v>
      </c>
      <c r="C33" t="s">
        <v>13</v>
      </c>
      <c r="D33" t="s">
        <v>18</v>
      </c>
      <c r="E33" t="s">
        <v>24</v>
      </c>
      <c r="F33">
        <v>4</v>
      </c>
      <c r="G33">
        <v>52918</v>
      </c>
      <c r="H33">
        <v>211672</v>
      </c>
      <c r="I33">
        <f t="shared" si="0"/>
        <v>211672</v>
      </c>
    </row>
    <row r="34" spans="1:9" x14ac:dyDescent="0.3">
      <c r="A34">
        <v>10033</v>
      </c>
      <c r="B34" s="2">
        <v>44951</v>
      </c>
      <c r="C34" t="s">
        <v>14</v>
      </c>
      <c r="D34" t="s">
        <v>15</v>
      </c>
      <c r="E34" t="s">
        <v>24</v>
      </c>
      <c r="F34">
        <v>13</v>
      </c>
      <c r="G34">
        <v>56619</v>
      </c>
      <c r="H34">
        <v>736047</v>
      </c>
      <c r="I34">
        <f t="shared" si="0"/>
        <v>736047</v>
      </c>
    </row>
    <row r="35" spans="1:9" x14ac:dyDescent="0.3">
      <c r="A35">
        <v>10034</v>
      </c>
      <c r="B35" s="2">
        <v>45159</v>
      </c>
      <c r="C35" t="s">
        <v>8</v>
      </c>
      <c r="D35" t="s">
        <v>18</v>
      </c>
      <c r="E35" t="s">
        <v>23</v>
      </c>
      <c r="F35">
        <v>11</v>
      </c>
      <c r="G35">
        <v>23308</v>
      </c>
      <c r="H35">
        <v>256388</v>
      </c>
      <c r="I35">
        <f t="shared" si="0"/>
        <v>256388</v>
      </c>
    </row>
    <row r="36" spans="1:9" x14ac:dyDescent="0.3">
      <c r="A36">
        <v>10035</v>
      </c>
      <c r="B36" s="2">
        <v>45035</v>
      </c>
      <c r="C36" t="s">
        <v>13</v>
      </c>
      <c r="D36" t="s">
        <v>16</v>
      </c>
      <c r="E36" t="s">
        <v>21</v>
      </c>
      <c r="F36">
        <v>1</v>
      </c>
      <c r="G36">
        <v>34892</v>
      </c>
      <c r="H36">
        <v>34892</v>
      </c>
      <c r="I36">
        <f t="shared" si="0"/>
        <v>34892</v>
      </c>
    </row>
    <row r="37" spans="1:9" x14ac:dyDescent="0.3">
      <c r="A37">
        <v>10036</v>
      </c>
      <c r="B37" s="2">
        <v>45096</v>
      </c>
      <c r="C37" t="s">
        <v>8</v>
      </c>
      <c r="D37" t="s">
        <v>16</v>
      </c>
      <c r="E37" t="s">
        <v>19</v>
      </c>
      <c r="F37">
        <v>11</v>
      </c>
      <c r="G37">
        <v>25019</v>
      </c>
      <c r="H37">
        <v>275209</v>
      </c>
      <c r="I37">
        <f t="shared" si="0"/>
        <v>275209</v>
      </c>
    </row>
    <row r="38" spans="1:9" x14ac:dyDescent="0.3">
      <c r="A38">
        <v>10037</v>
      </c>
      <c r="B38" s="2">
        <v>45272</v>
      </c>
      <c r="C38" t="s">
        <v>12</v>
      </c>
      <c r="D38" t="s">
        <v>18</v>
      </c>
      <c r="E38" t="s">
        <v>21</v>
      </c>
      <c r="F38">
        <v>15</v>
      </c>
      <c r="G38">
        <v>38315</v>
      </c>
      <c r="H38">
        <v>574725</v>
      </c>
      <c r="I38">
        <f t="shared" si="0"/>
        <v>574725</v>
      </c>
    </row>
    <row r="39" spans="1:9" x14ac:dyDescent="0.3">
      <c r="A39">
        <v>10038</v>
      </c>
      <c r="B39" s="2">
        <v>45061</v>
      </c>
      <c r="C39" t="s">
        <v>11</v>
      </c>
      <c r="D39" t="s">
        <v>16</v>
      </c>
      <c r="E39" t="s">
        <v>19</v>
      </c>
      <c r="F39">
        <v>16</v>
      </c>
      <c r="G39">
        <v>32544</v>
      </c>
      <c r="H39">
        <v>520704</v>
      </c>
      <c r="I39">
        <f t="shared" si="0"/>
        <v>520704</v>
      </c>
    </row>
    <row r="40" spans="1:9" x14ac:dyDescent="0.3">
      <c r="A40">
        <v>10039</v>
      </c>
      <c r="B40" s="2">
        <v>45190</v>
      </c>
      <c r="C40" t="s">
        <v>10</v>
      </c>
      <c r="D40" t="s">
        <v>16</v>
      </c>
      <c r="E40" t="s">
        <v>24</v>
      </c>
      <c r="F40">
        <v>9</v>
      </c>
      <c r="G40">
        <v>46063</v>
      </c>
      <c r="H40">
        <v>414567</v>
      </c>
      <c r="I40">
        <f t="shared" si="0"/>
        <v>414567</v>
      </c>
    </row>
    <row r="41" spans="1:9" x14ac:dyDescent="0.3">
      <c r="A41">
        <v>10040</v>
      </c>
      <c r="B41" s="2">
        <v>45237</v>
      </c>
      <c r="C41" t="s">
        <v>12</v>
      </c>
      <c r="D41" t="s">
        <v>16</v>
      </c>
      <c r="E41" t="s">
        <v>24</v>
      </c>
      <c r="F41">
        <v>8</v>
      </c>
      <c r="G41">
        <v>8487</v>
      </c>
      <c r="H41">
        <v>67896</v>
      </c>
      <c r="I41">
        <f t="shared" si="0"/>
        <v>67896</v>
      </c>
    </row>
    <row r="42" spans="1:9" x14ac:dyDescent="0.3">
      <c r="A42">
        <v>10041</v>
      </c>
      <c r="B42" s="2">
        <v>45028</v>
      </c>
      <c r="C42" t="s">
        <v>9</v>
      </c>
      <c r="D42" t="s">
        <v>18</v>
      </c>
      <c r="E42" t="s">
        <v>23</v>
      </c>
      <c r="F42">
        <v>18</v>
      </c>
      <c r="G42">
        <v>45642</v>
      </c>
      <c r="H42">
        <v>821556</v>
      </c>
      <c r="I42">
        <f t="shared" si="0"/>
        <v>821556</v>
      </c>
    </row>
    <row r="43" spans="1:9" x14ac:dyDescent="0.3">
      <c r="A43">
        <v>10042</v>
      </c>
      <c r="B43" s="2">
        <v>45229</v>
      </c>
      <c r="C43" t="s">
        <v>10</v>
      </c>
      <c r="D43" t="s">
        <v>18</v>
      </c>
      <c r="E43" t="s">
        <v>20</v>
      </c>
      <c r="F43">
        <v>19</v>
      </c>
      <c r="G43">
        <v>41951</v>
      </c>
      <c r="H43">
        <v>797069</v>
      </c>
      <c r="I43">
        <f t="shared" si="0"/>
        <v>797069</v>
      </c>
    </row>
    <row r="44" spans="1:9" x14ac:dyDescent="0.3">
      <c r="A44">
        <v>10043</v>
      </c>
      <c r="B44" s="2">
        <v>45027</v>
      </c>
      <c r="C44" t="s">
        <v>11</v>
      </c>
      <c r="D44" t="s">
        <v>16</v>
      </c>
      <c r="E44" t="s">
        <v>21</v>
      </c>
      <c r="F44">
        <v>3</v>
      </c>
      <c r="G44">
        <v>2518</v>
      </c>
      <c r="H44">
        <v>7554</v>
      </c>
      <c r="I44">
        <f t="shared" si="0"/>
        <v>7554</v>
      </c>
    </row>
    <row r="45" spans="1:9" x14ac:dyDescent="0.3">
      <c r="A45">
        <v>10044</v>
      </c>
      <c r="B45" s="2">
        <v>45234</v>
      </c>
      <c r="C45" t="s">
        <v>13</v>
      </c>
      <c r="D45" t="s">
        <v>15</v>
      </c>
      <c r="E45" t="s">
        <v>19</v>
      </c>
      <c r="F45">
        <v>11</v>
      </c>
      <c r="G45">
        <v>22345</v>
      </c>
      <c r="H45">
        <v>245795</v>
      </c>
      <c r="I45">
        <f t="shared" si="0"/>
        <v>245795</v>
      </c>
    </row>
    <row r="46" spans="1:9" x14ac:dyDescent="0.3">
      <c r="A46">
        <v>10045</v>
      </c>
      <c r="B46" s="2">
        <v>45222</v>
      </c>
      <c r="C46" t="s">
        <v>13</v>
      </c>
      <c r="D46" t="s">
        <v>16</v>
      </c>
      <c r="E46" t="s">
        <v>19</v>
      </c>
      <c r="F46">
        <v>7</v>
      </c>
      <c r="G46">
        <v>55324</v>
      </c>
      <c r="H46">
        <v>387268</v>
      </c>
      <c r="I46">
        <f t="shared" si="0"/>
        <v>387268</v>
      </c>
    </row>
    <row r="47" spans="1:9" x14ac:dyDescent="0.3">
      <c r="A47">
        <v>10046</v>
      </c>
      <c r="B47" s="2">
        <v>45186</v>
      </c>
      <c r="C47" t="s">
        <v>8</v>
      </c>
      <c r="D47" t="s">
        <v>17</v>
      </c>
      <c r="E47" t="s">
        <v>24</v>
      </c>
      <c r="F47">
        <v>9</v>
      </c>
      <c r="G47">
        <v>45592</v>
      </c>
      <c r="H47">
        <v>410328</v>
      </c>
      <c r="I47">
        <f t="shared" si="0"/>
        <v>410328</v>
      </c>
    </row>
    <row r="48" spans="1:9" x14ac:dyDescent="0.3">
      <c r="A48">
        <v>10047</v>
      </c>
      <c r="B48" s="2">
        <v>45098</v>
      </c>
      <c r="C48" t="s">
        <v>13</v>
      </c>
      <c r="D48" t="s">
        <v>15</v>
      </c>
      <c r="E48" t="s">
        <v>22</v>
      </c>
      <c r="F48">
        <v>4</v>
      </c>
      <c r="G48">
        <v>34399</v>
      </c>
      <c r="H48">
        <v>137596</v>
      </c>
      <c r="I48">
        <f t="shared" si="0"/>
        <v>137596</v>
      </c>
    </row>
    <row r="49" spans="1:9" x14ac:dyDescent="0.3">
      <c r="A49">
        <v>10048</v>
      </c>
      <c r="B49" s="2">
        <v>44961</v>
      </c>
      <c r="C49" t="s">
        <v>14</v>
      </c>
      <c r="D49" t="s">
        <v>15</v>
      </c>
      <c r="E49" t="s">
        <v>20</v>
      </c>
      <c r="F49">
        <v>1</v>
      </c>
      <c r="G49">
        <v>38681</v>
      </c>
      <c r="H49">
        <v>38681</v>
      </c>
      <c r="I49">
        <f t="shared" si="0"/>
        <v>38681</v>
      </c>
    </row>
    <row r="50" spans="1:9" x14ac:dyDescent="0.3">
      <c r="A50">
        <v>10049</v>
      </c>
      <c r="B50" s="2">
        <v>44958</v>
      </c>
      <c r="C50" t="s">
        <v>9</v>
      </c>
      <c r="D50" t="s">
        <v>17</v>
      </c>
      <c r="E50" t="s">
        <v>22</v>
      </c>
      <c r="F50">
        <v>3</v>
      </c>
      <c r="G50">
        <v>55179</v>
      </c>
      <c r="H50">
        <v>165537</v>
      </c>
      <c r="I50">
        <f t="shared" si="0"/>
        <v>165537</v>
      </c>
    </row>
    <row r="51" spans="1:9" x14ac:dyDescent="0.3">
      <c r="A51">
        <v>10050</v>
      </c>
      <c r="B51" s="2">
        <v>45188</v>
      </c>
      <c r="C51" t="s">
        <v>8</v>
      </c>
      <c r="D51" t="s">
        <v>18</v>
      </c>
      <c r="E51" t="s">
        <v>19</v>
      </c>
      <c r="F51">
        <v>20</v>
      </c>
      <c r="G51">
        <v>46182</v>
      </c>
      <c r="H51">
        <v>923640</v>
      </c>
      <c r="I51">
        <f t="shared" si="0"/>
        <v>923640</v>
      </c>
    </row>
    <row r="52" spans="1:9" x14ac:dyDescent="0.3">
      <c r="A52">
        <v>10051</v>
      </c>
      <c r="B52" s="2">
        <v>45107</v>
      </c>
      <c r="C52" t="s">
        <v>13</v>
      </c>
      <c r="D52" t="s">
        <v>16</v>
      </c>
      <c r="E52" t="s">
        <v>22</v>
      </c>
      <c r="F52">
        <v>10</v>
      </c>
      <c r="G52">
        <v>16881</v>
      </c>
      <c r="H52">
        <v>168810</v>
      </c>
      <c r="I52">
        <f t="shared" si="0"/>
        <v>168810</v>
      </c>
    </row>
    <row r="53" spans="1:9" x14ac:dyDescent="0.3">
      <c r="A53">
        <v>10052</v>
      </c>
      <c r="B53" s="2">
        <v>44931</v>
      </c>
      <c r="C53" t="s">
        <v>13</v>
      </c>
      <c r="D53" t="s">
        <v>15</v>
      </c>
      <c r="E53" t="s">
        <v>24</v>
      </c>
      <c r="F53">
        <v>10</v>
      </c>
      <c r="G53">
        <v>9338</v>
      </c>
      <c r="H53">
        <v>93380</v>
      </c>
      <c r="I53">
        <f t="shared" si="0"/>
        <v>93380</v>
      </c>
    </row>
    <row r="54" spans="1:9" x14ac:dyDescent="0.3">
      <c r="A54">
        <v>10053</v>
      </c>
      <c r="B54" s="2">
        <v>45117</v>
      </c>
      <c r="C54" t="s">
        <v>9</v>
      </c>
      <c r="D54" t="s">
        <v>16</v>
      </c>
      <c r="E54" t="s">
        <v>19</v>
      </c>
      <c r="F54">
        <v>10</v>
      </c>
      <c r="G54">
        <v>53531</v>
      </c>
      <c r="H54">
        <v>535310</v>
      </c>
      <c r="I54">
        <f t="shared" si="0"/>
        <v>535310</v>
      </c>
    </row>
    <row r="55" spans="1:9" x14ac:dyDescent="0.3">
      <c r="A55">
        <v>10054</v>
      </c>
      <c r="B55" s="2">
        <v>45033</v>
      </c>
      <c r="C55" t="s">
        <v>8</v>
      </c>
      <c r="D55" t="s">
        <v>16</v>
      </c>
      <c r="E55" t="s">
        <v>22</v>
      </c>
      <c r="F55">
        <v>5</v>
      </c>
      <c r="G55">
        <v>38770</v>
      </c>
      <c r="H55">
        <v>193850</v>
      </c>
      <c r="I55">
        <f t="shared" si="0"/>
        <v>193850</v>
      </c>
    </row>
    <row r="56" spans="1:9" x14ac:dyDescent="0.3">
      <c r="A56">
        <v>10055</v>
      </c>
      <c r="B56" s="2">
        <v>45208</v>
      </c>
      <c r="C56" t="s">
        <v>10</v>
      </c>
      <c r="D56" t="s">
        <v>17</v>
      </c>
      <c r="E56" t="s">
        <v>21</v>
      </c>
      <c r="F56">
        <v>15</v>
      </c>
      <c r="G56">
        <v>45168</v>
      </c>
      <c r="H56">
        <v>677520</v>
      </c>
      <c r="I56">
        <f t="shared" si="0"/>
        <v>677520</v>
      </c>
    </row>
    <row r="57" spans="1:9" x14ac:dyDescent="0.3">
      <c r="A57">
        <v>10056</v>
      </c>
      <c r="B57" s="2">
        <v>45060</v>
      </c>
      <c r="C57" t="s">
        <v>9</v>
      </c>
      <c r="D57" t="s">
        <v>17</v>
      </c>
      <c r="E57" t="s">
        <v>23</v>
      </c>
      <c r="F57">
        <v>2</v>
      </c>
      <c r="G57">
        <v>3989</v>
      </c>
      <c r="H57">
        <v>7978</v>
      </c>
      <c r="I57">
        <f t="shared" si="0"/>
        <v>7978</v>
      </c>
    </row>
    <row r="58" spans="1:9" x14ac:dyDescent="0.3">
      <c r="A58">
        <v>10057</v>
      </c>
      <c r="B58" s="2">
        <v>45229</v>
      </c>
      <c r="C58" t="s">
        <v>12</v>
      </c>
      <c r="D58" t="s">
        <v>18</v>
      </c>
      <c r="E58" t="s">
        <v>22</v>
      </c>
      <c r="F58">
        <v>20</v>
      </c>
      <c r="G58">
        <v>2933</v>
      </c>
      <c r="H58">
        <v>58660</v>
      </c>
      <c r="I58">
        <f t="shared" si="0"/>
        <v>58660</v>
      </c>
    </row>
    <row r="59" spans="1:9" x14ac:dyDescent="0.3">
      <c r="A59">
        <v>10058</v>
      </c>
      <c r="B59" s="2">
        <v>45153</v>
      </c>
      <c r="C59" t="s">
        <v>14</v>
      </c>
      <c r="D59" t="s">
        <v>17</v>
      </c>
      <c r="E59" t="s">
        <v>20</v>
      </c>
      <c r="F59">
        <v>8</v>
      </c>
      <c r="G59">
        <v>42271</v>
      </c>
      <c r="H59">
        <v>338168</v>
      </c>
      <c r="I59">
        <f t="shared" si="0"/>
        <v>338168</v>
      </c>
    </row>
    <row r="60" spans="1:9" x14ac:dyDescent="0.3">
      <c r="A60">
        <v>10059</v>
      </c>
      <c r="B60" s="2">
        <v>45244</v>
      </c>
      <c r="C60" t="s">
        <v>13</v>
      </c>
      <c r="D60" t="s">
        <v>18</v>
      </c>
      <c r="E60" t="s">
        <v>20</v>
      </c>
      <c r="F60">
        <v>2</v>
      </c>
      <c r="G60">
        <v>37969</v>
      </c>
      <c r="H60">
        <v>75938</v>
      </c>
      <c r="I60">
        <f t="shared" si="0"/>
        <v>75938</v>
      </c>
    </row>
    <row r="61" spans="1:9" x14ac:dyDescent="0.3">
      <c r="A61">
        <v>10060</v>
      </c>
      <c r="B61" s="2">
        <v>45202</v>
      </c>
      <c r="C61" t="s">
        <v>10</v>
      </c>
      <c r="D61" t="s">
        <v>17</v>
      </c>
      <c r="E61" t="s">
        <v>24</v>
      </c>
      <c r="F61">
        <v>4</v>
      </c>
      <c r="G61">
        <v>11562</v>
      </c>
      <c r="H61">
        <v>46248</v>
      </c>
      <c r="I61">
        <f t="shared" si="0"/>
        <v>46248</v>
      </c>
    </row>
    <row r="62" spans="1:9" x14ac:dyDescent="0.3">
      <c r="A62">
        <v>10061</v>
      </c>
      <c r="B62" s="2">
        <v>45088</v>
      </c>
      <c r="C62" t="s">
        <v>8</v>
      </c>
      <c r="D62" t="s">
        <v>17</v>
      </c>
      <c r="E62" t="s">
        <v>23</v>
      </c>
      <c r="F62">
        <v>4</v>
      </c>
      <c r="G62">
        <v>38916</v>
      </c>
      <c r="H62">
        <v>155664</v>
      </c>
      <c r="I62">
        <f t="shared" si="0"/>
        <v>155664</v>
      </c>
    </row>
    <row r="63" spans="1:9" x14ac:dyDescent="0.3">
      <c r="A63">
        <v>10062</v>
      </c>
      <c r="B63" s="2">
        <v>45094</v>
      </c>
      <c r="C63" t="s">
        <v>14</v>
      </c>
      <c r="D63" t="s">
        <v>17</v>
      </c>
      <c r="E63" t="s">
        <v>22</v>
      </c>
      <c r="F63">
        <v>17</v>
      </c>
      <c r="G63">
        <v>16199</v>
      </c>
      <c r="H63">
        <v>275383</v>
      </c>
      <c r="I63">
        <f t="shared" si="0"/>
        <v>275383</v>
      </c>
    </row>
    <row r="64" spans="1:9" x14ac:dyDescent="0.3">
      <c r="A64">
        <v>10063</v>
      </c>
      <c r="B64" s="2">
        <v>45114</v>
      </c>
      <c r="C64" t="s">
        <v>8</v>
      </c>
      <c r="D64" t="s">
        <v>15</v>
      </c>
      <c r="E64" t="s">
        <v>19</v>
      </c>
      <c r="F64">
        <v>8</v>
      </c>
      <c r="G64">
        <v>20131</v>
      </c>
      <c r="H64">
        <v>161048</v>
      </c>
      <c r="I64">
        <f t="shared" si="0"/>
        <v>161048</v>
      </c>
    </row>
    <row r="65" spans="1:9" x14ac:dyDescent="0.3">
      <c r="A65">
        <v>10064</v>
      </c>
      <c r="B65" s="2">
        <v>45227</v>
      </c>
      <c r="C65" t="s">
        <v>9</v>
      </c>
      <c r="D65" t="s">
        <v>15</v>
      </c>
      <c r="E65" t="s">
        <v>20</v>
      </c>
      <c r="F65">
        <v>14</v>
      </c>
      <c r="G65">
        <v>53868</v>
      </c>
      <c r="H65">
        <v>754152</v>
      </c>
      <c r="I65">
        <f t="shared" si="0"/>
        <v>754152</v>
      </c>
    </row>
    <row r="66" spans="1:9" x14ac:dyDescent="0.3">
      <c r="A66">
        <v>10065</v>
      </c>
      <c r="B66" s="2">
        <v>45014</v>
      </c>
      <c r="C66" t="s">
        <v>9</v>
      </c>
      <c r="D66" t="s">
        <v>16</v>
      </c>
      <c r="E66" t="s">
        <v>22</v>
      </c>
      <c r="F66">
        <v>11</v>
      </c>
      <c r="G66">
        <v>20767</v>
      </c>
      <c r="H66">
        <v>228437</v>
      </c>
      <c r="I66">
        <f t="shared" si="0"/>
        <v>228437</v>
      </c>
    </row>
    <row r="67" spans="1:9" x14ac:dyDescent="0.3">
      <c r="A67">
        <v>10066</v>
      </c>
      <c r="B67" s="2">
        <v>45205</v>
      </c>
      <c r="C67" t="s">
        <v>8</v>
      </c>
      <c r="D67" t="s">
        <v>16</v>
      </c>
      <c r="E67" t="s">
        <v>20</v>
      </c>
      <c r="F67">
        <v>8</v>
      </c>
      <c r="G67">
        <v>10541</v>
      </c>
      <c r="H67">
        <v>84328</v>
      </c>
      <c r="I67">
        <f t="shared" ref="I67:I130" si="1">G67*F67</f>
        <v>84328</v>
      </c>
    </row>
    <row r="68" spans="1:9" x14ac:dyDescent="0.3">
      <c r="A68">
        <v>10067</v>
      </c>
      <c r="B68" s="2">
        <v>45089</v>
      </c>
      <c r="C68" t="s">
        <v>9</v>
      </c>
      <c r="D68" t="s">
        <v>15</v>
      </c>
      <c r="E68" t="s">
        <v>23</v>
      </c>
      <c r="F68">
        <v>16</v>
      </c>
      <c r="G68">
        <v>58118</v>
      </c>
      <c r="H68">
        <v>929888</v>
      </c>
      <c r="I68">
        <f t="shared" si="1"/>
        <v>929888</v>
      </c>
    </row>
    <row r="69" spans="1:9" x14ac:dyDescent="0.3">
      <c r="A69">
        <v>10068</v>
      </c>
      <c r="B69" s="2">
        <v>45040</v>
      </c>
      <c r="C69" t="s">
        <v>12</v>
      </c>
      <c r="D69" t="s">
        <v>17</v>
      </c>
      <c r="E69" t="s">
        <v>24</v>
      </c>
      <c r="F69">
        <v>13</v>
      </c>
      <c r="G69">
        <v>33508</v>
      </c>
      <c r="H69">
        <v>435604</v>
      </c>
      <c r="I69">
        <f t="shared" si="1"/>
        <v>435604</v>
      </c>
    </row>
    <row r="70" spans="1:9" x14ac:dyDescent="0.3">
      <c r="A70">
        <v>10069</v>
      </c>
      <c r="B70" s="2">
        <v>45085</v>
      </c>
      <c r="C70" t="s">
        <v>12</v>
      </c>
      <c r="D70" t="s">
        <v>16</v>
      </c>
      <c r="E70" t="s">
        <v>22</v>
      </c>
      <c r="F70">
        <v>11</v>
      </c>
      <c r="G70">
        <v>41351</v>
      </c>
      <c r="H70">
        <v>454861</v>
      </c>
      <c r="I70">
        <f t="shared" si="1"/>
        <v>454861</v>
      </c>
    </row>
    <row r="71" spans="1:9" x14ac:dyDescent="0.3">
      <c r="A71">
        <v>10070</v>
      </c>
      <c r="B71" s="2">
        <v>45055</v>
      </c>
      <c r="C71" t="s">
        <v>14</v>
      </c>
      <c r="D71" t="s">
        <v>16</v>
      </c>
      <c r="E71" t="s">
        <v>24</v>
      </c>
      <c r="F71">
        <v>5</v>
      </c>
      <c r="G71">
        <v>49278</v>
      </c>
      <c r="H71">
        <v>246390</v>
      </c>
      <c r="I71">
        <f t="shared" si="1"/>
        <v>246390</v>
      </c>
    </row>
    <row r="72" spans="1:9" x14ac:dyDescent="0.3">
      <c r="A72">
        <v>10071</v>
      </c>
      <c r="B72" s="2">
        <v>45055</v>
      </c>
      <c r="C72" t="s">
        <v>12</v>
      </c>
      <c r="D72" t="s">
        <v>18</v>
      </c>
      <c r="E72" t="s">
        <v>20</v>
      </c>
      <c r="F72">
        <v>20</v>
      </c>
      <c r="G72">
        <v>48480</v>
      </c>
      <c r="H72">
        <v>969600</v>
      </c>
      <c r="I72">
        <f t="shared" si="1"/>
        <v>969600</v>
      </c>
    </row>
    <row r="73" spans="1:9" x14ac:dyDescent="0.3">
      <c r="A73">
        <v>10072</v>
      </c>
      <c r="B73" s="2">
        <v>45065</v>
      </c>
      <c r="C73" t="s">
        <v>12</v>
      </c>
      <c r="D73" t="s">
        <v>15</v>
      </c>
      <c r="E73" t="s">
        <v>20</v>
      </c>
      <c r="F73">
        <v>16</v>
      </c>
      <c r="G73">
        <v>29629</v>
      </c>
      <c r="H73">
        <v>474064</v>
      </c>
      <c r="I73">
        <f t="shared" si="1"/>
        <v>474064</v>
      </c>
    </row>
    <row r="74" spans="1:9" x14ac:dyDescent="0.3">
      <c r="A74">
        <v>10073</v>
      </c>
      <c r="B74" s="2">
        <v>45288</v>
      </c>
      <c r="C74" t="s">
        <v>13</v>
      </c>
      <c r="D74" t="s">
        <v>16</v>
      </c>
      <c r="E74" t="s">
        <v>22</v>
      </c>
      <c r="F74">
        <v>2</v>
      </c>
      <c r="G74">
        <v>18726</v>
      </c>
      <c r="H74">
        <v>37452</v>
      </c>
      <c r="I74">
        <f t="shared" si="1"/>
        <v>37452</v>
      </c>
    </row>
    <row r="75" spans="1:9" x14ac:dyDescent="0.3">
      <c r="A75">
        <v>10074</v>
      </c>
      <c r="B75" s="2">
        <v>44975</v>
      </c>
      <c r="C75" t="s">
        <v>8</v>
      </c>
      <c r="D75" t="s">
        <v>15</v>
      </c>
      <c r="E75" t="s">
        <v>22</v>
      </c>
      <c r="F75">
        <v>17</v>
      </c>
      <c r="G75">
        <v>52706</v>
      </c>
      <c r="H75">
        <v>896002</v>
      </c>
      <c r="I75">
        <f t="shared" si="1"/>
        <v>896002</v>
      </c>
    </row>
    <row r="76" spans="1:9" x14ac:dyDescent="0.3">
      <c r="A76">
        <v>10075</v>
      </c>
      <c r="B76" s="2">
        <v>45183</v>
      </c>
      <c r="C76" t="s">
        <v>12</v>
      </c>
      <c r="D76" t="s">
        <v>17</v>
      </c>
      <c r="E76" t="s">
        <v>19</v>
      </c>
      <c r="F76">
        <v>3</v>
      </c>
      <c r="G76">
        <v>56086</v>
      </c>
      <c r="H76">
        <v>168258</v>
      </c>
      <c r="I76">
        <f t="shared" si="1"/>
        <v>168258</v>
      </c>
    </row>
    <row r="77" spans="1:9" x14ac:dyDescent="0.3">
      <c r="A77">
        <v>10076</v>
      </c>
      <c r="B77" s="2">
        <v>45055</v>
      </c>
      <c r="C77" t="s">
        <v>9</v>
      </c>
      <c r="D77" t="s">
        <v>15</v>
      </c>
      <c r="E77" t="s">
        <v>23</v>
      </c>
      <c r="F77">
        <v>12</v>
      </c>
      <c r="G77">
        <v>18331</v>
      </c>
      <c r="H77">
        <v>219972</v>
      </c>
      <c r="I77">
        <f t="shared" si="1"/>
        <v>219972</v>
      </c>
    </row>
    <row r="78" spans="1:9" x14ac:dyDescent="0.3">
      <c r="A78">
        <v>10077</v>
      </c>
      <c r="B78" s="2">
        <v>45266</v>
      </c>
      <c r="C78" t="s">
        <v>11</v>
      </c>
      <c r="D78" t="s">
        <v>15</v>
      </c>
      <c r="E78" t="s">
        <v>20</v>
      </c>
      <c r="F78">
        <v>4</v>
      </c>
      <c r="G78">
        <v>38899</v>
      </c>
      <c r="H78">
        <v>155596</v>
      </c>
      <c r="I78">
        <f t="shared" si="1"/>
        <v>155596</v>
      </c>
    </row>
    <row r="79" spans="1:9" x14ac:dyDescent="0.3">
      <c r="A79">
        <v>10078</v>
      </c>
      <c r="B79" s="2">
        <v>45035</v>
      </c>
      <c r="C79" t="s">
        <v>14</v>
      </c>
      <c r="D79" t="s">
        <v>18</v>
      </c>
      <c r="E79" t="s">
        <v>21</v>
      </c>
      <c r="F79">
        <v>18</v>
      </c>
      <c r="G79">
        <v>33512</v>
      </c>
      <c r="H79">
        <v>603216</v>
      </c>
      <c r="I79">
        <f t="shared" si="1"/>
        <v>603216</v>
      </c>
    </row>
    <row r="80" spans="1:9" x14ac:dyDescent="0.3">
      <c r="A80">
        <v>10079</v>
      </c>
      <c r="B80" s="2">
        <v>45259</v>
      </c>
      <c r="C80" t="s">
        <v>12</v>
      </c>
      <c r="D80" t="s">
        <v>17</v>
      </c>
      <c r="E80" t="s">
        <v>24</v>
      </c>
      <c r="F80">
        <v>18</v>
      </c>
      <c r="G80">
        <v>22341</v>
      </c>
      <c r="H80">
        <v>402138</v>
      </c>
      <c r="I80">
        <f t="shared" si="1"/>
        <v>402138</v>
      </c>
    </row>
    <row r="81" spans="1:9" x14ac:dyDescent="0.3">
      <c r="A81">
        <v>10080</v>
      </c>
      <c r="B81" s="2">
        <v>45153</v>
      </c>
      <c r="C81" t="s">
        <v>10</v>
      </c>
      <c r="D81" t="s">
        <v>17</v>
      </c>
      <c r="E81" t="s">
        <v>22</v>
      </c>
      <c r="F81">
        <v>6</v>
      </c>
      <c r="G81">
        <v>21374</v>
      </c>
      <c r="H81">
        <v>128244</v>
      </c>
      <c r="I81">
        <f t="shared" si="1"/>
        <v>128244</v>
      </c>
    </row>
    <row r="82" spans="1:9" x14ac:dyDescent="0.3">
      <c r="A82">
        <v>10081</v>
      </c>
      <c r="B82" s="2">
        <v>45179</v>
      </c>
      <c r="C82" t="s">
        <v>9</v>
      </c>
      <c r="D82" t="s">
        <v>18</v>
      </c>
      <c r="E82" t="s">
        <v>23</v>
      </c>
      <c r="F82">
        <v>14</v>
      </c>
      <c r="G82">
        <v>16197</v>
      </c>
      <c r="H82">
        <v>226758</v>
      </c>
      <c r="I82">
        <f t="shared" si="1"/>
        <v>226758</v>
      </c>
    </row>
    <row r="83" spans="1:9" x14ac:dyDescent="0.3">
      <c r="A83">
        <v>10082</v>
      </c>
      <c r="B83" s="2">
        <v>45013</v>
      </c>
      <c r="C83" t="s">
        <v>10</v>
      </c>
      <c r="D83" t="s">
        <v>16</v>
      </c>
      <c r="E83" t="s">
        <v>21</v>
      </c>
      <c r="F83">
        <v>18</v>
      </c>
      <c r="G83">
        <v>4924</v>
      </c>
      <c r="H83">
        <v>88632</v>
      </c>
      <c r="I83">
        <f t="shared" si="1"/>
        <v>88632</v>
      </c>
    </row>
    <row r="84" spans="1:9" x14ac:dyDescent="0.3">
      <c r="A84">
        <v>10083</v>
      </c>
      <c r="B84" s="2">
        <v>45045</v>
      </c>
      <c r="C84" t="s">
        <v>11</v>
      </c>
      <c r="D84" t="s">
        <v>16</v>
      </c>
      <c r="E84" t="s">
        <v>21</v>
      </c>
      <c r="F84">
        <v>15</v>
      </c>
      <c r="G84">
        <v>58854</v>
      </c>
      <c r="H84">
        <v>882810</v>
      </c>
      <c r="I84">
        <f t="shared" si="1"/>
        <v>882810</v>
      </c>
    </row>
    <row r="85" spans="1:9" x14ac:dyDescent="0.3">
      <c r="A85">
        <v>10084</v>
      </c>
      <c r="B85" s="2">
        <v>45274</v>
      </c>
      <c r="C85" t="s">
        <v>12</v>
      </c>
      <c r="D85" t="s">
        <v>17</v>
      </c>
      <c r="E85" t="s">
        <v>20</v>
      </c>
      <c r="F85">
        <v>16</v>
      </c>
      <c r="G85">
        <v>9283</v>
      </c>
      <c r="H85">
        <v>148528</v>
      </c>
      <c r="I85">
        <f t="shared" si="1"/>
        <v>148528</v>
      </c>
    </row>
    <row r="86" spans="1:9" x14ac:dyDescent="0.3">
      <c r="A86">
        <v>10085</v>
      </c>
      <c r="B86" s="2">
        <v>45253</v>
      </c>
      <c r="C86" t="s">
        <v>9</v>
      </c>
      <c r="D86" t="s">
        <v>18</v>
      </c>
      <c r="E86" t="s">
        <v>20</v>
      </c>
      <c r="F86">
        <v>5</v>
      </c>
      <c r="G86">
        <v>2880</v>
      </c>
      <c r="H86">
        <v>14400</v>
      </c>
      <c r="I86">
        <f t="shared" si="1"/>
        <v>14400</v>
      </c>
    </row>
    <row r="87" spans="1:9" x14ac:dyDescent="0.3">
      <c r="A87">
        <v>10086</v>
      </c>
      <c r="B87" s="2">
        <v>45091</v>
      </c>
      <c r="C87" t="s">
        <v>10</v>
      </c>
      <c r="D87" t="s">
        <v>16</v>
      </c>
      <c r="E87" t="s">
        <v>21</v>
      </c>
      <c r="F87">
        <v>7</v>
      </c>
      <c r="G87">
        <v>49723</v>
      </c>
      <c r="H87">
        <v>348061</v>
      </c>
      <c r="I87">
        <f t="shared" si="1"/>
        <v>348061</v>
      </c>
    </row>
    <row r="88" spans="1:9" x14ac:dyDescent="0.3">
      <c r="A88">
        <v>10087</v>
      </c>
      <c r="B88" s="2">
        <v>45256</v>
      </c>
      <c r="C88" t="s">
        <v>14</v>
      </c>
      <c r="D88" t="s">
        <v>17</v>
      </c>
      <c r="E88" t="s">
        <v>23</v>
      </c>
      <c r="F88">
        <v>8</v>
      </c>
      <c r="G88">
        <v>30135</v>
      </c>
      <c r="H88">
        <v>241080</v>
      </c>
      <c r="I88">
        <f t="shared" si="1"/>
        <v>241080</v>
      </c>
    </row>
    <row r="89" spans="1:9" x14ac:dyDescent="0.3">
      <c r="A89">
        <v>10088</v>
      </c>
      <c r="B89" s="2">
        <v>45177</v>
      </c>
      <c r="C89" t="s">
        <v>13</v>
      </c>
      <c r="D89" t="s">
        <v>16</v>
      </c>
      <c r="E89" t="s">
        <v>21</v>
      </c>
      <c r="F89">
        <v>10</v>
      </c>
      <c r="G89">
        <v>12227</v>
      </c>
      <c r="H89">
        <v>122270</v>
      </c>
      <c r="I89">
        <f t="shared" si="1"/>
        <v>122270</v>
      </c>
    </row>
    <row r="90" spans="1:9" x14ac:dyDescent="0.3">
      <c r="A90">
        <v>10089</v>
      </c>
      <c r="B90" s="2">
        <v>45120</v>
      </c>
      <c r="C90" t="s">
        <v>10</v>
      </c>
      <c r="D90" t="s">
        <v>18</v>
      </c>
      <c r="E90" t="s">
        <v>19</v>
      </c>
      <c r="F90">
        <v>2</v>
      </c>
      <c r="G90">
        <v>37842</v>
      </c>
      <c r="H90">
        <v>75684</v>
      </c>
      <c r="I90">
        <f t="shared" si="1"/>
        <v>75684</v>
      </c>
    </row>
    <row r="91" spans="1:9" x14ac:dyDescent="0.3">
      <c r="A91">
        <v>10090</v>
      </c>
      <c r="B91" s="2">
        <v>44935</v>
      </c>
      <c r="C91" t="s">
        <v>12</v>
      </c>
      <c r="D91" t="s">
        <v>18</v>
      </c>
      <c r="E91" t="s">
        <v>22</v>
      </c>
      <c r="F91">
        <v>6</v>
      </c>
      <c r="G91">
        <v>27781</v>
      </c>
      <c r="H91">
        <v>166686</v>
      </c>
      <c r="I91">
        <f t="shared" si="1"/>
        <v>166686</v>
      </c>
    </row>
    <row r="92" spans="1:9" x14ac:dyDescent="0.3">
      <c r="A92">
        <v>10091</v>
      </c>
      <c r="B92" s="2">
        <v>44932</v>
      </c>
      <c r="C92" t="s">
        <v>11</v>
      </c>
      <c r="D92" t="s">
        <v>18</v>
      </c>
      <c r="E92" t="s">
        <v>24</v>
      </c>
      <c r="F92">
        <v>17</v>
      </c>
      <c r="G92">
        <v>53282</v>
      </c>
      <c r="H92">
        <v>905794</v>
      </c>
      <c r="I92">
        <f t="shared" si="1"/>
        <v>905794</v>
      </c>
    </row>
    <row r="93" spans="1:9" x14ac:dyDescent="0.3">
      <c r="A93">
        <v>10092</v>
      </c>
      <c r="B93" s="2">
        <v>45059</v>
      </c>
      <c r="C93" t="s">
        <v>14</v>
      </c>
      <c r="D93" t="s">
        <v>17</v>
      </c>
      <c r="E93" t="s">
        <v>23</v>
      </c>
      <c r="F93">
        <v>19</v>
      </c>
      <c r="G93">
        <v>3066</v>
      </c>
      <c r="H93">
        <v>58254</v>
      </c>
      <c r="I93">
        <f t="shared" si="1"/>
        <v>58254</v>
      </c>
    </row>
    <row r="94" spans="1:9" x14ac:dyDescent="0.3">
      <c r="A94">
        <v>10093</v>
      </c>
      <c r="B94" s="2">
        <v>45025</v>
      </c>
      <c r="C94" t="s">
        <v>9</v>
      </c>
      <c r="D94" t="s">
        <v>18</v>
      </c>
      <c r="E94" t="s">
        <v>23</v>
      </c>
      <c r="F94">
        <v>8</v>
      </c>
      <c r="G94">
        <v>22462</v>
      </c>
      <c r="H94">
        <v>179696</v>
      </c>
      <c r="I94">
        <f t="shared" si="1"/>
        <v>179696</v>
      </c>
    </row>
    <row r="95" spans="1:9" x14ac:dyDescent="0.3">
      <c r="A95">
        <v>10094</v>
      </c>
      <c r="B95" s="2">
        <v>44945</v>
      </c>
      <c r="C95" t="s">
        <v>14</v>
      </c>
      <c r="D95" t="s">
        <v>16</v>
      </c>
      <c r="E95" t="s">
        <v>19</v>
      </c>
      <c r="F95">
        <v>4</v>
      </c>
      <c r="G95">
        <v>55835</v>
      </c>
      <c r="H95">
        <v>223340</v>
      </c>
      <c r="I95">
        <f t="shared" si="1"/>
        <v>223340</v>
      </c>
    </row>
    <row r="96" spans="1:9" x14ac:dyDescent="0.3">
      <c r="A96">
        <v>10095</v>
      </c>
      <c r="B96" s="2">
        <v>45096</v>
      </c>
      <c r="C96" t="s">
        <v>12</v>
      </c>
      <c r="D96" t="s">
        <v>16</v>
      </c>
      <c r="E96" t="s">
        <v>24</v>
      </c>
      <c r="F96">
        <v>16</v>
      </c>
      <c r="G96">
        <v>3377</v>
      </c>
      <c r="H96">
        <v>54032</v>
      </c>
      <c r="I96">
        <f t="shared" si="1"/>
        <v>54032</v>
      </c>
    </row>
    <row r="97" spans="1:9" x14ac:dyDescent="0.3">
      <c r="A97">
        <v>10096</v>
      </c>
      <c r="B97" s="2">
        <v>45193</v>
      </c>
      <c r="C97" t="s">
        <v>12</v>
      </c>
      <c r="D97" t="s">
        <v>16</v>
      </c>
      <c r="E97" t="s">
        <v>21</v>
      </c>
      <c r="F97">
        <v>7</v>
      </c>
      <c r="G97">
        <v>49619</v>
      </c>
      <c r="H97">
        <v>347333</v>
      </c>
      <c r="I97">
        <f t="shared" si="1"/>
        <v>347333</v>
      </c>
    </row>
    <row r="98" spans="1:9" x14ac:dyDescent="0.3">
      <c r="A98">
        <v>10097</v>
      </c>
      <c r="B98" s="2">
        <v>45071</v>
      </c>
      <c r="C98" t="s">
        <v>11</v>
      </c>
      <c r="D98" t="s">
        <v>15</v>
      </c>
      <c r="E98" t="s">
        <v>23</v>
      </c>
      <c r="F98">
        <v>4</v>
      </c>
      <c r="G98">
        <v>2654</v>
      </c>
      <c r="H98">
        <v>10616</v>
      </c>
      <c r="I98">
        <f t="shared" si="1"/>
        <v>10616</v>
      </c>
    </row>
    <row r="99" spans="1:9" x14ac:dyDescent="0.3">
      <c r="A99">
        <v>10098</v>
      </c>
      <c r="B99" s="2">
        <v>45035</v>
      </c>
      <c r="C99" t="s">
        <v>8</v>
      </c>
      <c r="D99" t="s">
        <v>16</v>
      </c>
      <c r="E99" t="s">
        <v>22</v>
      </c>
      <c r="F99">
        <v>8</v>
      </c>
      <c r="G99">
        <v>3297</v>
      </c>
      <c r="H99">
        <v>26376</v>
      </c>
      <c r="I99">
        <f t="shared" si="1"/>
        <v>26376</v>
      </c>
    </row>
    <row r="100" spans="1:9" x14ac:dyDescent="0.3">
      <c r="A100">
        <v>10099</v>
      </c>
      <c r="B100" s="2">
        <v>45007</v>
      </c>
      <c r="C100" t="s">
        <v>9</v>
      </c>
      <c r="D100" t="s">
        <v>18</v>
      </c>
      <c r="E100" t="s">
        <v>23</v>
      </c>
      <c r="F100">
        <v>11</v>
      </c>
      <c r="G100">
        <v>43915</v>
      </c>
      <c r="H100">
        <v>483065</v>
      </c>
      <c r="I100">
        <f t="shared" si="1"/>
        <v>483065</v>
      </c>
    </row>
    <row r="101" spans="1:9" x14ac:dyDescent="0.3">
      <c r="A101">
        <v>10100</v>
      </c>
      <c r="B101" s="2">
        <v>44939</v>
      </c>
      <c r="C101" t="s">
        <v>10</v>
      </c>
      <c r="D101" t="s">
        <v>18</v>
      </c>
      <c r="E101" t="s">
        <v>21</v>
      </c>
      <c r="F101">
        <v>4</v>
      </c>
      <c r="G101">
        <v>39710</v>
      </c>
      <c r="H101">
        <v>158840</v>
      </c>
      <c r="I101">
        <f t="shared" si="1"/>
        <v>158840</v>
      </c>
    </row>
    <row r="102" spans="1:9" x14ac:dyDescent="0.3">
      <c r="A102">
        <v>10101</v>
      </c>
      <c r="B102" s="2">
        <v>44935</v>
      </c>
      <c r="C102" t="s">
        <v>13</v>
      </c>
      <c r="D102" t="s">
        <v>15</v>
      </c>
      <c r="E102" t="s">
        <v>20</v>
      </c>
      <c r="F102">
        <v>13</v>
      </c>
      <c r="G102">
        <v>56914</v>
      </c>
      <c r="H102">
        <v>739882</v>
      </c>
      <c r="I102">
        <f t="shared" si="1"/>
        <v>739882</v>
      </c>
    </row>
    <row r="103" spans="1:9" x14ac:dyDescent="0.3">
      <c r="A103">
        <v>10102</v>
      </c>
      <c r="B103" s="2">
        <v>45080</v>
      </c>
      <c r="C103" t="s">
        <v>14</v>
      </c>
      <c r="D103" t="s">
        <v>16</v>
      </c>
      <c r="E103" t="s">
        <v>21</v>
      </c>
      <c r="F103">
        <v>4</v>
      </c>
      <c r="G103">
        <v>59888</v>
      </c>
      <c r="H103">
        <v>239552</v>
      </c>
      <c r="I103">
        <f t="shared" si="1"/>
        <v>239552</v>
      </c>
    </row>
    <row r="104" spans="1:9" x14ac:dyDescent="0.3">
      <c r="A104">
        <v>10103</v>
      </c>
      <c r="B104" s="2">
        <v>45247</v>
      </c>
      <c r="C104" t="s">
        <v>13</v>
      </c>
      <c r="D104" t="s">
        <v>17</v>
      </c>
      <c r="E104" t="s">
        <v>20</v>
      </c>
      <c r="F104">
        <v>9</v>
      </c>
      <c r="G104">
        <v>11232</v>
      </c>
      <c r="H104">
        <v>101088</v>
      </c>
      <c r="I104">
        <f t="shared" si="1"/>
        <v>101088</v>
      </c>
    </row>
    <row r="105" spans="1:9" x14ac:dyDescent="0.3">
      <c r="A105">
        <v>10104</v>
      </c>
      <c r="B105" s="2">
        <v>45037</v>
      </c>
      <c r="C105" t="s">
        <v>12</v>
      </c>
      <c r="D105" t="s">
        <v>18</v>
      </c>
      <c r="E105" t="s">
        <v>21</v>
      </c>
      <c r="F105">
        <v>18</v>
      </c>
      <c r="G105">
        <v>29097</v>
      </c>
      <c r="H105">
        <v>523746</v>
      </c>
      <c r="I105">
        <f t="shared" si="1"/>
        <v>523746</v>
      </c>
    </row>
    <row r="106" spans="1:9" x14ac:dyDescent="0.3">
      <c r="A106">
        <v>10105</v>
      </c>
      <c r="B106" s="2">
        <v>45272</v>
      </c>
      <c r="C106" t="s">
        <v>14</v>
      </c>
      <c r="D106" t="s">
        <v>16</v>
      </c>
      <c r="E106" t="s">
        <v>24</v>
      </c>
      <c r="F106">
        <v>7</v>
      </c>
      <c r="G106">
        <v>1574</v>
      </c>
      <c r="H106">
        <v>11018</v>
      </c>
      <c r="I106">
        <f t="shared" si="1"/>
        <v>11018</v>
      </c>
    </row>
    <row r="107" spans="1:9" x14ac:dyDescent="0.3">
      <c r="A107">
        <v>10106</v>
      </c>
      <c r="B107" s="2">
        <v>45226</v>
      </c>
      <c r="C107" t="s">
        <v>14</v>
      </c>
      <c r="D107" t="s">
        <v>18</v>
      </c>
      <c r="E107" t="s">
        <v>19</v>
      </c>
      <c r="F107">
        <v>1</v>
      </c>
      <c r="G107">
        <v>5229</v>
      </c>
      <c r="H107">
        <v>5229</v>
      </c>
      <c r="I107">
        <f t="shared" si="1"/>
        <v>5229</v>
      </c>
    </row>
    <row r="108" spans="1:9" x14ac:dyDescent="0.3">
      <c r="A108">
        <v>10107</v>
      </c>
      <c r="B108" s="2">
        <v>45161</v>
      </c>
      <c r="C108" t="s">
        <v>9</v>
      </c>
      <c r="D108" t="s">
        <v>16</v>
      </c>
      <c r="E108" t="s">
        <v>21</v>
      </c>
      <c r="F108">
        <v>4</v>
      </c>
      <c r="G108">
        <v>42829</v>
      </c>
      <c r="H108">
        <v>171316</v>
      </c>
      <c r="I108">
        <f t="shared" si="1"/>
        <v>171316</v>
      </c>
    </row>
    <row r="109" spans="1:9" x14ac:dyDescent="0.3">
      <c r="A109">
        <v>10108</v>
      </c>
      <c r="B109" s="2">
        <v>45098</v>
      </c>
      <c r="C109" t="s">
        <v>9</v>
      </c>
      <c r="D109" t="s">
        <v>18</v>
      </c>
      <c r="E109" t="s">
        <v>19</v>
      </c>
      <c r="F109">
        <v>1</v>
      </c>
      <c r="G109">
        <v>38744</v>
      </c>
      <c r="H109">
        <v>38744</v>
      </c>
      <c r="I109">
        <f t="shared" si="1"/>
        <v>38744</v>
      </c>
    </row>
    <row r="110" spans="1:9" x14ac:dyDescent="0.3">
      <c r="A110">
        <v>10109</v>
      </c>
      <c r="B110" s="2">
        <v>45106</v>
      </c>
      <c r="C110" t="s">
        <v>11</v>
      </c>
      <c r="D110" t="s">
        <v>18</v>
      </c>
      <c r="E110" t="s">
        <v>19</v>
      </c>
      <c r="F110">
        <v>6</v>
      </c>
      <c r="G110">
        <v>11328</v>
      </c>
      <c r="H110">
        <v>67968</v>
      </c>
      <c r="I110">
        <f t="shared" si="1"/>
        <v>67968</v>
      </c>
    </row>
    <row r="111" spans="1:9" x14ac:dyDescent="0.3">
      <c r="A111">
        <v>10110</v>
      </c>
      <c r="B111" s="2">
        <v>45165</v>
      </c>
      <c r="C111" t="s">
        <v>8</v>
      </c>
      <c r="D111" t="s">
        <v>15</v>
      </c>
      <c r="E111" t="s">
        <v>22</v>
      </c>
      <c r="F111">
        <v>11</v>
      </c>
      <c r="G111">
        <v>41427</v>
      </c>
      <c r="H111">
        <v>455697</v>
      </c>
      <c r="I111">
        <f t="shared" si="1"/>
        <v>455697</v>
      </c>
    </row>
    <row r="112" spans="1:9" x14ac:dyDescent="0.3">
      <c r="A112">
        <v>10111</v>
      </c>
      <c r="B112" s="2">
        <v>45106</v>
      </c>
      <c r="C112" t="s">
        <v>14</v>
      </c>
      <c r="D112" t="s">
        <v>18</v>
      </c>
      <c r="E112" t="s">
        <v>20</v>
      </c>
      <c r="F112">
        <v>6</v>
      </c>
      <c r="G112">
        <v>28920</v>
      </c>
      <c r="H112">
        <v>173520</v>
      </c>
      <c r="I112">
        <f t="shared" si="1"/>
        <v>173520</v>
      </c>
    </row>
    <row r="113" spans="1:9" x14ac:dyDescent="0.3">
      <c r="A113">
        <v>10112</v>
      </c>
      <c r="B113" s="2">
        <v>45138</v>
      </c>
      <c r="C113" t="s">
        <v>13</v>
      </c>
      <c r="D113" t="s">
        <v>15</v>
      </c>
      <c r="E113" t="s">
        <v>24</v>
      </c>
      <c r="F113">
        <v>11</v>
      </c>
      <c r="G113">
        <v>20033</v>
      </c>
      <c r="H113">
        <v>220363</v>
      </c>
      <c r="I113">
        <f t="shared" si="1"/>
        <v>220363</v>
      </c>
    </row>
    <row r="114" spans="1:9" x14ac:dyDescent="0.3">
      <c r="A114">
        <v>10113</v>
      </c>
      <c r="B114" s="2">
        <v>44980</v>
      </c>
      <c r="C114" t="s">
        <v>8</v>
      </c>
      <c r="D114" t="s">
        <v>16</v>
      </c>
      <c r="E114" t="s">
        <v>22</v>
      </c>
      <c r="F114">
        <v>12</v>
      </c>
      <c r="G114">
        <v>44732</v>
      </c>
      <c r="H114">
        <v>536784</v>
      </c>
      <c r="I114">
        <f t="shared" si="1"/>
        <v>536784</v>
      </c>
    </row>
    <row r="115" spans="1:9" x14ac:dyDescent="0.3">
      <c r="A115">
        <v>10114</v>
      </c>
      <c r="B115" s="2">
        <v>45238</v>
      </c>
      <c r="C115" t="s">
        <v>10</v>
      </c>
      <c r="D115" t="s">
        <v>16</v>
      </c>
      <c r="E115" t="s">
        <v>21</v>
      </c>
      <c r="F115">
        <v>9</v>
      </c>
      <c r="G115">
        <v>44568</v>
      </c>
      <c r="H115">
        <v>401112</v>
      </c>
      <c r="I115">
        <f t="shared" si="1"/>
        <v>401112</v>
      </c>
    </row>
    <row r="116" spans="1:9" x14ac:dyDescent="0.3">
      <c r="A116">
        <v>10115</v>
      </c>
      <c r="B116" s="2">
        <v>45203</v>
      </c>
      <c r="C116" t="s">
        <v>11</v>
      </c>
      <c r="D116" t="s">
        <v>15</v>
      </c>
      <c r="E116" t="s">
        <v>20</v>
      </c>
      <c r="F116">
        <v>12</v>
      </c>
      <c r="G116">
        <v>26285</v>
      </c>
      <c r="H116">
        <v>315420</v>
      </c>
      <c r="I116">
        <f t="shared" si="1"/>
        <v>315420</v>
      </c>
    </row>
    <row r="117" spans="1:9" x14ac:dyDescent="0.3">
      <c r="A117">
        <v>10116</v>
      </c>
      <c r="B117" s="2">
        <v>44943</v>
      </c>
      <c r="C117" t="s">
        <v>11</v>
      </c>
      <c r="D117" t="s">
        <v>18</v>
      </c>
      <c r="E117" t="s">
        <v>22</v>
      </c>
      <c r="F117">
        <v>16</v>
      </c>
      <c r="G117">
        <v>14203</v>
      </c>
      <c r="H117">
        <v>227248</v>
      </c>
      <c r="I117">
        <f t="shared" si="1"/>
        <v>227248</v>
      </c>
    </row>
    <row r="118" spans="1:9" x14ac:dyDescent="0.3">
      <c r="A118">
        <v>10117</v>
      </c>
      <c r="B118" s="2">
        <v>45105</v>
      </c>
      <c r="C118" t="s">
        <v>10</v>
      </c>
      <c r="D118" t="s">
        <v>16</v>
      </c>
      <c r="E118" t="s">
        <v>20</v>
      </c>
      <c r="F118">
        <v>14</v>
      </c>
      <c r="G118">
        <v>40909</v>
      </c>
      <c r="H118">
        <v>572726</v>
      </c>
      <c r="I118">
        <f t="shared" si="1"/>
        <v>572726</v>
      </c>
    </row>
    <row r="119" spans="1:9" x14ac:dyDescent="0.3">
      <c r="A119">
        <v>10118</v>
      </c>
      <c r="B119" s="2">
        <v>45172</v>
      </c>
      <c r="C119" t="s">
        <v>9</v>
      </c>
      <c r="D119" t="s">
        <v>17</v>
      </c>
      <c r="E119" t="s">
        <v>22</v>
      </c>
      <c r="F119">
        <v>19</v>
      </c>
      <c r="G119">
        <v>40284</v>
      </c>
      <c r="H119">
        <v>765396</v>
      </c>
      <c r="I119">
        <f t="shared" si="1"/>
        <v>765396</v>
      </c>
    </row>
    <row r="120" spans="1:9" x14ac:dyDescent="0.3">
      <c r="A120">
        <v>10119</v>
      </c>
      <c r="B120" s="2">
        <v>45119</v>
      </c>
      <c r="C120" t="s">
        <v>13</v>
      </c>
      <c r="D120" t="s">
        <v>16</v>
      </c>
      <c r="E120" t="s">
        <v>24</v>
      </c>
      <c r="F120">
        <v>2</v>
      </c>
      <c r="G120">
        <v>733</v>
      </c>
      <c r="H120">
        <v>1466</v>
      </c>
      <c r="I120">
        <f t="shared" si="1"/>
        <v>1466</v>
      </c>
    </row>
    <row r="121" spans="1:9" x14ac:dyDescent="0.3">
      <c r="A121">
        <v>10120</v>
      </c>
      <c r="B121" s="2">
        <v>45277</v>
      </c>
      <c r="C121" t="s">
        <v>13</v>
      </c>
      <c r="D121" t="s">
        <v>16</v>
      </c>
      <c r="E121" t="s">
        <v>21</v>
      </c>
      <c r="F121">
        <v>4</v>
      </c>
      <c r="G121">
        <v>51118</v>
      </c>
      <c r="H121">
        <v>204472</v>
      </c>
      <c r="I121">
        <f t="shared" si="1"/>
        <v>204472</v>
      </c>
    </row>
    <row r="122" spans="1:9" x14ac:dyDescent="0.3">
      <c r="A122">
        <v>10121</v>
      </c>
      <c r="B122" s="2">
        <v>45235</v>
      </c>
      <c r="C122" t="s">
        <v>13</v>
      </c>
      <c r="D122" t="s">
        <v>17</v>
      </c>
      <c r="E122" t="s">
        <v>20</v>
      </c>
      <c r="F122">
        <v>20</v>
      </c>
      <c r="G122">
        <v>51954</v>
      </c>
      <c r="H122">
        <v>1039080</v>
      </c>
      <c r="I122">
        <f t="shared" si="1"/>
        <v>1039080</v>
      </c>
    </row>
    <row r="123" spans="1:9" x14ac:dyDescent="0.3">
      <c r="A123">
        <v>10122</v>
      </c>
      <c r="B123" s="2">
        <v>45142</v>
      </c>
      <c r="C123" t="s">
        <v>14</v>
      </c>
      <c r="D123" t="s">
        <v>16</v>
      </c>
      <c r="E123" t="s">
        <v>23</v>
      </c>
      <c r="F123">
        <v>7</v>
      </c>
      <c r="G123">
        <v>17197</v>
      </c>
      <c r="H123">
        <v>120379</v>
      </c>
      <c r="I123">
        <f t="shared" si="1"/>
        <v>120379</v>
      </c>
    </row>
    <row r="124" spans="1:9" x14ac:dyDescent="0.3">
      <c r="A124">
        <v>10123</v>
      </c>
      <c r="B124" s="2">
        <v>45100</v>
      </c>
      <c r="C124" t="s">
        <v>8</v>
      </c>
      <c r="D124" t="s">
        <v>18</v>
      </c>
      <c r="E124" t="s">
        <v>21</v>
      </c>
      <c r="F124">
        <v>9</v>
      </c>
      <c r="G124">
        <v>4635</v>
      </c>
      <c r="H124">
        <v>41715</v>
      </c>
      <c r="I124">
        <f t="shared" si="1"/>
        <v>41715</v>
      </c>
    </row>
    <row r="125" spans="1:9" x14ac:dyDescent="0.3">
      <c r="A125">
        <v>10124</v>
      </c>
      <c r="B125" s="2">
        <v>45161</v>
      </c>
      <c r="C125" t="s">
        <v>9</v>
      </c>
      <c r="D125" t="s">
        <v>16</v>
      </c>
      <c r="E125" t="s">
        <v>23</v>
      </c>
      <c r="F125">
        <v>16</v>
      </c>
      <c r="G125">
        <v>43222</v>
      </c>
      <c r="H125">
        <v>691552</v>
      </c>
      <c r="I125">
        <f t="shared" si="1"/>
        <v>691552</v>
      </c>
    </row>
    <row r="126" spans="1:9" x14ac:dyDescent="0.3">
      <c r="A126">
        <v>10125</v>
      </c>
      <c r="B126" s="2">
        <v>45262</v>
      </c>
      <c r="C126" t="s">
        <v>12</v>
      </c>
      <c r="D126" t="s">
        <v>18</v>
      </c>
      <c r="E126" t="s">
        <v>24</v>
      </c>
      <c r="F126">
        <v>19</v>
      </c>
      <c r="G126">
        <v>58931</v>
      </c>
      <c r="H126">
        <v>1119689</v>
      </c>
      <c r="I126">
        <f t="shared" si="1"/>
        <v>1119689</v>
      </c>
    </row>
    <row r="127" spans="1:9" x14ac:dyDescent="0.3">
      <c r="A127">
        <v>10126</v>
      </c>
      <c r="B127" s="2">
        <v>45055</v>
      </c>
      <c r="C127" t="s">
        <v>9</v>
      </c>
      <c r="D127" t="s">
        <v>18</v>
      </c>
      <c r="E127" t="s">
        <v>21</v>
      </c>
      <c r="F127">
        <v>20</v>
      </c>
      <c r="G127">
        <v>58388</v>
      </c>
      <c r="H127">
        <v>1167760</v>
      </c>
      <c r="I127">
        <f t="shared" si="1"/>
        <v>1167760</v>
      </c>
    </row>
    <row r="128" spans="1:9" x14ac:dyDescent="0.3">
      <c r="A128">
        <v>10127</v>
      </c>
      <c r="B128" s="2">
        <v>44942</v>
      </c>
      <c r="C128" t="s">
        <v>10</v>
      </c>
      <c r="D128" t="s">
        <v>15</v>
      </c>
      <c r="E128" t="s">
        <v>24</v>
      </c>
      <c r="F128">
        <v>13</v>
      </c>
      <c r="G128">
        <v>37700</v>
      </c>
      <c r="H128">
        <v>490100</v>
      </c>
      <c r="I128">
        <f t="shared" si="1"/>
        <v>490100</v>
      </c>
    </row>
    <row r="129" spans="1:9" x14ac:dyDescent="0.3">
      <c r="A129">
        <v>10128</v>
      </c>
      <c r="B129" s="2">
        <v>45041</v>
      </c>
      <c r="C129" t="s">
        <v>10</v>
      </c>
      <c r="D129" t="s">
        <v>18</v>
      </c>
      <c r="E129" t="s">
        <v>24</v>
      </c>
      <c r="F129">
        <v>16</v>
      </c>
      <c r="G129">
        <v>57414</v>
      </c>
      <c r="H129">
        <v>918624</v>
      </c>
      <c r="I129">
        <f t="shared" si="1"/>
        <v>918624</v>
      </c>
    </row>
    <row r="130" spans="1:9" x14ac:dyDescent="0.3">
      <c r="A130">
        <v>10129</v>
      </c>
      <c r="B130" s="2">
        <v>44984</v>
      </c>
      <c r="C130" t="s">
        <v>13</v>
      </c>
      <c r="D130" t="s">
        <v>15</v>
      </c>
      <c r="E130" t="s">
        <v>21</v>
      </c>
      <c r="F130">
        <v>18</v>
      </c>
      <c r="G130">
        <v>41119</v>
      </c>
      <c r="H130">
        <v>740142</v>
      </c>
      <c r="I130">
        <f t="shared" si="1"/>
        <v>740142</v>
      </c>
    </row>
    <row r="131" spans="1:9" x14ac:dyDescent="0.3">
      <c r="A131">
        <v>10130</v>
      </c>
      <c r="B131" s="2">
        <v>45201</v>
      </c>
      <c r="C131" t="s">
        <v>10</v>
      </c>
      <c r="D131" t="s">
        <v>16</v>
      </c>
      <c r="E131" t="s">
        <v>19</v>
      </c>
      <c r="F131">
        <v>8</v>
      </c>
      <c r="G131">
        <v>50032</v>
      </c>
      <c r="H131">
        <v>400256</v>
      </c>
      <c r="I131">
        <f t="shared" ref="I131:I194" si="2">G131*F131</f>
        <v>400256</v>
      </c>
    </row>
    <row r="132" spans="1:9" x14ac:dyDescent="0.3">
      <c r="A132">
        <v>10131</v>
      </c>
      <c r="B132" s="2">
        <v>44981</v>
      </c>
      <c r="C132" t="s">
        <v>13</v>
      </c>
      <c r="D132" t="s">
        <v>18</v>
      </c>
      <c r="E132" t="s">
        <v>20</v>
      </c>
      <c r="F132">
        <v>7</v>
      </c>
      <c r="G132">
        <v>24874</v>
      </c>
      <c r="H132">
        <v>174118</v>
      </c>
      <c r="I132">
        <f t="shared" si="2"/>
        <v>174118</v>
      </c>
    </row>
    <row r="133" spans="1:9" x14ac:dyDescent="0.3">
      <c r="A133">
        <v>10132</v>
      </c>
      <c r="B133" s="2">
        <v>45028</v>
      </c>
      <c r="C133" t="s">
        <v>12</v>
      </c>
      <c r="D133" t="s">
        <v>16</v>
      </c>
      <c r="E133" t="s">
        <v>22</v>
      </c>
      <c r="F133">
        <v>6</v>
      </c>
      <c r="G133">
        <v>33954</v>
      </c>
      <c r="H133">
        <v>203724</v>
      </c>
      <c r="I133">
        <f t="shared" si="2"/>
        <v>203724</v>
      </c>
    </row>
    <row r="134" spans="1:9" x14ac:dyDescent="0.3">
      <c r="A134">
        <v>10133</v>
      </c>
      <c r="B134" s="2">
        <v>44977</v>
      </c>
      <c r="C134" t="s">
        <v>10</v>
      </c>
      <c r="D134" t="s">
        <v>18</v>
      </c>
      <c r="E134" t="s">
        <v>20</v>
      </c>
      <c r="F134">
        <v>16</v>
      </c>
      <c r="G134">
        <v>37546</v>
      </c>
      <c r="H134">
        <v>600736</v>
      </c>
      <c r="I134">
        <f t="shared" si="2"/>
        <v>600736</v>
      </c>
    </row>
    <row r="135" spans="1:9" x14ac:dyDescent="0.3">
      <c r="A135">
        <v>10134</v>
      </c>
      <c r="B135" s="2">
        <v>45240</v>
      </c>
      <c r="C135" t="s">
        <v>9</v>
      </c>
      <c r="D135" t="s">
        <v>17</v>
      </c>
      <c r="E135" t="s">
        <v>22</v>
      </c>
      <c r="F135">
        <v>14</v>
      </c>
      <c r="G135">
        <v>43566</v>
      </c>
      <c r="H135">
        <v>609924</v>
      </c>
      <c r="I135">
        <f t="shared" si="2"/>
        <v>609924</v>
      </c>
    </row>
    <row r="136" spans="1:9" x14ac:dyDescent="0.3">
      <c r="A136">
        <v>10135</v>
      </c>
      <c r="B136" s="2">
        <v>45108</v>
      </c>
      <c r="C136" t="s">
        <v>10</v>
      </c>
      <c r="D136" t="s">
        <v>18</v>
      </c>
      <c r="E136" t="s">
        <v>22</v>
      </c>
      <c r="F136">
        <v>9</v>
      </c>
      <c r="G136">
        <v>15374</v>
      </c>
      <c r="H136">
        <v>138366</v>
      </c>
      <c r="I136">
        <f t="shared" si="2"/>
        <v>138366</v>
      </c>
    </row>
    <row r="137" spans="1:9" x14ac:dyDescent="0.3">
      <c r="A137">
        <v>10136</v>
      </c>
      <c r="B137" s="2">
        <v>45199</v>
      </c>
      <c r="C137" t="s">
        <v>8</v>
      </c>
      <c r="D137" t="s">
        <v>16</v>
      </c>
      <c r="E137" t="s">
        <v>19</v>
      </c>
      <c r="F137">
        <v>20</v>
      </c>
      <c r="G137">
        <v>37365</v>
      </c>
      <c r="H137">
        <v>747300</v>
      </c>
      <c r="I137">
        <f t="shared" si="2"/>
        <v>747300</v>
      </c>
    </row>
    <row r="138" spans="1:9" x14ac:dyDescent="0.3">
      <c r="A138">
        <v>10137</v>
      </c>
      <c r="B138" s="2">
        <v>45153</v>
      </c>
      <c r="C138" t="s">
        <v>11</v>
      </c>
      <c r="D138" t="s">
        <v>17</v>
      </c>
      <c r="E138" t="s">
        <v>21</v>
      </c>
      <c r="F138">
        <v>20</v>
      </c>
      <c r="G138">
        <v>14189</v>
      </c>
      <c r="H138">
        <v>283780</v>
      </c>
      <c r="I138">
        <f t="shared" si="2"/>
        <v>283780</v>
      </c>
    </row>
    <row r="139" spans="1:9" x14ac:dyDescent="0.3">
      <c r="A139">
        <v>10138</v>
      </c>
      <c r="B139" s="2">
        <v>45058</v>
      </c>
      <c r="C139" t="s">
        <v>9</v>
      </c>
      <c r="D139" t="s">
        <v>18</v>
      </c>
      <c r="E139" t="s">
        <v>20</v>
      </c>
      <c r="F139">
        <v>9</v>
      </c>
      <c r="G139">
        <v>37208</v>
      </c>
      <c r="H139">
        <v>334872</v>
      </c>
      <c r="I139">
        <f t="shared" si="2"/>
        <v>334872</v>
      </c>
    </row>
    <row r="140" spans="1:9" x14ac:dyDescent="0.3">
      <c r="A140">
        <v>10139</v>
      </c>
      <c r="B140" s="2">
        <v>45112</v>
      </c>
      <c r="C140" t="s">
        <v>10</v>
      </c>
      <c r="D140" t="s">
        <v>16</v>
      </c>
      <c r="E140" t="s">
        <v>21</v>
      </c>
      <c r="F140">
        <v>2</v>
      </c>
      <c r="G140">
        <v>20879</v>
      </c>
      <c r="H140">
        <v>41758</v>
      </c>
      <c r="I140">
        <f t="shared" si="2"/>
        <v>41758</v>
      </c>
    </row>
    <row r="141" spans="1:9" x14ac:dyDescent="0.3">
      <c r="A141">
        <v>10140</v>
      </c>
      <c r="B141" s="2">
        <v>45018</v>
      </c>
      <c r="C141" t="s">
        <v>8</v>
      </c>
      <c r="D141" t="s">
        <v>15</v>
      </c>
      <c r="E141" t="s">
        <v>23</v>
      </c>
      <c r="F141">
        <v>6</v>
      </c>
      <c r="G141">
        <v>7268</v>
      </c>
      <c r="H141">
        <v>43608</v>
      </c>
      <c r="I141">
        <f t="shared" si="2"/>
        <v>43608</v>
      </c>
    </row>
    <row r="142" spans="1:9" x14ac:dyDescent="0.3">
      <c r="A142">
        <v>10141</v>
      </c>
      <c r="B142" s="2">
        <v>45005</v>
      </c>
      <c r="C142" t="s">
        <v>12</v>
      </c>
      <c r="D142" t="s">
        <v>15</v>
      </c>
      <c r="E142" t="s">
        <v>24</v>
      </c>
      <c r="F142">
        <v>3</v>
      </c>
      <c r="G142">
        <v>41877</v>
      </c>
      <c r="H142">
        <v>125631</v>
      </c>
      <c r="I142">
        <f t="shared" si="2"/>
        <v>125631</v>
      </c>
    </row>
    <row r="143" spans="1:9" x14ac:dyDescent="0.3">
      <c r="A143">
        <v>10142</v>
      </c>
      <c r="B143" s="2">
        <v>45001</v>
      </c>
      <c r="C143" t="s">
        <v>13</v>
      </c>
      <c r="D143" t="s">
        <v>18</v>
      </c>
      <c r="E143" t="s">
        <v>22</v>
      </c>
      <c r="F143">
        <v>10</v>
      </c>
      <c r="G143">
        <v>9264</v>
      </c>
      <c r="H143">
        <v>92640</v>
      </c>
      <c r="I143">
        <f t="shared" si="2"/>
        <v>92640</v>
      </c>
    </row>
    <row r="144" spans="1:9" x14ac:dyDescent="0.3">
      <c r="A144">
        <v>10143</v>
      </c>
      <c r="B144" s="2">
        <v>44976</v>
      </c>
      <c r="C144" t="s">
        <v>14</v>
      </c>
      <c r="D144" t="s">
        <v>17</v>
      </c>
      <c r="E144" t="s">
        <v>21</v>
      </c>
      <c r="F144">
        <v>12</v>
      </c>
      <c r="G144">
        <v>42669</v>
      </c>
      <c r="H144">
        <v>512028</v>
      </c>
      <c r="I144">
        <f t="shared" si="2"/>
        <v>512028</v>
      </c>
    </row>
    <row r="145" spans="1:9" x14ac:dyDescent="0.3">
      <c r="A145">
        <v>10144</v>
      </c>
      <c r="B145" s="2">
        <v>45256</v>
      </c>
      <c r="C145" t="s">
        <v>11</v>
      </c>
      <c r="D145" t="s">
        <v>15</v>
      </c>
      <c r="E145" t="s">
        <v>21</v>
      </c>
      <c r="F145">
        <v>6</v>
      </c>
      <c r="G145">
        <v>4455</v>
      </c>
      <c r="H145">
        <v>26730</v>
      </c>
      <c r="I145">
        <f t="shared" si="2"/>
        <v>26730</v>
      </c>
    </row>
    <row r="146" spans="1:9" x14ac:dyDescent="0.3">
      <c r="A146">
        <v>10145</v>
      </c>
      <c r="B146" s="2">
        <v>45044</v>
      </c>
      <c r="C146" t="s">
        <v>8</v>
      </c>
      <c r="D146" t="s">
        <v>17</v>
      </c>
      <c r="E146" t="s">
        <v>23</v>
      </c>
      <c r="F146">
        <v>15</v>
      </c>
      <c r="G146">
        <v>20830</v>
      </c>
      <c r="H146">
        <v>312450</v>
      </c>
      <c r="I146">
        <f t="shared" si="2"/>
        <v>312450</v>
      </c>
    </row>
    <row r="147" spans="1:9" x14ac:dyDescent="0.3">
      <c r="A147">
        <v>10146</v>
      </c>
      <c r="B147" s="2">
        <v>45288</v>
      </c>
      <c r="C147" t="s">
        <v>14</v>
      </c>
      <c r="D147" t="s">
        <v>17</v>
      </c>
      <c r="E147" t="s">
        <v>22</v>
      </c>
      <c r="F147">
        <v>3</v>
      </c>
      <c r="G147">
        <v>27437</v>
      </c>
      <c r="H147">
        <v>82311</v>
      </c>
      <c r="I147">
        <f t="shared" si="2"/>
        <v>82311</v>
      </c>
    </row>
    <row r="148" spans="1:9" x14ac:dyDescent="0.3">
      <c r="A148">
        <v>10147</v>
      </c>
      <c r="B148" s="2">
        <v>45041</v>
      </c>
      <c r="C148" t="s">
        <v>12</v>
      </c>
      <c r="D148" t="s">
        <v>15</v>
      </c>
      <c r="E148" t="s">
        <v>23</v>
      </c>
      <c r="F148">
        <v>20</v>
      </c>
      <c r="G148">
        <v>49087</v>
      </c>
      <c r="H148">
        <v>981740</v>
      </c>
      <c r="I148">
        <f t="shared" si="2"/>
        <v>981740</v>
      </c>
    </row>
    <row r="149" spans="1:9" x14ac:dyDescent="0.3">
      <c r="A149">
        <v>10148</v>
      </c>
      <c r="B149" s="2">
        <v>45153</v>
      </c>
      <c r="C149" t="s">
        <v>14</v>
      </c>
      <c r="D149" t="s">
        <v>16</v>
      </c>
      <c r="E149" t="s">
        <v>21</v>
      </c>
      <c r="F149">
        <v>20</v>
      </c>
      <c r="G149">
        <v>54580</v>
      </c>
      <c r="H149">
        <v>1091600</v>
      </c>
      <c r="I149">
        <f t="shared" si="2"/>
        <v>1091600</v>
      </c>
    </row>
    <row r="150" spans="1:9" x14ac:dyDescent="0.3">
      <c r="A150">
        <v>10149</v>
      </c>
      <c r="B150" s="2">
        <v>44928</v>
      </c>
      <c r="C150" t="s">
        <v>12</v>
      </c>
      <c r="D150" t="s">
        <v>15</v>
      </c>
      <c r="E150" t="s">
        <v>24</v>
      </c>
      <c r="F150">
        <v>13</v>
      </c>
      <c r="G150">
        <v>17822</v>
      </c>
      <c r="H150">
        <v>231686</v>
      </c>
      <c r="I150">
        <f t="shared" si="2"/>
        <v>231686</v>
      </c>
    </row>
    <row r="151" spans="1:9" x14ac:dyDescent="0.3">
      <c r="A151">
        <v>10150</v>
      </c>
      <c r="B151" s="2">
        <v>44933</v>
      </c>
      <c r="C151" t="s">
        <v>9</v>
      </c>
      <c r="D151" t="s">
        <v>18</v>
      </c>
      <c r="E151" t="s">
        <v>23</v>
      </c>
      <c r="F151">
        <v>6</v>
      </c>
      <c r="G151">
        <v>51222</v>
      </c>
      <c r="H151">
        <v>307332</v>
      </c>
      <c r="I151">
        <f t="shared" si="2"/>
        <v>307332</v>
      </c>
    </row>
    <row r="152" spans="1:9" x14ac:dyDescent="0.3">
      <c r="A152">
        <v>10151</v>
      </c>
      <c r="B152" s="2">
        <v>45161</v>
      </c>
      <c r="C152" t="s">
        <v>14</v>
      </c>
      <c r="D152" t="s">
        <v>16</v>
      </c>
      <c r="E152" t="s">
        <v>23</v>
      </c>
      <c r="F152">
        <v>8</v>
      </c>
      <c r="G152">
        <v>4645</v>
      </c>
      <c r="H152">
        <v>37160</v>
      </c>
      <c r="I152">
        <f t="shared" si="2"/>
        <v>37160</v>
      </c>
    </row>
    <row r="153" spans="1:9" x14ac:dyDescent="0.3">
      <c r="A153">
        <v>10152</v>
      </c>
      <c r="B153" s="2">
        <v>45231</v>
      </c>
      <c r="C153" t="s">
        <v>12</v>
      </c>
      <c r="D153" t="s">
        <v>15</v>
      </c>
      <c r="E153" t="s">
        <v>24</v>
      </c>
      <c r="F153">
        <v>1</v>
      </c>
      <c r="G153">
        <v>16144</v>
      </c>
      <c r="H153">
        <v>16144</v>
      </c>
      <c r="I153">
        <f t="shared" si="2"/>
        <v>16144</v>
      </c>
    </row>
    <row r="154" spans="1:9" x14ac:dyDescent="0.3">
      <c r="A154">
        <v>10153</v>
      </c>
      <c r="B154" s="2">
        <v>45034</v>
      </c>
      <c r="C154" t="s">
        <v>12</v>
      </c>
      <c r="D154" t="s">
        <v>18</v>
      </c>
      <c r="E154" t="s">
        <v>20</v>
      </c>
      <c r="F154">
        <v>5</v>
      </c>
      <c r="G154">
        <v>23012</v>
      </c>
      <c r="H154">
        <v>115060</v>
      </c>
      <c r="I154">
        <f t="shared" si="2"/>
        <v>115060</v>
      </c>
    </row>
    <row r="155" spans="1:9" x14ac:dyDescent="0.3">
      <c r="A155">
        <v>10154</v>
      </c>
      <c r="B155" s="2">
        <v>45169</v>
      </c>
      <c r="C155" t="s">
        <v>9</v>
      </c>
      <c r="D155" t="s">
        <v>17</v>
      </c>
      <c r="E155" t="s">
        <v>23</v>
      </c>
      <c r="F155">
        <v>7</v>
      </c>
      <c r="G155">
        <v>3566</v>
      </c>
      <c r="H155">
        <v>24962</v>
      </c>
      <c r="I155">
        <f t="shared" si="2"/>
        <v>24962</v>
      </c>
    </row>
    <row r="156" spans="1:9" x14ac:dyDescent="0.3">
      <c r="A156">
        <v>10155</v>
      </c>
      <c r="B156" s="2">
        <v>45205</v>
      </c>
      <c r="C156" t="s">
        <v>9</v>
      </c>
      <c r="D156" t="s">
        <v>16</v>
      </c>
      <c r="E156" t="s">
        <v>21</v>
      </c>
      <c r="F156">
        <v>6</v>
      </c>
      <c r="G156">
        <v>11287</v>
      </c>
      <c r="H156">
        <v>67722</v>
      </c>
      <c r="I156">
        <f t="shared" si="2"/>
        <v>67722</v>
      </c>
    </row>
    <row r="157" spans="1:9" x14ac:dyDescent="0.3">
      <c r="A157">
        <v>10156</v>
      </c>
      <c r="B157" s="2">
        <v>45214</v>
      </c>
      <c r="C157" t="s">
        <v>12</v>
      </c>
      <c r="D157" t="s">
        <v>15</v>
      </c>
      <c r="E157" t="s">
        <v>23</v>
      </c>
      <c r="F157">
        <v>1</v>
      </c>
      <c r="G157">
        <v>35024</v>
      </c>
      <c r="H157">
        <v>35024</v>
      </c>
      <c r="I157">
        <f t="shared" si="2"/>
        <v>35024</v>
      </c>
    </row>
    <row r="158" spans="1:9" x14ac:dyDescent="0.3">
      <c r="A158">
        <v>10157</v>
      </c>
      <c r="B158" s="2">
        <v>45144</v>
      </c>
      <c r="C158" t="s">
        <v>9</v>
      </c>
      <c r="D158" t="s">
        <v>16</v>
      </c>
      <c r="E158" t="s">
        <v>19</v>
      </c>
      <c r="F158">
        <v>5</v>
      </c>
      <c r="G158">
        <v>50091</v>
      </c>
      <c r="H158">
        <v>250455</v>
      </c>
      <c r="I158">
        <f t="shared" si="2"/>
        <v>250455</v>
      </c>
    </row>
    <row r="159" spans="1:9" x14ac:dyDescent="0.3">
      <c r="A159">
        <v>10158</v>
      </c>
      <c r="B159" s="2">
        <v>45029</v>
      </c>
      <c r="C159" t="s">
        <v>9</v>
      </c>
      <c r="D159" t="s">
        <v>17</v>
      </c>
      <c r="E159" t="s">
        <v>23</v>
      </c>
      <c r="F159">
        <v>1</v>
      </c>
      <c r="G159">
        <v>17623</v>
      </c>
      <c r="H159">
        <v>17623</v>
      </c>
      <c r="I159">
        <f t="shared" si="2"/>
        <v>17623</v>
      </c>
    </row>
    <row r="160" spans="1:9" x14ac:dyDescent="0.3">
      <c r="A160">
        <v>10159</v>
      </c>
      <c r="B160" s="2">
        <v>45138</v>
      </c>
      <c r="C160" t="s">
        <v>11</v>
      </c>
      <c r="D160" t="s">
        <v>18</v>
      </c>
      <c r="E160" t="s">
        <v>20</v>
      </c>
      <c r="F160">
        <v>12</v>
      </c>
      <c r="G160">
        <v>52586</v>
      </c>
      <c r="H160">
        <v>631032</v>
      </c>
      <c r="I160">
        <f t="shared" si="2"/>
        <v>631032</v>
      </c>
    </row>
    <row r="161" spans="1:9" x14ac:dyDescent="0.3">
      <c r="A161">
        <v>10160</v>
      </c>
      <c r="B161" s="2">
        <v>45192</v>
      </c>
      <c r="C161" t="s">
        <v>12</v>
      </c>
      <c r="D161" t="s">
        <v>18</v>
      </c>
      <c r="E161" t="s">
        <v>23</v>
      </c>
      <c r="F161">
        <v>17</v>
      </c>
      <c r="G161">
        <v>35128</v>
      </c>
      <c r="H161">
        <v>597176</v>
      </c>
      <c r="I161">
        <f t="shared" si="2"/>
        <v>597176</v>
      </c>
    </row>
    <row r="162" spans="1:9" x14ac:dyDescent="0.3">
      <c r="A162">
        <v>10161</v>
      </c>
      <c r="B162" s="2">
        <v>45143</v>
      </c>
      <c r="C162" t="s">
        <v>10</v>
      </c>
      <c r="D162" t="s">
        <v>16</v>
      </c>
      <c r="E162" t="s">
        <v>22</v>
      </c>
      <c r="F162">
        <v>7</v>
      </c>
      <c r="G162">
        <v>54658</v>
      </c>
      <c r="H162">
        <v>382606</v>
      </c>
      <c r="I162">
        <f t="shared" si="2"/>
        <v>382606</v>
      </c>
    </row>
    <row r="163" spans="1:9" x14ac:dyDescent="0.3">
      <c r="A163">
        <v>10162</v>
      </c>
      <c r="B163" s="2">
        <v>45225</v>
      </c>
      <c r="C163" t="s">
        <v>12</v>
      </c>
      <c r="D163" t="s">
        <v>16</v>
      </c>
      <c r="E163" t="s">
        <v>20</v>
      </c>
      <c r="F163">
        <v>18</v>
      </c>
      <c r="G163">
        <v>41609</v>
      </c>
      <c r="H163">
        <v>748962</v>
      </c>
      <c r="I163">
        <f t="shared" si="2"/>
        <v>748962</v>
      </c>
    </row>
    <row r="164" spans="1:9" x14ac:dyDescent="0.3">
      <c r="A164">
        <v>10163</v>
      </c>
      <c r="B164" s="2">
        <v>45211</v>
      </c>
      <c r="C164" t="s">
        <v>13</v>
      </c>
      <c r="D164" t="s">
        <v>17</v>
      </c>
      <c r="E164" t="s">
        <v>24</v>
      </c>
      <c r="F164">
        <v>7</v>
      </c>
      <c r="G164">
        <v>17956</v>
      </c>
      <c r="H164">
        <v>125692</v>
      </c>
      <c r="I164">
        <f t="shared" si="2"/>
        <v>125692</v>
      </c>
    </row>
    <row r="165" spans="1:9" x14ac:dyDescent="0.3">
      <c r="A165">
        <v>10164</v>
      </c>
      <c r="B165" s="2">
        <v>45014</v>
      </c>
      <c r="C165" t="s">
        <v>11</v>
      </c>
      <c r="D165" t="s">
        <v>15</v>
      </c>
      <c r="E165" t="s">
        <v>24</v>
      </c>
      <c r="F165">
        <v>18</v>
      </c>
      <c r="G165">
        <v>31542</v>
      </c>
      <c r="H165">
        <v>567756</v>
      </c>
      <c r="I165">
        <f t="shared" si="2"/>
        <v>567756</v>
      </c>
    </row>
    <row r="166" spans="1:9" x14ac:dyDescent="0.3">
      <c r="A166">
        <v>10165</v>
      </c>
      <c r="B166" s="2">
        <v>44953</v>
      </c>
      <c r="C166" t="s">
        <v>10</v>
      </c>
      <c r="D166" t="s">
        <v>17</v>
      </c>
      <c r="E166" t="s">
        <v>23</v>
      </c>
      <c r="F166">
        <v>4</v>
      </c>
      <c r="G166">
        <v>40666</v>
      </c>
      <c r="H166">
        <v>162664</v>
      </c>
      <c r="I166">
        <f t="shared" si="2"/>
        <v>162664</v>
      </c>
    </row>
    <row r="167" spans="1:9" x14ac:dyDescent="0.3">
      <c r="A167">
        <v>10166</v>
      </c>
      <c r="B167" s="2">
        <v>45098</v>
      </c>
      <c r="C167" t="s">
        <v>11</v>
      </c>
      <c r="D167" t="s">
        <v>15</v>
      </c>
      <c r="E167" t="s">
        <v>19</v>
      </c>
      <c r="F167">
        <v>18</v>
      </c>
      <c r="G167">
        <v>39290</v>
      </c>
      <c r="H167">
        <v>707220</v>
      </c>
      <c r="I167">
        <f t="shared" si="2"/>
        <v>707220</v>
      </c>
    </row>
    <row r="168" spans="1:9" x14ac:dyDescent="0.3">
      <c r="A168">
        <v>10167</v>
      </c>
      <c r="B168" s="2">
        <v>45261</v>
      </c>
      <c r="C168" t="s">
        <v>12</v>
      </c>
      <c r="D168" t="s">
        <v>15</v>
      </c>
      <c r="E168" t="s">
        <v>19</v>
      </c>
      <c r="F168">
        <v>14</v>
      </c>
      <c r="G168">
        <v>52534</v>
      </c>
      <c r="H168">
        <v>735476</v>
      </c>
      <c r="I168">
        <f t="shared" si="2"/>
        <v>735476</v>
      </c>
    </row>
    <row r="169" spans="1:9" x14ac:dyDescent="0.3">
      <c r="A169">
        <v>10168</v>
      </c>
      <c r="B169" s="2">
        <v>45102</v>
      </c>
      <c r="C169" t="s">
        <v>8</v>
      </c>
      <c r="D169" t="s">
        <v>17</v>
      </c>
      <c r="E169" t="s">
        <v>22</v>
      </c>
      <c r="F169">
        <v>8</v>
      </c>
      <c r="G169">
        <v>10777</v>
      </c>
      <c r="H169">
        <v>86216</v>
      </c>
      <c r="I169">
        <f t="shared" si="2"/>
        <v>86216</v>
      </c>
    </row>
    <row r="170" spans="1:9" x14ac:dyDescent="0.3">
      <c r="A170">
        <v>10169</v>
      </c>
      <c r="B170" s="2">
        <v>44933</v>
      </c>
      <c r="C170" t="s">
        <v>11</v>
      </c>
      <c r="D170" t="s">
        <v>18</v>
      </c>
      <c r="E170" t="s">
        <v>23</v>
      </c>
      <c r="F170">
        <v>9</v>
      </c>
      <c r="G170">
        <v>6445</v>
      </c>
      <c r="H170">
        <v>58005</v>
      </c>
      <c r="I170">
        <f t="shared" si="2"/>
        <v>58005</v>
      </c>
    </row>
    <row r="171" spans="1:9" x14ac:dyDescent="0.3">
      <c r="A171">
        <v>10170</v>
      </c>
      <c r="B171" s="2">
        <v>45186</v>
      </c>
      <c r="C171" t="s">
        <v>13</v>
      </c>
      <c r="D171" t="s">
        <v>16</v>
      </c>
      <c r="E171" t="s">
        <v>19</v>
      </c>
      <c r="F171">
        <v>9</v>
      </c>
      <c r="G171">
        <v>11782</v>
      </c>
      <c r="H171">
        <v>106038</v>
      </c>
      <c r="I171">
        <f t="shared" si="2"/>
        <v>106038</v>
      </c>
    </row>
    <row r="172" spans="1:9" x14ac:dyDescent="0.3">
      <c r="A172">
        <v>10171</v>
      </c>
      <c r="B172" s="2">
        <v>45270</v>
      </c>
      <c r="C172" t="s">
        <v>13</v>
      </c>
      <c r="D172" t="s">
        <v>15</v>
      </c>
      <c r="E172" t="s">
        <v>22</v>
      </c>
      <c r="F172">
        <v>4</v>
      </c>
      <c r="G172">
        <v>48383</v>
      </c>
      <c r="H172">
        <v>193532</v>
      </c>
      <c r="I172">
        <f t="shared" si="2"/>
        <v>193532</v>
      </c>
    </row>
    <row r="173" spans="1:9" x14ac:dyDescent="0.3">
      <c r="A173">
        <v>10172</v>
      </c>
      <c r="B173" s="2">
        <v>45170</v>
      </c>
      <c r="C173" t="s">
        <v>13</v>
      </c>
      <c r="D173" t="s">
        <v>16</v>
      </c>
      <c r="E173" t="s">
        <v>21</v>
      </c>
      <c r="F173">
        <v>5</v>
      </c>
      <c r="G173">
        <v>49940</v>
      </c>
      <c r="H173">
        <v>249700</v>
      </c>
      <c r="I173">
        <f t="shared" si="2"/>
        <v>249700</v>
      </c>
    </row>
    <row r="174" spans="1:9" x14ac:dyDescent="0.3">
      <c r="A174">
        <v>10173</v>
      </c>
      <c r="B174" s="2">
        <v>45123</v>
      </c>
      <c r="C174" t="s">
        <v>10</v>
      </c>
      <c r="D174" t="s">
        <v>17</v>
      </c>
      <c r="E174" t="s">
        <v>20</v>
      </c>
      <c r="F174">
        <v>12</v>
      </c>
      <c r="G174">
        <v>36829</v>
      </c>
      <c r="H174">
        <v>441948</v>
      </c>
      <c r="I174">
        <f t="shared" si="2"/>
        <v>441948</v>
      </c>
    </row>
    <row r="175" spans="1:9" x14ac:dyDescent="0.3">
      <c r="A175">
        <v>10174</v>
      </c>
      <c r="B175" s="2">
        <v>45074</v>
      </c>
      <c r="C175" t="s">
        <v>9</v>
      </c>
      <c r="D175" t="s">
        <v>16</v>
      </c>
      <c r="E175" t="s">
        <v>21</v>
      </c>
      <c r="F175">
        <v>7</v>
      </c>
      <c r="G175">
        <v>24627</v>
      </c>
      <c r="H175">
        <v>172389</v>
      </c>
      <c r="I175">
        <f t="shared" si="2"/>
        <v>172389</v>
      </c>
    </row>
    <row r="176" spans="1:9" x14ac:dyDescent="0.3">
      <c r="A176">
        <v>10175</v>
      </c>
      <c r="B176" s="2">
        <v>44964</v>
      </c>
      <c r="C176" t="s">
        <v>8</v>
      </c>
      <c r="D176" t="s">
        <v>17</v>
      </c>
      <c r="E176" t="s">
        <v>23</v>
      </c>
      <c r="F176">
        <v>18</v>
      </c>
      <c r="G176">
        <v>7816</v>
      </c>
      <c r="H176">
        <v>140688</v>
      </c>
      <c r="I176">
        <f t="shared" si="2"/>
        <v>140688</v>
      </c>
    </row>
    <row r="177" spans="1:9" x14ac:dyDescent="0.3">
      <c r="A177">
        <v>10176</v>
      </c>
      <c r="B177" s="2">
        <v>45123</v>
      </c>
      <c r="C177" t="s">
        <v>11</v>
      </c>
      <c r="D177" t="s">
        <v>15</v>
      </c>
      <c r="E177" t="s">
        <v>19</v>
      </c>
      <c r="F177">
        <v>8</v>
      </c>
      <c r="G177">
        <v>6260</v>
      </c>
      <c r="H177">
        <v>50080</v>
      </c>
      <c r="I177">
        <f t="shared" si="2"/>
        <v>50080</v>
      </c>
    </row>
    <row r="178" spans="1:9" x14ac:dyDescent="0.3">
      <c r="A178">
        <v>10177</v>
      </c>
      <c r="B178" s="2">
        <v>45021</v>
      </c>
      <c r="C178" t="s">
        <v>10</v>
      </c>
      <c r="D178" t="s">
        <v>15</v>
      </c>
      <c r="E178" t="s">
        <v>20</v>
      </c>
      <c r="F178">
        <v>15</v>
      </c>
      <c r="G178">
        <v>49245</v>
      </c>
      <c r="H178">
        <v>738675</v>
      </c>
      <c r="I178">
        <f t="shared" si="2"/>
        <v>738675</v>
      </c>
    </row>
    <row r="179" spans="1:9" x14ac:dyDescent="0.3">
      <c r="A179">
        <v>10178</v>
      </c>
      <c r="B179" s="2">
        <v>45025</v>
      </c>
      <c r="C179" t="s">
        <v>11</v>
      </c>
      <c r="D179" t="s">
        <v>15</v>
      </c>
      <c r="E179" t="s">
        <v>22</v>
      </c>
      <c r="F179">
        <v>19</v>
      </c>
      <c r="G179">
        <v>54901</v>
      </c>
      <c r="H179">
        <v>1043119</v>
      </c>
      <c r="I179">
        <f t="shared" si="2"/>
        <v>1043119</v>
      </c>
    </row>
    <row r="180" spans="1:9" x14ac:dyDescent="0.3">
      <c r="A180">
        <v>10179</v>
      </c>
      <c r="B180" s="2">
        <v>45108</v>
      </c>
      <c r="C180" t="s">
        <v>11</v>
      </c>
      <c r="D180" t="s">
        <v>18</v>
      </c>
      <c r="E180" t="s">
        <v>21</v>
      </c>
      <c r="F180">
        <v>8</v>
      </c>
      <c r="G180">
        <v>20977</v>
      </c>
      <c r="H180">
        <v>167816</v>
      </c>
      <c r="I180">
        <f t="shared" si="2"/>
        <v>167816</v>
      </c>
    </row>
    <row r="181" spans="1:9" x14ac:dyDescent="0.3">
      <c r="A181">
        <v>10180</v>
      </c>
      <c r="B181" s="2">
        <v>45198</v>
      </c>
      <c r="C181" t="s">
        <v>12</v>
      </c>
      <c r="D181" t="s">
        <v>15</v>
      </c>
      <c r="E181" t="s">
        <v>21</v>
      </c>
      <c r="F181">
        <v>6</v>
      </c>
      <c r="G181">
        <v>14814</v>
      </c>
      <c r="H181">
        <v>88884</v>
      </c>
      <c r="I181">
        <f t="shared" si="2"/>
        <v>88884</v>
      </c>
    </row>
    <row r="182" spans="1:9" x14ac:dyDescent="0.3">
      <c r="A182">
        <v>10181</v>
      </c>
      <c r="B182" s="2">
        <v>44956</v>
      </c>
      <c r="C182" t="s">
        <v>8</v>
      </c>
      <c r="D182" t="s">
        <v>16</v>
      </c>
      <c r="E182" t="s">
        <v>22</v>
      </c>
      <c r="F182">
        <v>5</v>
      </c>
      <c r="G182">
        <v>17975</v>
      </c>
      <c r="H182">
        <v>89875</v>
      </c>
      <c r="I182">
        <f t="shared" si="2"/>
        <v>89875</v>
      </c>
    </row>
    <row r="183" spans="1:9" x14ac:dyDescent="0.3">
      <c r="A183">
        <v>10182</v>
      </c>
      <c r="B183" s="2">
        <v>45186</v>
      </c>
      <c r="C183" t="s">
        <v>13</v>
      </c>
      <c r="D183" t="s">
        <v>16</v>
      </c>
      <c r="E183" t="s">
        <v>22</v>
      </c>
      <c r="F183">
        <v>13</v>
      </c>
      <c r="G183">
        <v>45054</v>
      </c>
      <c r="H183">
        <v>585702</v>
      </c>
      <c r="I183">
        <f t="shared" si="2"/>
        <v>585702</v>
      </c>
    </row>
    <row r="184" spans="1:9" x14ac:dyDescent="0.3">
      <c r="A184">
        <v>10183</v>
      </c>
      <c r="B184" s="2">
        <v>45228</v>
      </c>
      <c r="C184" t="s">
        <v>11</v>
      </c>
      <c r="D184" t="s">
        <v>17</v>
      </c>
      <c r="E184" t="s">
        <v>20</v>
      </c>
      <c r="F184">
        <v>1</v>
      </c>
      <c r="G184">
        <v>45600</v>
      </c>
      <c r="H184">
        <v>45600</v>
      </c>
      <c r="I184">
        <f t="shared" si="2"/>
        <v>45600</v>
      </c>
    </row>
    <row r="185" spans="1:9" x14ac:dyDescent="0.3">
      <c r="A185">
        <v>10184</v>
      </c>
      <c r="B185" s="2">
        <v>45001</v>
      </c>
      <c r="C185" t="s">
        <v>12</v>
      </c>
      <c r="D185" t="s">
        <v>17</v>
      </c>
      <c r="E185" t="s">
        <v>20</v>
      </c>
      <c r="F185">
        <v>4</v>
      </c>
      <c r="G185">
        <v>21193</v>
      </c>
      <c r="H185">
        <v>84772</v>
      </c>
      <c r="I185">
        <f t="shared" si="2"/>
        <v>84772</v>
      </c>
    </row>
    <row r="186" spans="1:9" x14ac:dyDescent="0.3">
      <c r="A186">
        <v>10185</v>
      </c>
      <c r="B186" s="2">
        <v>44987</v>
      </c>
      <c r="C186" t="s">
        <v>9</v>
      </c>
      <c r="D186" t="s">
        <v>18</v>
      </c>
      <c r="E186" t="s">
        <v>22</v>
      </c>
      <c r="F186">
        <v>15</v>
      </c>
      <c r="G186">
        <v>29144</v>
      </c>
      <c r="H186">
        <v>437160</v>
      </c>
      <c r="I186">
        <f t="shared" si="2"/>
        <v>437160</v>
      </c>
    </row>
    <row r="187" spans="1:9" x14ac:dyDescent="0.3">
      <c r="A187">
        <v>10186</v>
      </c>
      <c r="B187" s="2">
        <v>45271</v>
      </c>
      <c r="C187" t="s">
        <v>12</v>
      </c>
      <c r="D187" t="s">
        <v>17</v>
      </c>
      <c r="E187" t="s">
        <v>22</v>
      </c>
      <c r="F187">
        <v>1</v>
      </c>
      <c r="G187">
        <v>12322</v>
      </c>
      <c r="H187">
        <v>12322</v>
      </c>
      <c r="I187">
        <f t="shared" si="2"/>
        <v>12322</v>
      </c>
    </row>
    <row r="188" spans="1:9" x14ac:dyDescent="0.3">
      <c r="A188">
        <v>10187</v>
      </c>
      <c r="B188" s="2">
        <v>45223</v>
      </c>
      <c r="C188" t="s">
        <v>11</v>
      </c>
      <c r="D188" t="s">
        <v>16</v>
      </c>
      <c r="E188" t="s">
        <v>19</v>
      </c>
      <c r="F188">
        <v>16</v>
      </c>
      <c r="G188">
        <v>38730</v>
      </c>
      <c r="H188">
        <v>619680</v>
      </c>
      <c r="I188">
        <f t="shared" si="2"/>
        <v>619680</v>
      </c>
    </row>
    <row r="189" spans="1:9" x14ac:dyDescent="0.3">
      <c r="A189">
        <v>10188</v>
      </c>
      <c r="B189" s="2">
        <v>45246</v>
      </c>
      <c r="C189" t="s">
        <v>11</v>
      </c>
      <c r="D189" t="s">
        <v>17</v>
      </c>
      <c r="E189" t="s">
        <v>22</v>
      </c>
      <c r="F189">
        <v>16</v>
      </c>
      <c r="G189">
        <v>57057</v>
      </c>
      <c r="H189">
        <v>912912</v>
      </c>
      <c r="I189">
        <f t="shared" si="2"/>
        <v>912912</v>
      </c>
    </row>
    <row r="190" spans="1:9" x14ac:dyDescent="0.3">
      <c r="A190">
        <v>10189</v>
      </c>
      <c r="B190" s="2">
        <v>45190</v>
      </c>
      <c r="C190" t="s">
        <v>14</v>
      </c>
      <c r="D190" t="s">
        <v>15</v>
      </c>
      <c r="E190" t="s">
        <v>22</v>
      </c>
      <c r="F190">
        <v>5</v>
      </c>
      <c r="G190">
        <v>9630</v>
      </c>
      <c r="H190">
        <v>48150</v>
      </c>
      <c r="I190">
        <f t="shared" si="2"/>
        <v>48150</v>
      </c>
    </row>
    <row r="191" spans="1:9" x14ac:dyDescent="0.3">
      <c r="A191">
        <v>10190</v>
      </c>
      <c r="B191" s="2">
        <v>45138</v>
      </c>
      <c r="C191" t="s">
        <v>12</v>
      </c>
      <c r="D191" t="s">
        <v>18</v>
      </c>
      <c r="E191" t="s">
        <v>20</v>
      </c>
      <c r="F191">
        <v>19</v>
      </c>
      <c r="G191">
        <v>32741</v>
      </c>
      <c r="H191">
        <v>622079</v>
      </c>
      <c r="I191">
        <f t="shared" si="2"/>
        <v>622079</v>
      </c>
    </row>
    <row r="192" spans="1:9" x14ac:dyDescent="0.3">
      <c r="A192">
        <v>10191</v>
      </c>
      <c r="B192" s="2">
        <v>45005</v>
      </c>
      <c r="C192" t="s">
        <v>8</v>
      </c>
      <c r="D192" t="s">
        <v>18</v>
      </c>
      <c r="E192" t="s">
        <v>21</v>
      </c>
      <c r="F192">
        <v>16</v>
      </c>
      <c r="G192">
        <v>39726</v>
      </c>
      <c r="H192">
        <v>635616</v>
      </c>
      <c r="I192">
        <f t="shared" si="2"/>
        <v>635616</v>
      </c>
    </row>
    <row r="193" spans="1:9" x14ac:dyDescent="0.3">
      <c r="A193">
        <v>10192</v>
      </c>
      <c r="B193" s="2">
        <v>44960</v>
      </c>
      <c r="C193" t="s">
        <v>11</v>
      </c>
      <c r="D193" t="s">
        <v>17</v>
      </c>
      <c r="E193" t="s">
        <v>24</v>
      </c>
      <c r="F193">
        <v>18</v>
      </c>
      <c r="G193">
        <v>21797</v>
      </c>
      <c r="H193">
        <v>392346</v>
      </c>
      <c r="I193">
        <f t="shared" si="2"/>
        <v>392346</v>
      </c>
    </row>
    <row r="194" spans="1:9" x14ac:dyDescent="0.3">
      <c r="A194">
        <v>10193</v>
      </c>
      <c r="B194" s="2">
        <v>44993</v>
      </c>
      <c r="C194" t="s">
        <v>13</v>
      </c>
      <c r="D194" t="s">
        <v>16</v>
      </c>
      <c r="E194" t="s">
        <v>21</v>
      </c>
      <c r="F194">
        <v>12</v>
      </c>
      <c r="G194">
        <v>36719</v>
      </c>
      <c r="H194">
        <v>440628</v>
      </c>
      <c r="I194">
        <f t="shared" si="2"/>
        <v>440628</v>
      </c>
    </row>
    <row r="195" spans="1:9" x14ac:dyDescent="0.3">
      <c r="A195">
        <v>10194</v>
      </c>
      <c r="B195" s="2">
        <v>45108</v>
      </c>
      <c r="C195" t="s">
        <v>8</v>
      </c>
      <c r="D195" t="s">
        <v>18</v>
      </c>
      <c r="E195" t="s">
        <v>22</v>
      </c>
      <c r="F195">
        <v>19</v>
      </c>
      <c r="G195">
        <v>49201</v>
      </c>
      <c r="H195">
        <v>934819</v>
      </c>
      <c r="I195">
        <f t="shared" ref="I195:I258" si="3">G195*F195</f>
        <v>934819</v>
      </c>
    </row>
    <row r="196" spans="1:9" x14ac:dyDescent="0.3">
      <c r="A196">
        <v>10195</v>
      </c>
      <c r="B196" s="2">
        <v>45240</v>
      </c>
      <c r="C196" t="s">
        <v>12</v>
      </c>
      <c r="D196" t="s">
        <v>17</v>
      </c>
      <c r="E196" t="s">
        <v>20</v>
      </c>
      <c r="F196">
        <v>1</v>
      </c>
      <c r="G196">
        <v>18457</v>
      </c>
      <c r="H196">
        <v>18457</v>
      </c>
      <c r="I196">
        <f t="shared" si="3"/>
        <v>18457</v>
      </c>
    </row>
    <row r="197" spans="1:9" x14ac:dyDescent="0.3">
      <c r="A197">
        <v>10196</v>
      </c>
      <c r="B197" s="2">
        <v>44928</v>
      </c>
      <c r="C197" t="s">
        <v>10</v>
      </c>
      <c r="D197" t="s">
        <v>18</v>
      </c>
      <c r="E197" t="s">
        <v>23</v>
      </c>
      <c r="F197">
        <v>18</v>
      </c>
      <c r="G197">
        <v>10543</v>
      </c>
      <c r="H197">
        <v>189774</v>
      </c>
      <c r="I197">
        <f t="shared" si="3"/>
        <v>189774</v>
      </c>
    </row>
    <row r="198" spans="1:9" x14ac:dyDescent="0.3">
      <c r="A198">
        <v>10197</v>
      </c>
      <c r="B198" s="2">
        <v>45264</v>
      </c>
      <c r="C198" t="s">
        <v>14</v>
      </c>
      <c r="D198" t="s">
        <v>18</v>
      </c>
      <c r="E198" t="s">
        <v>21</v>
      </c>
      <c r="F198">
        <v>5</v>
      </c>
      <c r="G198">
        <v>40619</v>
      </c>
      <c r="H198">
        <v>203095</v>
      </c>
      <c r="I198">
        <f t="shared" si="3"/>
        <v>203095</v>
      </c>
    </row>
    <row r="199" spans="1:9" x14ac:dyDescent="0.3">
      <c r="A199">
        <v>10198</v>
      </c>
      <c r="B199" s="2">
        <v>45236</v>
      </c>
      <c r="C199" t="s">
        <v>10</v>
      </c>
      <c r="D199" t="s">
        <v>15</v>
      </c>
      <c r="E199" t="s">
        <v>19</v>
      </c>
      <c r="F199">
        <v>18</v>
      </c>
      <c r="G199">
        <v>26964</v>
      </c>
      <c r="H199">
        <v>485352</v>
      </c>
      <c r="I199">
        <f t="shared" si="3"/>
        <v>485352</v>
      </c>
    </row>
    <row r="200" spans="1:9" x14ac:dyDescent="0.3">
      <c r="A200">
        <v>10199</v>
      </c>
      <c r="B200" s="2">
        <v>45269</v>
      </c>
      <c r="C200" t="s">
        <v>14</v>
      </c>
      <c r="D200" t="s">
        <v>15</v>
      </c>
      <c r="E200" t="s">
        <v>23</v>
      </c>
      <c r="F200">
        <v>2</v>
      </c>
      <c r="G200">
        <v>25988</v>
      </c>
      <c r="H200">
        <v>51976</v>
      </c>
      <c r="I200">
        <f t="shared" si="3"/>
        <v>51976</v>
      </c>
    </row>
    <row r="201" spans="1:9" x14ac:dyDescent="0.3">
      <c r="A201">
        <v>10200</v>
      </c>
      <c r="B201" s="2">
        <v>45151</v>
      </c>
      <c r="C201" t="s">
        <v>8</v>
      </c>
      <c r="D201" t="s">
        <v>16</v>
      </c>
      <c r="E201" t="s">
        <v>23</v>
      </c>
      <c r="F201">
        <v>19</v>
      </c>
      <c r="G201">
        <v>7866</v>
      </c>
      <c r="H201">
        <v>149454</v>
      </c>
      <c r="I201">
        <f t="shared" si="3"/>
        <v>149454</v>
      </c>
    </row>
    <row r="202" spans="1:9" x14ac:dyDescent="0.3">
      <c r="A202">
        <v>10201</v>
      </c>
      <c r="B202" s="2">
        <v>44934</v>
      </c>
      <c r="C202" t="s">
        <v>10</v>
      </c>
      <c r="D202" t="s">
        <v>16</v>
      </c>
      <c r="E202" t="s">
        <v>22</v>
      </c>
      <c r="F202">
        <v>15</v>
      </c>
      <c r="G202">
        <v>41755</v>
      </c>
      <c r="H202">
        <v>626325</v>
      </c>
      <c r="I202">
        <f t="shared" si="3"/>
        <v>626325</v>
      </c>
    </row>
    <row r="203" spans="1:9" x14ac:dyDescent="0.3">
      <c r="A203">
        <v>10202</v>
      </c>
      <c r="B203" s="2">
        <v>45094</v>
      </c>
      <c r="C203" t="s">
        <v>10</v>
      </c>
      <c r="D203" t="s">
        <v>17</v>
      </c>
      <c r="E203" t="s">
        <v>19</v>
      </c>
      <c r="F203">
        <v>18</v>
      </c>
      <c r="G203">
        <v>35215</v>
      </c>
      <c r="H203">
        <v>633870</v>
      </c>
      <c r="I203">
        <f t="shared" si="3"/>
        <v>633870</v>
      </c>
    </row>
    <row r="204" spans="1:9" x14ac:dyDescent="0.3">
      <c r="A204">
        <v>10203</v>
      </c>
      <c r="B204" s="2">
        <v>45256</v>
      </c>
      <c r="C204" t="s">
        <v>11</v>
      </c>
      <c r="D204" t="s">
        <v>17</v>
      </c>
      <c r="E204" t="s">
        <v>20</v>
      </c>
      <c r="F204">
        <v>13</v>
      </c>
      <c r="G204">
        <v>7421</v>
      </c>
      <c r="H204">
        <v>96473</v>
      </c>
      <c r="I204">
        <f t="shared" si="3"/>
        <v>96473</v>
      </c>
    </row>
    <row r="205" spans="1:9" x14ac:dyDescent="0.3">
      <c r="A205">
        <v>10204</v>
      </c>
      <c r="B205" s="2">
        <v>45174</v>
      </c>
      <c r="C205" t="s">
        <v>9</v>
      </c>
      <c r="D205" t="s">
        <v>15</v>
      </c>
      <c r="E205" t="s">
        <v>21</v>
      </c>
      <c r="F205">
        <v>16</v>
      </c>
      <c r="G205">
        <v>6041</v>
      </c>
      <c r="H205">
        <v>96656</v>
      </c>
      <c r="I205">
        <f t="shared" si="3"/>
        <v>96656</v>
      </c>
    </row>
    <row r="206" spans="1:9" x14ac:dyDescent="0.3">
      <c r="A206">
        <v>10205</v>
      </c>
      <c r="B206" s="2">
        <v>45288</v>
      </c>
      <c r="C206" t="s">
        <v>10</v>
      </c>
      <c r="D206" t="s">
        <v>18</v>
      </c>
      <c r="E206" t="s">
        <v>19</v>
      </c>
      <c r="F206">
        <v>1</v>
      </c>
      <c r="G206">
        <v>47142</v>
      </c>
      <c r="H206">
        <v>47142</v>
      </c>
      <c r="I206">
        <f t="shared" si="3"/>
        <v>47142</v>
      </c>
    </row>
    <row r="207" spans="1:9" x14ac:dyDescent="0.3">
      <c r="A207">
        <v>10206</v>
      </c>
      <c r="B207" s="2">
        <v>45003</v>
      </c>
      <c r="C207" t="s">
        <v>13</v>
      </c>
      <c r="D207" t="s">
        <v>16</v>
      </c>
      <c r="E207" t="s">
        <v>24</v>
      </c>
      <c r="F207">
        <v>15</v>
      </c>
      <c r="G207">
        <v>35096</v>
      </c>
      <c r="H207">
        <v>526440</v>
      </c>
      <c r="I207">
        <f t="shared" si="3"/>
        <v>526440</v>
      </c>
    </row>
    <row r="208" spans="1:9" x14ac:dyDescent="0.3">
      <c r="A208">
        <v>10207</v>
      </c>
      <c r="B208" s="2">
        <v>45000</v>
      </c>
      <c r="C208" t="s">
        <v>11</v>
      </c>
      <c r="D208" t="s">
        <v>16</v>
      </c>
      <c r="E208" t="s">
        <v>21</v>
      </c>
      <c r="F208">
        <v>8</v>
      </c>
      <c r="G208">
        <v>51583</v>
      </c>
      <c r="H208">
        <v>412664</v>
      </c>
      <c r="I208">
        <f t="shared" si="3"/>
        <v>412664</v>
      </c>
    </row>
    <row r="209" spans="1:9" x14ac:dyDescent="0.3">
      <c r="A209">
        <v>10208</v>
      </c>
      <c r="B209" s="2">
        <v>45248</v>
      </c>
      <c r="C209" t="s">
        <v>9</v>
      </c>
      <c r="D209" t="s">
        <v>15</v>
      </c>
      <c r="E209" t="s">
        <v>23</v>
      </c>
      <c r="F209">
        <v>5</v>
      </c>
      <c r="G209">
        <v>44722</v>
      </c>
      <c r="H209">
        <v>223610</v>
      </c>
      <c r="I209">
        <f t="shared" si="3"/>
        <v>223610</v>
      </c>
    </row>
    <row r="210" spans="1:9" x14ac:dyDescent="0.3">
      <c r="A210">
        <v>10209</v>
      </c>
      <c r="B210" s="2">
        <v>45071</v>
      </c>
      <c r="C210" t="s">
        <v>13</v>
      </c>
      <c r="D210" t="s">
        <v>17</v>
      </c>
      <c r="E210" t="s">
        <v>20</v>
      </c>
      <c r="F210">
        <v>8</v>
      </c>
      <c r="G210">
        <v>34615</v>
      </c>
      <c r="H210">
        <v>276920</v>
      </c>
      <c r="I210">
        <f t="shared" si="3"/>
        <v>276920</v>
      </c>
    </row>
    <row r="211" spans="1:9" x14ac:dyDescent="0.3">
      <c r="A211">
        <v>10210</v>
      </c>
      <c r="B211" s="2">
        <v>45214</v>
      </c>
      <c r="C211" t="s">
        <v>11</v>
      </c>
      <c r="D211" t="s">
        <v>15</v>
      </c>
      <c r="E211" t="s">
        <v>21</v>
      </c>
      <c r="F211">
        <v>1</v>
      </c>
      <c r="G211">
        <v>20346</v>
      </c>
      <c r="H211">
        <v>20346</v>
      </c>
      <c r="I211">
        <f t="shared" si="3"/>
        <v>20346</v>
      </c>
    </row>
    <row r="212" spans="1:9" x14ac:dyDescent="0.3">
      <c r="A212">
        <v>10211</v>
      </c>
      <c r="B212" s="2">
        <v>45137</v>
      </c>
      <c r="C212" t="s">
        <v>9</v>
      </c>
      <c r="D212" t="s">
        <v>16</v>
      </c>
      <c r="E212" t="s">
        <v>24</v>
      </c>
      <c r="F212">
        <v>15</v>
      </c>
      <c r="G212">
        <v>30912</v>
      </c>
      <c r="H212">
        <v>463680</v>
      </c>
      <c r="I212">
        <f t="shared" si="3"/>
        <v>463680</v>
      </c>
    </row>
    <row r="213" spans="1:9" x14ac:dyDescent="0.3">
      <c r="A213">
        <v>10212</v>
      </c>
      <c r="B213" s="2">
        <v>45053</v>
      </c>
      <c r="C213" t="s">
        <v>14</v>
      </c>
      <c r="D213" t="s">
        <v>18</v>
      </c>
      <c r="E213" t="s">
        <v>19</v>
      </c>
      <c r="F213">
        <v>15</v>
      </c>
      <c r="G213">
        <v>51193</v>
      </c>
      <c r="H213">
        <v>767895</v>
      </c>
      <c r="I213">
        <f t="shared" si="3"/>
        <v>767895</v>
      </c>
    </row>
    <row r="214" spans="1:9" x14ac:dyDescent="0.3">
      <c r="A214">
        <v>10213</v>
      </c>
      <c r="B214" s="2">
        <v>45235</v>
      </c>
      <c r="C214" t="s">
        <v>12</v>
      </c>
      <c r="D214" t="s">
        <v>18</v>
      </c>
      <c r="E214" t="s">
        <v>20</v>
      </c>
      <c r="F214">
        <v>11</v>
      </c>
      <c r="G214">
        <v>52205</v>
      </c>
      <c r="H214">
        <v>574255</v>
      </c>
      <c r="I214">
        <f t="shared" si="3"/>
        <v>574255</v>
      </c>
    </row>
    <row r="215" spans="1:9" x14ac:dyDescent="0.3">
      <c r="A215">
        <v>10214</v>
      </c>
      <c r="B215" s="2">
        <v>45169</v>
      </c>
      <c r="C215" t="s">
        <v>11</v>
      </c>
      <c r="D215" t="s">
        <v>15</v>
      </c>
      <c r="E215" t="s">
        <v>22</v>
      </c>
      <c r="F215">
        <v>14</v>
      </c>
      <c r="G215">
        <v>14984</v>
      </c>
      <c r="H215">
        <v>209776</v>
      </c>
      <c r="I215">
        <f t="shared" si="3"/>
        <v>209776</v>
      </c>
    </row>
    <row r="216" spans="1:9" x14ac:dyDescent="0.3">
      <c r="A216">
        <v>10215</v>
      </c>
      <c r="B216" s="2">
        <v>45076</v>
      </c>
      <c r="C216" t="s">
        <v>14</v>
      </c>
      <c r="D216" t="s">
        <v>15</v>
      </c>
      <c r="E216" t="s">
        <v>21</v>
      </c>
      <c r="F216">
        <v>8</v>
      </c>
      <c r="G216">
        <v>50369</v>
      </c>
      <c r="H216">
        <v>402952</v>
      </c>
      <c r="I216">
        <f t="shared" si="3"/>
        <v>402952</v>
      </c>
    </row>
    <row r="217" spans="1:9" x14ac:dyDescent="0.3">
      <c r="A217">
        <v>10216</v>
      </c>
      <c r="B217" s="2">
        <v>45241</v>
      </c>
      <c r="C217" t="s">
        <v>8</v>
      </c>
      <c r="D217" t="s">
        <v>15</v>
      </c>
      <c r="E217" t="s">
        <v>23</v>
      </c>
      <c r="F217">
        <v>6</v>
      </c>
      <c r="G217">
        <v>30009</v>
      </c>
      <c r="H217">
        <v>180054</v>
      </c>
      <c r="I217">
        <f t="shared" si="3"/>
        <v>180054</v>
      </c>
    </row>
    <row r="218" spans="1:9" x14ac:dyDescent="0.3">
      <c r="A218">
        <v>10217</v>
      </c>
      <c r="B218" s="2">
        <v>44948</v>
      </c>
      <c r="C218" t="s">
        <v>8</v>
      </c>
      <c r="D218" t="s">
        <v>17</v>
      </c>
      <c r="E218" t="s">
        <v>23</v>
      </c>
      <c r="F218">
        <v>8</v>
      </c>
      <c r="G218">
        <v>26855</v>
      </c>
      <c r="H218">
        <v>214840</v>
      </c>
      <c r="I218">
        <f t="shared" si="3"/>
        <v>214840</v>
      </c>
    </row>
    <row r="219" spans="1:9" x14ac:dyDescent="0.3">
      <c r="A219">
        <v>10218</v>
      </c>
      <c r="B219" s="2">
        <v>45048</v>
      </c>
      <c r="C219" t="s">
        <v>11</v>
      </c>
      <c r="D219" t="s">
        <v>17</v>
      </c>
      <c r="E219" t="s">
        <v>24</v>
      </c>
      <c r="F219">
        <v>5</v>
      </c>
      <c r="G219">
        <v>41733</v>
      </c>
      <c r="H219">
        <v>208665</v>
      </c>
      <c r="I219">
        <f t="shared" si="3"/>
        <v>208665</v>
      </c>
    </row>
    <row r="220" spans="1:9" x14ac:dyDescent="0.3">
      <c r="A220">
        <v>10219</v>
      </c>
      <c r="B220" s="2">
        <v>44965</v>
      </c>
      <c r="C220" t="s">
        <v>13</v>
      </c>
      <c r="D220" t="s">
        <v>16</v>
      </c>
      <c r="E220" t="s">
        <v>21</v>
      </c>
      <c r="F220">
        <v>9</v>
      </c>
      <c r="G220">
        <v>6730</v>
      </c>
      <c r="H220">
        <v>60570</v>
      </c>
      <c r="I220">
        <f t="shared" si="3"/>
        <v>60570</v>
      </c>
    </row>
    <row r="221" spans="1:9" x14ac:dyDescent="0.3">
      <c r="A221">
        <v>10220</v>
      </c>
      <c r="B221" s="2">
        <v>44949</v>
      </c>
      <c r="C221" t="s">
        <v>14</v>
      </c>
      <c r="D221" t="s">
        <v>18</v>
      </c>
      <c r="E221" t="s">
        <v>19</v>
      </c>
      <c r="F221">
        <v>9</v>
      </c>
      <c r="G221">
        <v>29527</v>
      </c>
      <c r="H221">
        <v>265743</v>
      </c>
      <c r="I221">
        <f t="shared" si="3"/>
        <v>265743</v>
      </c>
    </row>
    <row r="222" spans="1:9" x14ac:dyDescent="0.3">
      <c r="A222">
        <v>10221</v>
      </c>
      <c r="B222" s="2">
        <v>45046</v>
      </c>
      <c r="C222" t="s">
        <v>10</v>
      </c>
      <c r="D222" t="s">
        <v>16</v>
      </c>
      <c r="E222" t="s">
        <v>19</v>
      </c>
      <c r="F222">
        <v>6</v>
      </c>
      <c r="G222">
        <v>55071</v>
      </c>
      <c r="H222">
        <v>330426</v>
      </c>
      <c r="I222">
        <f t="shared" si="3"/>
        <v>330426</v>
      </c>
    </row>
    <row r="223" spans="1:9" x14ac:dyDescent="0.3">
      <c r="A223">
        <v>10222</v>
      </c>
      <c r="B223" s="2">
        <v>45231</v>
      </c>
      <c r="C223" t="s">
        <v>13</v>
      </c>
      <c r="D223" t="s">
        <v>17</v>
      </c>
      <c r="E223" t="s">
        <v>19</v>
      </c>
      <c r="F223">
        <v>5</v>
      </c>
      <c r="G223">
        <v>10451</v>
      </c>
      <c r="H223">
        <v>52255</v>
      </c>
      <c r="I223">
        <f t="shared" si="3"/>
        <v>52255</v>
      </c>
    </row>
    <row r="224" spans="1:9" x14ac:dyDescent="0.3">
      <c r="A224">
        <v>10223</v>
      </c>
      <c r="B224" s="2">
        <v>45014</v>
      </c>
      <c r="C224" t="s">
        <v>9</v>
      </c>
      <c r="D224" t="s">
        <v>16</v>
      </c>
      <c r="E224" t="s">
        <v>22</v>
      </c>
      <c r="F224">
        <v>19</v>
      </c>
      <c r="G224">
        <v>38036</v>
      </c>
      <c r="H224">
        <v>722684</v>
      </c>
      <c r="I224">
        <f t="shared" si="3"/>
        <v>722684</v>
      </c>
    </row>
    <row r="225" spans="1:9" x14ac:dyDescent="0.3">
      <c r="A225">
        <v>10224</v>
      </c>
      <c r="B225" s="2">
        <v>44935</v>
      </c>
      <c r="C225" t="s">
        <v>9</v>
      </c>
      <c r="D225" t="s">
        <v>15</v>
      </c>
      <c r="E225" t="s">
        <v>23</v>
      </c>
      <c r="F225">
        <v>3</v>
      </c>
      <c r="G225">
        <v>17656</v>
      </c>
      <c r="H225">
        <v>52968</v>
      </c>
      <c r="I225">
        <f t="shared" si="3"/>
        <v>52968</v>
      </c>
    </row>
    <row r="226" spans="1:9" x14ac:dyDescent="0.3">
      <c r="A226">
        <v>10225</v>
      </c>
      <c r="B226" s="2">
        <v>45019</v>
      </c>
      <c r="C226" t="s">
        <v>11</v>
      </c>
      <c r="D226" t="s">
        <v>16</v>
      </c>
      <c r="E226" t="s">
        <v>19</v>
      </c>
      <c r="F226">
        <v>3</v>
      </c>
      <c r="G226">
        <v>55008</v>
      </c>
      <c r="H226">
        <v>165024</v>
      </c>
      <c r="I226">
        <f t="shared" si="3"/>
        <v>165024</v>
      </c>
    </row>
    <row r="227" spans="1:9" x14ac:dyDescent="0.3">
      <c r="A227">
        <v>10226</v>
      </c>
      <c r="B227" s="2">
        <v>45050</v>
      </c>
      <c r="C227" t="s">
        <v>11</v>
      </c>
      <c r="D227" t="s">
        <v>18</v>
      </c>
      <c r="E227" t="s">
        <v>21</v>
      </c>
      <c r="F227">
        <v>19</v>
      </c>
      <c r="G227">
        <v>16236</v>
      </c>
      <c r="H227">
        <v>308484</v>
      </c>
      <c r="I227">
        <f t="shared" si="3"/>
        <v>308484</v>
      </c>
    </row>
    <row r="228" spans="1:9" x14ac:dyDescent="0.3">
      <c r="A228">
        <v>10227</v>
      </c>
      <c r="B228" s="2">
        <v>44929</v>
      </c>
      <c r="C228" t="s">
        <v>14</v>
      </c>
      <c r="D228" t="s">
        <v>18</v>
      </c>
      <c r="E228" t="s">
        <v>24</v>
      </c>
      <c r="F228">
        <v>14</v>
      </c>
      <c r="G228">
        <v>59790</v>
      </c>
      <c r="H228">
        <v>837060</v>
      </c>
      <c r="I228">
        <f t="shared" si="3"/>
        <v>837060</v>
      </c>
    </row>
    <row r="229" spans="1:9" x14ac:dyDescent="0.3">
      <c r="A229">
        <v>10228</v>
      </c>
      <c r="B229" s="2">
        <v>45246</v>
      </c>
      <c r="C229" t="s">
        <v>13</v>
      </c>
      <c r="D229" t="s">
        <v>18</v>
      </c>
      <c r="E229" t="s">
        <v>21</v>
      </c>
      <c r="F229">
        <v>8</v>
      </c>
      <c r="G229">
        <v>54471</v>
      </c>
      <c r="H229">
        <v>435768</v>
      </c>
      <c r="I229">
        <f t="shared" si="3"/>
        <v>435768</v>
      </c>
    </row>
    <row r="230" spans="1:9" x14ac:dyDescent="0.3">
      <c r="A230">
        <v>10229</v>
      </c>
      <c r="B230" s="2">
        <v>45258</v>
      </c>
      <c r="C230" t="s">
        <v>10</v>
      </c>
      <c r="D230" t="s">
        <v>15</v>
      </c>
      <c r="E230" t="s">
        <v>24</v>
      </c>
      <c r="F230">
        <v>12</v>
      </c>
      <c r="G230">
        <v>6528</v>
      </c>
      <c r="H230">
        <v>78336</v>
      </c>
      <c r="I230">
        <f t="shared" si="3"/>
        <v>78336</v>
      </c>
    </row>
    <row r="231" spans="1:9" x14ac:dyDescent="0.3">
      <c r="A231">
        <v>10230</v>
      </c>
      <c r="B231" s="2">
        <v>45242</v>
      </c>
      <c r="C231" t="s">
        <v>11</v>
      </c>
      <c r="D231" t="s">
        <v>17</v>
      </c>
      <c r="E231" t="s">
        <v>19</v>
      </c>
      <c r="F231">
        <v>13</v>
      </c>
      <c r="G231">
        <v>34736</v>
      </c>
      <c r="H231">
        <v>451568</v>
      </c>
      <c r="I231">
        <f t="shared" si="3"/>
        <v>451568</v>
      </c>
    </row>
    <row r="232" spans="1:9" x14ac:dyDescent="0.3">
      <c r="A232">
        <v>10231</v>
      </c>
      <c r="B232" s="2">
        <v>44933</v>
      </c>
      <c r="C232" t="s">
        <v>8</v>
      </c>
      <c r="D232" t="s">
        <v>16</v>
      </c>
      <c r="E232" t="s">
        <v>21</v>
      </c>
      <c r="F232">
        <v>5</v>
      </c>
      <c r="G232">
        <v>27153</v>
      </c>
      <c r="H232">
        <v>135765</v>
      </c>
      <c r="I232">
        <f t="shared" si="3"/>
        <v>135765</v>
      </c>
    </row>
    <row r="233" spans="1:9" x14ac:dyDescent="0.3">
      <c r="A233">
        <v>10232</v>
      </c>
      <c r="B233" s="2">
        <v>45046</v>
      </c>
      <c r="C233" t="s">
        <v>10</v>
      </c>
      <c r="D233" t="s">
        <v>16</v>
      </c>
      <c r="E233" t="s">
        <v>23</v>
      </c>
      <c r="F233">
        <v>4</v>
      </c>
      <c r="G233">
        <v>20989</v>
      </c>
      <c r="H233">
        <v>83956</v>
      </c>
      <c r="I233">
        <f t="shared" si="3"/>
        <v>83956</v>
      </c>
    </row>
    <row r="234" spans="1:9" x14ac:dyDescent="0.3">
      <c r="A234">
        <v>10233</v>
      </c>
      <c r="B234" s="2">
        <v>44978</v>
      </c>
      <c r="C234" t="s">
        <v>11</v>
      </c>
      <c r="D234" t="s">
        <v>17</v>
      </c>
      <c r="E234" t="s">
        <v>19</v>
      </c>
      <c r="F234">
        <v>20</v>
      </c>
      <c r="G234">
        <v>30342</v>
      </c>
      <c r="H234">
        <v>606840</v>
      </c>
      <c r="I234">
        <f t="shared" si="3"/>
        <v>606840</v>
      </c>
    </row>
    <row r="235" spans="1:9" x14ac:dyDescent="0.3">
      <c r="A235">
        <v>10234</v>
      </c>
      <c r="B235" s="2">
        <v>45053</v>
      </c>
      <c r="C235" t="s">
        <v>14</v>
      </c>
      <c r="D235" t="s">
        <v>17</v>
      </c>
      <c r="E235" t="s">
        <v>23</v>
      </c>
      <c r="F235">
        <v>13</v>
      </c>
      <c r="G235">
        <v>51791</v>
      </c>
      <c r="H235">
        <v>673283</v>
      </c>
      <c r="I235">
        <f t="shared" si="3"/>
        <v>673283</v>
      </c>
    </row>
    <row r="236" spans="1:9" x14ac:dyDescent="0.3">
      <c r="A236">
        <v>10235</v>
      </c>
      <c r="B236" s="2">
        <v>45125</v>
      </c>
      <c r="C236" t="s">
        <v>10</v>
      </c>
      <c r="D236" t="s">
        <v>17</v>
      </c>
      <c r="E236" t="s">
        <v>20</v>
      </c>
      <c r="F236">
        <v>18</v>
      </c>
      <c r="G236">
        <v>41002</v>
      </c>
      <c r="H236">
        <v>738036</v>
      </c>
      <c r="I236">
        <f t="shared" si="3"/>
        <v>738036</v>
      </c>
    </row>
    <row r="237" spans="1:9" x14ac:dyDescent="0.3">
      <c r="A237">
        <v>10236</v>
      </c>
      <c r="B237" s="2">
        <v>45021</v>
      </c>
      <c r="C237" t="s">
        <v>12</v>
      </c>
      <c r="D237" t="s">
        <v>18</v>
      </c>
      <c r="E237" t="s">
        <v>19</v>
      </c>
      <c r="F237">
        <v>17</v>
      </c>
      <c r="G237">
        <v>18735</v>
      </c>
      <c r="H237">
        <v>318495</v>
      </c>
      <c r="I237">
        <f t="shared" si="3"/>
        <v>318495</v>
      </c>
    </row>
    <row r="238" spans="1:9" x14ac:dyDescent="0.3">
      <c r="A238">
        <v>10237</v>
      </c>
      <c r="B238" s="2">
        <v>44966</v>
      </c>
      <c r="C238" t="s">
        <v>11</v>
      </c>
      <c r="D238" t="s">
        <v>15</v>
      </c>
      <c r="E238" t="s">
        <v>21</v>
      </c>
      <c r="F238">
        <v>9</v>
      </c>
      <c r="G238">
        <v>39512</v>
      </c>
      <c r="H238">
        <v>355608</v>
      </c>
      <c r="I238">
        <f t="shared" si="3"/>
        <v>355608</v>
      </c>
    </row>
    <row r="239" spans="1:9" x14ac:dyDescent="0.3">
      <c r="A239">
        <v>10238</v>
      </c>
      <c r="B239" s="2">
        <v>45286</v>
      </c>
      <c r="C239" t="s">
        <v>8</v>
      </c>
      <c r="D239" t="s">
        <v>16</v>
      </c>
      <c r="E239" t="s">
        <v>20</v>
      </c>
      <c r="F239">
        <v>18</v>
      </c>
      <c r="G239">
        <v>51485</v>
      </c>
      <c r="H239">
        <v>926730</v>
      </c>
      <c r="I239">
        <f t="shared" si="3"/>
        <v>926730</v>
      </c>
    </row>
    <row r="240" spans="1:9" x14ac:dyDescent="0.3">
      <c r="A240">
        <v>10239</v>
      </c>
      <c r="B240" s="2">
        <v>45009</v>
      </c>
      <c r="C240" t="s">
        <v>12</v>
      </c>
      <c r="D240" t="s">
        <v>16</v>
      </c>
      <c r="E240" t="s">
        <v>19</v>
      </c>
      <c r="F240">
        <v>5</v>
      </c>
      <c r="G240">
        <v>28579</v>
      </c>
      <c r="H240">
        <v>142895</v>
      </c>
      <c r="I240">
        <f t="shared" si="3"/>
        <v>142895</v>
      </c>
    </row>
    <row r="241" spans="1:9" x14ac:dyDescent="0.3">
      <c r="A241">
        <v>10240</v>
      </c>
      <c r="B241" s="2">
        <v>45128</v>
      </c>
      <c r="C241" t="s">
        <v>8</v>
      </c>
      <c r="D241" t="s">
        <v>17</v>
      </c>
      <c r="E241" t="s">
        <v>23</v>
      </c>
      <c r="F241">
        <v>1</v>
      </c>
      <c r="G241">
        <v>17711</v>
      </c>
      <c r="H241">
        <v>17711</v>
      </c>
      <c r="I241">
        <f t="shared" si="3"/>
        <v>17711</v>
      </c>
    </row>
    <row r="242" spans="1:9" x14ac:dyDescent="0.3">
      <c r="A242">
        <v>10241</v>
      </c>
      <c r="B242" s="2">
        <v>45248</v>
      </c>
      <c r="C242" t="s">
        <v>10</v>
      </c>
      <c r="D242" t="s">
        <v>17</v>
      </c>
      <c r="E242" t="s">
        <v>21</v>
      </c>
      <c r="F242">
        <v>2</v>
      </c>
      <c r="G242">
        <v>53612</v>
      </c>
      <c r="H242">
        <v>107224</v>
      </c>
      <c r="I242">
        <f t="shared" si="3"/>
        <v>107224</v>
      </c>
    </row>
    <row r="243" spans="1:9" x14ac:dyDescent="0.3">
      <c r="A243">
        <v>10242</v>
      </c>
      <c r="B243" s="2">
        <v>44936</v>
      </c>
      <c r="C243" t="s">
        <v>12</v>
      </c>
      <c r="D243" t="s">
        <v>17</v>
      </c>
      <c r="E243" t="s">
        <v>23</v>
      </c>
      <c r="F243">
        <v>14</v>
      </c>
      <c r="G243">
        <v>16024</v>
      </c>
      <c r="H243">
        <v>224336</v>
      </c>
      <c r="I243">
        <f t="shared" si="3"/>
        <v>224336</v>
      </c>
    </row>
    <row r="244" spans="1:9" x14ac:dyDescent="0.3">
      <c r="A244">
        <v>10243</v>
      </c>
      <c r="B244" s="2">
        <v>45275</v>
      </c>
      <c r="C244" t="s">
        <v>12</v>
      </c>
      <c r="D244" t="s">
        <v>17</v>
      </c>
      <c r="E244" t="s">
        <v>24</v>
      </c>
      <c r="F244">
        <v>18</v>
      </c>
      <c r="G244">
        <v>18883</v>
      </c>
      <c r="H244">
        <v>339894</v>
      </c>
      <c r="I244">
        <f t="shared" si="3"/>
        <v>339894</v>
      </c>
    </row>
    <row r="245" spans="1:9" x14ac:dyDescent="0.3">
      <c r="A245">
        <v>10244</v>
      </c>
      <c r="B245" s="2">
        <v>45067</v>
      </c>
      <c r="C245" t="s">
        <v>12</v>
      </c>
      <c r="D245" t="s">
        <v>15</v>
      </c>
      <c r="E245" t="s">
        <v>19</v>
      </c>
      <c r="F245">
        <v>12</v>
      </c>
      <c r="G245">
        <v>45998</v>
      </c>
      <c r="H245">
        <v>551976</v>
      </c>
      <c r="I245">
        <f t="shared" si="3"/>
        <v>551976</v>
      </c>
    </row>
    <row r="246" spans="1:9" x14ac:dyDescent="0.3">
      <c r="A246">
        <v>10245</v>
      </c>
      <c r="B246" s="2">
        <v>45036</v>
      </c>
      <c r="C246" t="s">
        <v>12</v>
      </c>
      <c r="D246" t="s">
        <v>18</v>
      </c>
      <c r="E246" t="s">
        <v>20</v>
      </c>
      <c r="F246">
        <v>6</v>
      </c>
      <c r="G246">
        <v>18242</v>
      </c>
      <c r="H246">
        <v>109452</v>
      </c>
      <c r="I246">
        <f t="shared" si="3"/>
        <v>109452</v>
      </c>
    </row>
    <row r="247" spans="1:9" x14ac:dyDescent="0.3">
      <c r="A247">
        <v>10246</v>
      </c>
      <c r="B247" s="2">
        <v>45033</v>
      </c>
      <c r="C247" t="s">
        <v>14</v>
      </c>
      <c r="D247" t="s">
        <v>16</v>
      </c>
      <c r="E247" t="s">
        <v>21</v>
      </c>
      <c r="F247">
        <v>8</v>
      </c>
      <c r="G247">
        <v>8494</v>
      </c>
      <c r="H247">
        <v>67952</v>
      </c>
      <c r="I247">
        <f t="shared" si="3"/>
        <v>67952</v>
      </c>
    </row>
    <row r="248" spans="1:9" x14ac:dyDescent="0.3">
      <c r="A248">
        <v>10247</v>
      </c>
      <c r="B248" s="2">
        <v>45256</v>
      </c>
      <c r="C248" t="s">
        <v>8</v>
      </c>
      <c r="D248" t="s">
        <v>16</v>
      </c>
      <c r="E248" t="s">
        <v>20</v>
      </c>
      <c r="F248">
        <v>17</v>
      </c>
      <c r="G248">
        <v>5163</v>
      </c>
      <c r="H248">
        <v>87771</v>
      </c>
      <c r="I248">
        <f t="shared" si="3"/>
        <v>87771</v>
      </c>
    </row>
    <row r="249" spans="1:9" x14ac:dyDescent="0.3">
      <c r="A249">
        <v>10248</v>
      </c>
      <c r="B249" s="2">
        <v>45196</v>
      </c>
      <c r="C249" t="s">
        <v>13</v>
      </c>
      <c r="D249" t="s">
        <v>16</v>
      </c>
      <c r="E249" t="s">
        <v>20</v>
      </c>
      <c r="F249">
        <v>2</v>
      </c>
      <c r="G249">
        <v>41025</v>
      </c>
      <c r="H249">
        <v>82050</v>
      </c>
      <c r="I249">
        <f t="shared" si="3"/>
        <v>82050</v>
      </c>
    </row>
    <row r="250" spans="1:9" x14ac:dyDescent="0.3">
      <c r="A250">
        <v>10249</v>
      </c>
      <c r="B250" s="2">
        <v>45055</v>
      </c>
      <c r="C250" t="s">
        <v>8</v>
      </c>
      <c r="D250" t="s">
        <v>15</v>
      </c>
      <c r="E250" t="s">
        <v>22</v>
      </c>
      <c r="F250">
        <v>17</v>
      </c>
      <c r="G250">
        <v>37238</v>
      </c>
      <c r="H250">
        <v>633046</v>
      </c>
      <c r="I250">
        <f t="shared" si="3"/>
        <v>633046</v>
      </c>
    </row>
    <row r="251" spans="1:9" x14ac:dyDescent="0.3">
      <c r="A251">
        <v>10250</v>
      </c>
      <c r="B251" s="2">
        <v>44950</v>
      </c>
      <c r="C251" t="s">
        <v>14</v>
      </c>
      <c r="D251" t="s">
        <v>16</v>
      </c>
      <c r="E251" t="s">
        <v>19</v>
      </c>
      <c r="F251">
        <v>10</v>
      </c>
      <c r="G251">
        <v>15609</v>
      </c>
      <c r="H251">
        <v>156090</v>
      </c>
      <c r="I251">
        <f t="shared" si="3"/>
        <v>156090</v>
      </c>
    </row>
    <row r="252" spans="1:9" x14ac:dyDescent="0.3">
      <c r="A252">
        <v>10251</v>
      </c>
      <c r="B252" s="2">
        <v>45157</v>
      </c>
      <c r="C252" t="s">
        <v>14</v>
      </c>
      <c r="D252" t="s">
        <v>16</v>
      </c>
      <c r="E252" t="s">
        <v>22</v>
      </c>
      <c r="F252">
        <v>2</v>
      </c>
      <c r="G252">
        <v>3002</v>
      </c>
      <c r="H252">
        <v>6004</v>
      </c>
      <c r="I252">
        <f t="shared" si="3"/>
        <v>6004</v>
      </c>
    </row>
    <row r="253" spans="1:9" x14ac:dyDescent="0.3">
      <c r="A253">
        <v>10252</v>
      </c>
      <c r="B253" s="2">
        <v>45078</v>
      </c>
      <c r="C253" t="s">
        <v>14</v>
      </c>
      <c r="D253" t="s">
        <v>17</v>
      </c>
      <c r="E253" t="s">
        <v>23</v>
      </c>
      <c r="F253">
        <v>9</v>
      </c>
      <c r="G253">
        <v>13962</v>
      </c>
      <c r="H253">
        <v>125658</v>
      </c>
      <c r="I253">
        <f t="shared" si="3"/>
        <v>125658</v>
      </c>
    </row>
    <row r="254" spans="1:9" x14ac:dyDescent="0.3">
      <c r="A254">
        <v>10253</v>
      </c>
      <c r="B254" s="2">
        <v>44940</v>
      </c>
      <c r="C254" t="s">
        <v>12</v>
      </c>
      <c r="D254" t="s">
        <v>17</v>
      </c>
      <c r="E254" t="s">
        <v>19</v>
      </c>
      <c r="F254">
        <v>13</v>
      </c>
      <c r="G254">
        <v>34488</v>
      </c>
      <c r="H254">
        <v>448344</v>
      </c>
      <c r="I254">
        <f t="shared" si="3"/>
        <v>448344</v>
      </c>
    </row>
    <row r="255" spans="1:9" x14ac:dyDescent="0.3">
      <c r="A255">
        <v>10254</v>
      </c>
      <c r="B255" s="2">
        <v>44952</v>
      </c>
      <c r="C255" t="s">
        <v>8</v>
      </c>
      <c r="D255" t="s">
        <v>15</v>
      </c>
      <c r="E255" t="s">
        <v>23</v>
      </c>
      <c r="F255">
        <v>6</v>
      </c>
      <c r="G255">
        <v>52586</v>
      </c>
      <c r="H255">
        <v>315516</v>
      </c>
      <c r="I255">
        <f t="shared" si="3"/>
        <v>315516</v>
      </c>
    </row>
    <row r="256" spans="1:9" x14ac:dyDescent="0.3">
      <c r="A256">
        <v>10255</v>
      </c>
      <c r="B256" s="2">
        <v>45284</v>
      </c>
      <c r="C256" t="s">
        <v>14</v>
      </c>
      <c r="D256" t="s">
        <v>15</v>
      </c>
      <c r="E256" t="s">
        <v>24</v>
      </c>
      <c r="F256">
        <v>2</v>
      </c>
      <c r="G256">
        <v>13355</v>
      </c>
      <c r="H256">
        <v>26710</v>
      </c>
      <c r="I256">
        <f t="shared" si="3"/>
        <v>26710</v>
      </c>
    </row>
    <row r="257" spans="1:9" x14ac:dyDescent="0.3">
      <c r="A257">
        <v>10256</v>
      </c>
      <c r="B257" s="2">
        <v>44998</v>
      </c>
      <c r="C257" t="s">
        <v>10</v>
      </c>
      <c r="D257" t="s">
        <v>15</v>
      </c>
      <c r="E257" t="s">
        <v>23</v>
      </c>
      <c r="F257">
        <v>17</v>
      </c>
      <c r="G257">
        <v>984</v>
      </c>
      <c r="H257">
        <v>16728</v>
      </c>
      <c r="I257">
        <f t="shared" si="3"/>
        <v>16728</v>
      </c>
    </row>
    <row r="258" spans="1:9" x14ac:dyDescent="0.3">
      <c r="A258">
        <v>10257</v>
      </c>
      <c r="B258" s="2">
        <v>44938</v>
      </c>
      <c r="C258" t="s">
        <v>10</v>
      </c>
      <c r="D258" t="s">
        <v>17</v>
      </c>
      <c r="E258" t="s">
        <v>23</v>
      </c>
      <c r="F258">
        <v>20</v>
      </c>
      <c r="G258">
        <v>11143</v>
      </c>
      <c r="H258">
        <v>222860</v>
      </c>
      <c r="I258">
        <f t="shared" si="3"/>
        <v>222860</v>
      </c>
    </row>
    <row r="259" spans="1:9" x14ac:dyDescent="0.3">
      <c r="A259">
        <v>10258</v>
      </c>
      <c r="B259" s="2">
        <v>45192</v>
      </c>
      <c r="C259" t="s">
        <v>10</v>
      </c>
      <c r="D259" t="s">
        <v>17</v>
      </c>
      <c r="E259" t="s">
        <v>21</v>
      </c>
      <c r="F259">
        <v>15</v>
      </c>
      <c r="G259">
        <v>53428</v>
      </c>
      <c r="H259">
        <v>801420</v>
      </c>
      <c r="I259">
        <f t="shared" ref="I259:I322" si="4">G259*F259</f>
        <v>801420</v>
      </c>
    </row>
    <row r="260" spans="1:9" x14ac:dyDescent="0.3">
      <c r="A260">
        <v>10259</v>
      </c>
      <c r="B260" s="2">
        <v>45042</v>
      </c>
      <c r="C260" t="s">
        <v>12</v>
      </c>
      <c r="D260" t="s">
        <v>18</v>
      </c>
      <c r="E260" t="s">
        <v>21</v>
      </c>
      <c r="F260">
        <v>16</v>
      </c>
      <c r="G260">
        <v>11260</v>
      </c>
      <c r="H260">
        <v>180160</v>
      </c>
      <c r="I260">
        <f t="shared" si="4"/>
        <v>180160</v>
      </c>
    </row>
    <row r="261" spans="1:9" x14ac:dyDescent="0.3">
      <c r="A261">
        <v>10260</v>
      </c>
      <c r="B261" s="2">
        <v>44996</v>
      </c>
      <c r="C261" t="s">
        <v>8</v>
      </c>
      <c r="D261" t="s">
        <v>17</v>
      </c>
      <c r="E261" t="s">
        <v>20</v>
      </c>
      <c r="F261">
        <v>7</v>
      </c>
      <c r="G261">
        <v>17276</v>
      </c>
      <c r="H261">
        <v>120932</v>
      </c>
      <c r="I261">
        <f t="shared" si="4"/>
        <v>120932</v>
      </c>
    </row>
    <row r="262" spans="1:9" x14ac:dyDescent="0.3">
      <c r="A262">
        <v>10261</v>
      </c>
      <c r="B262" s="2">
        <v>45141</v>
      </c>
      <c r="C262" t="s">
        <v>9</v>
      </c>
      <c r="D262" t="s">
        <v>15</v>
      </c>
      <c r="E262" t="s">
        <v>20</v>
      </c>
      <c r="F262">
        <v>2</v>
      </c>
      <c r="G262">
        <v>10797</v>
      </c>
      <c r="H262">
        <v>21594</v>
      </c>
      <c r="I262">
        <f t="shared" si="4"/>
        <v>21594</v>
      </c>
    </row>
    <row r="263" spans="1:9" x14ac:dyDescent="0.3">
      <c r="A263">
        <v>10262</v>
      </c>
      <c r="B263" s="2">
        <v>44992</v>
      </c>
      <c r="C263" t="s">
        <v>11</v>
      </c>
      <c r="D263" t="s">
        <v>15</v>
      </c>
      <c r="E263" t="s">
        <v>23</v>
      </c>
      <c r="F263">
        <v>16</v>
      </c>
      <c r="G263">
        <v>47302</v>
      </c>
      <c r="H263">
        <v>756832</v>
      </c>
      <c r="I263">
        <f t="shared" si="4"/>
        <v>756832</v>
      </c>
    </row>
    <row r="264" spans="1:9" x14ac:dyDescent="0.3">
      <c r="A264">
        <v>10263</v>
      </c>
      <c r="B264" s="2">
        <v>45278</v>
      </c>
      <c r="C264" t="s">
        <v>13</v>
      </c>
      <c r="D264" t="s">
        <v>16</v>
      </c>
      <c r="E264" t="s">
        <v>21</v>
      </c>
      <c r="F264">
        <v>7</v>
      </c>
      <c r="G264">
        <v>11929</v>
      </c>
      <c r="H264">
        <v>83503</v>
      </c>
      <c r="I264">
        <f t="shared" si="4"/>
        <v>83503</v>
      </c>
    </row>
    <row r="265" spans="1:9" x14ac:dyDescent="0.3">
      <c r="A265">
        <v>10264</v>
      </c>
      <c r="B265" s="2">
        <v>44991</v>
      </c>
      <c r="C265" t="s">
        <v>11</v>
      </c>
      <c r="D265" t="s">
        <v>18</v>
      </c>
      <c r="E265" t="s">
        <v>23</v>
      </c>
      <c r="F265">
        <v>13</v>
      </c>
      <c r="G265">
        <v>46217</v>
      </c>
      <c r="H265">
        <v>600821</v>
      </c>
      <c r="I265">
        <f t="shared" si="4"/>
        <v>600821</v>
      </c>
    </row>
    <row r="266" spans="1:9" x14ac:dyDescent="0.3">
      <c r="A266">
        <v>10265</v>
      </c>
      <c r="B266" s="2">
        <v>45072</v>
      </c>
      <c r="C266" t="s">
        <v>11</v>
      </c>
      <c r="D266" t="s">
        <v>15</v>
      </c>
      <c r="E266" t="s">
        <v>20</v>
      </c>
      <c r="F266">
        <v>18</v>
      </c>
      <c r="G266">
        <v>18140</v>
      </c>
      <c r="H266">
        <v>326520</v>
      </c>
      <c r="I266">
        <f t="shared" si="4"/>
        <v>326520</v>
      </c>
    </row>
    <row r="267" spans="1:9" x14ac:dyDescent="0.3">
      <c r="A267">
        <v>10266</v>
      </c>
      <c r="B267" s="2">
        <v>45276</v>
      </c>
      <c r="C267" t="s">
        <v>9</v>
      </c>
      <c r="D267" t="s">
        <v>17</v>
      </c>
      <c r="E267" t="s">
        <v>24</v>
      </c>
      <c r="F267">
        <v>4</v>
      </c>
      <c r="G267">
        <v>2361</v>
      </c>
      <c r="H267">
        <v>9444</v>
      </c>
      <c r="I267">
        <f t="shared" si="4"/>
        <v>9444</v>
      </c>
    </row>
    <row r="268" spans="1:9" x14ac:dyDescent="0.3">
      <c r="A268">
        <v>10267</v>
      </c>
      <c r="B268" s="2">
        <v>45057</v>
      </c>
      <c r="C268" t="s">
        <v>14</v>
      </c>
      <c r="D268" t="s">
        <v>17</v>
      </c>
      <c r="E268" t="s">
        <v>20</v>
      </c>
      <c r="F268">
        <v>13</v>
      </c>
      <c r="G268">
        <v>4955</v>
      </c>
      <c r="H268">
        <v>64415</v>
      </c>
      <c r="I268">
        <f t="shared" si="4"/>
        <v>64415</v>
      </c>
    </row>
    <row r="269" spans="1:9" x14ac:dyDescent="0.3">
      <c r="A269">
        <v>10268</v>
      </c>
      <c r="B269" s="2">
        <v>45043</v>
      </c>
      <c r="C269" t="s">
        <v>13</v>
      </c>
      <c r="D269" t="s">
        <v>17</v>
      </c>
      <c r="E269" t="s">
        <v>21</v>
      </c>
      <c r="F269">
        <v>16</v>
      </c>
      <c r="G269">
        <v>3414</v>
      </c>
      <c r="H269">
        <v>54624</v>
      </c>
      <c r="I269">
        <f t="shared" si="4"/>
        <v>54624</v>
      </c>
    </row>
    <row r="270" spans="1:9" x14ac:dyDescent="0.3">
      <c r="A270">
        <v>10269</v>
      </c>
      <c r="B270" s="2">
        <v>44992</v>
      </c>
      <c r="C270" t="s">
        <v>9</v>
      </c>
      <c r="D270" t="s">
        <v>18</v>
      </c>
      <c r="E270" t="s">
        <v>23</v>
      </c>
      <c r="F270">
        <v>9</v>
      </c>
      <c r="G270">
        <v>30302</v>
      </c>
      <c r="H270">
        <v>272718</v>
      </c>
      <c r="I270">
        <f t="shared" si="4"/>
        <v>272718</v>
      </c>
    </row>
    <row r="271" spans="1:9" x14ac:dyDescent="0.3">
      <c r="A271">
        <v>10270</v>
      </c>
      <c r="B271" s="2">
        <v>44998</v>
      </c>
      <c r="C271" t="s">
        <v>8</v>
      </c>
      <c r="D271" t="s">
        <v>18</v>
      </c>
      <c r="E271" t="s">
        <v>19</v>
      </c>
      <c r="F271">
        <v>1</v>
      </c>
      <c r="G271">
        <v>9985</v>
      </c>
      <c r="H271">
        <v>9985</v>
      </c>
      <c r="I271">
        <f t="shared" si="4"/>
        <v>9985</v>
      </c>
    </row>
    <row r="272" spans="1:9" x14ac:dyDescent="0.3">
      <c r="A272">
        <v>10271</v>
      </c>
      <c r="B272" s="2">
        <v>45206</v>
      </c>
      <c r="C272" t="s">
        <v>14</v>
      </c>
      <c r="D272" t="s">
        <v>18</v>
      </c>
      <c r="E272" t="s">
        <v>20</v>
      </c>
      <c r="F272">
        <v>9</v>
      </c>
      <c r="G272">
        <v>38345</v>
      </c>
      <c r="H272">
        <v>345105</v>
      </c>
      <c r="I272">
        <f t="shared" si="4"/>
        <v>345105</v>
      </c>
    </row>
    <row r="273" spans="1:9" x14ac:dyDescent="0.3">
      <c r="A273">
        <v>10272</v>
      </c>
      <c r="B273" s="2">
        <v>45109</v>
      </c>
      <c r="C273" t="s">
        <v>13</v>
      </c>
      <c r="D273" t="s">
        <v>18</v>
      </c>
      <c r="E273" t="s">
        <v>24</v>
      </c>
      <c r="F273">
        <v>11</v>
      </c>
      <c r="G273">
        <v>44136</v>
      </c>
      <c r="H273">
        <v>485496</v>
      </c>
      <c r="I273">
        <f t="shared" si="4"/>
        <v>485496</v>
      </c>
    </row>
    <row r="274" spans="1:9" x14ac:dyDescent="0.3">
      <c r="A274">
        <v>10273</v>
      </c>
      <c r="B274" s="2">
        <v>45195</v>
      </c>
      <c r="C274" t="s">
        <v>14</v>
      </c>
      <c r="D274" t="s">
        <v>15</v>
      </c>
      <c r="E274" t="s">
        <v>19</v>
      </c>
      <c r="F274">
        <v>20</v>
      </c>
      <c r="G274">
        <v>53436</v>
      </c>
      <c r="H274">
        <v>1068720</v>
      </c>
      <c r="I274">
        <f t="shared" si="4"/>
        <v>1068720</v>
      </c>
    </row>
    <row r="275" spans="1:9" x14ac:dyDescent="0.3">
      <c r="A275">
        <v>10274</v>
      </c>
      <c r="B275" s="2">
        <v>45175</v>
      </c>
      <c r="C275" t="s">
        <v>12</v>
      </c>
      <c r="D275" t="s">
        <v>17</v>
      </c>
      <c r="E275" t="s">
        <v>19</v>
      </c>
      <c r="F275">
        <v>14</v>
      </c>
      <c r="G275">
        <v>53953</v>
      </c>
      <c r="H275">
        <v>755342</v>
      </c>
      <c r="I275">
        <f t="shared" si="4"/>
        <v>755342</v>
      </c>
    </row>
    <row r="276" spans="1:9" x14ac:dyDescent="0.3">
      <c r="A276">
        <v>10275</v>
      </c>
      <c r="B276" s="2">
        <v>45112</v>
      </c>
      <c r="C276" t="s">
        <v>10</v>
      </c>
      <c r="D276" t="s">
        <v>15</v>
      </c>
      <c r="E276" t="s">
        <v>23</v>
      </c>
      <c r="F276">
        <v>16</v>
      </c>
      <c r="G276">
        <v>4681</v>
      </c>
      <c r="H276">
        <v>74896</v>
      </c>
      <c r="I276">
        <f t="shared" si="4"/>
        <v>74896</v>
      </c>
    </row>
    <row r="277" spans="1:9" x14ac:dyDescent="0.3">
      <c r="A277">
        <v>10276</v>
      </c>
      <c r="B277" s="2">
        <v>45027</v>
      </c>
      <c r="C277" t="s">
        <v>11</v>
      </c>
      <c r="D277" t="s">
        <v>18</v>
      </c>
      <c r="E277" t="s">
        <v>20</v>
      </c>
      <c r="F277">
        <v>2</v>
      </c>
      <c r="G277">
        <v>38571</v>
      </c>
      <c r="H277">
        <v>77142</v>
      </c>
      <c r="I277">
        <f t="shared" si="4"/>
        <v>77142</v>
      </c>
    </row>
    <row r="278" spans="1:9" x14ac:dyDescent="0.3">
      <c r="A278">
        <v>10277</v>
      </c>
      <c r="B278" s="2">
        <v>44941</v>
      </c>
      <c r="C278" t="s">
        <v>14</v>
      </c>
      <c r="D278" t="s">
        <v>17</v>
      </c>
      <c r="E278" t="s">
        <v>23</v>
      </c>
      <c r="F278">
        <v>15</v>
      </c>
      <c r="G278">
        <v>18551</v>
      </c>
      <c r="H278">
        <v>278265</v>
      </c>
      <c r="I278">
        <f t="shared" si="4"/>
        <v>278265</v>
      </c>
    </row>
    <row r="279" spans="1:9" x14ac:dyDescent="0.3">
      <c r="A279">
        <v>10278</v>
      </c>
      <c r="B279" s="2">
        <v>44985</v>
      </c>
      <c r="C279" t="s">
        <v>9</v>
      </c>
      <c r="D279" t="s">
        <v>17</v>
      </c>
      <c r="E279" t="s">
        <v>20</v>
      </c>
      <c r="F279">
        <v>15</v>
      </c>
      <c r="G279">
        <v>28753</v>
      </c>
      <c r="H279">
        <v>431295</v>
      </c>
      <c r="I279">
        <f t="shared" si="4"/>
        <v>431295</v>
      </c>
    </row>
    <row r="280" spans="1:9" x14ac:dyDescent="0.3">
      <c r="A280">
        <v>10279</v>
      </c>
      <c r="B280" s="2">
        <v>45046</v>
      </c>
      <c r="C280" t="s">
        <v>12</v>
      </c>
      <c r="D280" t="s">
        <v>15</v>
      </c>
      <c r="E280" t="s">
        <v>22</v>
      </c>
      <c r="F280">
        <v>18</v>
      </c>
      <c r="G280">
        <v>28797</v>
      </c>
      <c r="H280">
        <v>518346</v>
      </c>
      <c r="I280">
        <f t="shared" si="4"/>
        <v>518346</v>
      </c>
    </row>
    <row r="281" spans="1:9" x14ac:dyDescent="0.3">
      <c r="A281">
        <v>10280</v>
      </c>
      <c r="B281" s="2">
        <v>45229</v>
      </c>
      <c r="C281" t="s">
        <v>12</v>
      </c>
      <c r="D281" t="s">
        <v>18</v>
      </c>
      <c r="E281" t="s">
        <v>24</v>
      </c>
      <c r="F281">
        <v>13</v>
      </c>
      <c r="G281">
        <v>762</v>
      </c>
      <c r="H281">
        <v>9906</v>
      </c>
      <c r="I281">
        <f t="shared" si="4"/>
        <v>9906</v>
      </c>
    </row>
    <row r="282" spans="1:9" x14ac:dyDescent="0.3">
      <c r="A282">
        <v>10281</v>
      </c>
      <c r="B282" s="2">
        <v>45250</v>
      </c>
      <c r="C282" t="s">
        <v>13</v>
      </c>
      <c r="D282" t="s">
        <v>18</v>
      </c>
      <c r="E282" t="s">
        <v>20</v>
      </c>
      <c r="F282">
        <v>13</v>
      </c>
      <c r="G282">
        <v>16775</v>
      </c>
      <c r="H282">
        <v>218075</v>
      </c>
      <c r="I282">
        <f t="shared" si="4"/>
        <v>218075</v>
      </c>
    </row>
    <row r="283" spans="1:9" x14ac:dyDescent="0.3">
      <c r="A283">
        <v>10282</v>
      </c>
      <c r="B283" s="2">
        <v>45213</v>
      </c>
      <c r="C283" t="s">
        <v>9</v>
      </c>
      <c r="D283" t="s">
        <v>16</v>
      </c>
      <c r="E283" t="s">
        <v>24</v>
      </c>
      <c r="F283">
        <v>10</v>
      </c>
      <c r="G283">
        <v>5770</v>
      </c>
      <c r="H283">
        <v>57700</v>
      </c>
      <c r="I283">
        <f t="shared" si="4"/>
        <v>57700</v>
      </c>
    </row>
    <row r="284" spans="1:9" x14ac:dyDescent="0.3">
      <c r="A284">
        <v>10283</v>
      </c>
      <c r="B284" s="2">
        <v>45042</v>
      </c>
      <c r="C284" t="s">
        <v>13</v>
      </c>
      <c r="D284" t="s">
        <v>16</v>
      </c>
      <c r="E284" t="s">
        <v>24</v>
      </c>
      <c r="F284">
        <v>13</v>
      </c>
      <c r="G284">
        <v>58186</v>
      </c>
      <c r="H284">
        <v>756418</v>
      </c>
      <c r="I284">
        <f t="shared" si="4"/>
        <v>756418</v>
      </c>
    </row>
    <row r="285" spans="1:9" x14ac:dyDescent="0.3">
      <c r="A285">
        <v>10284</v>
      </c>
      <c r="B285" s="2">
        <v>45279</v>
      </c>
      <c r="C285" t="s">
        <v>14</v>
      </c>
      <c r="D285" t="s">
        <v>18</v>
      </c>
      <c r="E285" t="s">
        <v>20</v>
      </c>
      <c r="F285">
        <v>16</v>
      </c>
      <c r="G285">
        <v>46659</v>
      </c>
      <c r="H285">
        <v>746544</v>
      </c>
      <c r="I285">
        <f t="shared" si="4"/>
        <v>746544</v>
      </c>
    </row>
    <row r="286" spans="1:9" x14ac:dyDescent="0.3">
      <c r="A286">
        <v>10285</v>
      </c>
      <c r="B286" s="2">
        <v>45098</v>
      </c>
      <c r="C286" t="s">
        <v>14</v>
      </c>
      <c r="D286" t="s">
        <v>16</v>
      </c>
      <c r="E286" t="s">
        <v>24</v>
      </c>
      <c r="F286">
        <v>12</v>
      </c>
      <c r="G286">
        <v>31431</v>
      </c>
      <c r="H286">
        <v>377172</v>
      </c>
      <c r="I286">
        <f t="shared" si="4"/>
        <v>377172</v>
      </c>
    </row>
    <row r="287" spans="1:9" x14ac:dyDescent="0.3">
      <c r="A287">
        <v>10286</v>
      </c>
      <c r="B287" s="2">
        <v>45206</v>
      </c>
      <c r="C287" t="s">
        <v>11</v>
      </c>
      <c r="D287" t="s">
        <v>15</v>
      </c>
      <c r="E287" t="s">
        <v>19</v>
      </c>
      <c r="F287">
        <v>8</v>
      </c>
      <c r="G287">
        <v>29355</v>
      </c>
      <c r="H287">
        <v>234840</v>
      </c>
      <c r="I287">
        <f t="shared" si="4"/>
        <v>234840</v>
      </c>
    </row>
    <row r="288" spans="1:9" x14ac:dyDescent="0.3">
      <c r="A288">
        <v>10287</v>
      </c>
      <c r="B288" s="2">
        <v>45181</v>
      </c>
      <c r="C288" t="s">
        <v>11</v>
      </c>
      <c r="D288" t="s">
        <v>15</v>
      </c>
      <c r="E288" t="s">
        <v>24</v>
      </c>
      <c r="F288">
        <v>20</v>
      </c>
      <c r="G288">
        <v>29068</v>
      </c>
      <c r="H288">
        <v>581360</v>
      </c>
      <c r="I288">
        <f t="shared" si="4"/>
        <v>581360</v>
      </c>
    </row>
    <row r="289" spans="1:9" x14ac:dyDescent="0.3">
      <c r="A289">
        <v>10288</v>
      </c>
      <c r="B289" s="2">
        <v>45179</v>
      </c>
      <c r="C289" t="s">
        <v>13</v>
      </c>
      <c r="D289" t="s">
        <v>18</v>
      </c>
      <c r="E289" t="s">
        <v>19</v>
      </c>
      <c r="F289">
        <v>11</v>
      </c>
      <c r="G289">
        <v>5667</v>
      </c>
      <c r="H289">
        <v>62337</v>
      </c>
      <c r="I289">
        <f t="shared" si="4"/>
        <v>62337</v>
      </c>
    </row>
    <row r="290" spans="1:9" x14ac:dyDescent="0.3">
      <c r="A290">
        <v>10289</v>
      </c>
      <c r="B290" s="2">
        <v>45292</v>
      </c>
      <c r="C290" t="s">
        <v>8</v>
      </c>
      <c r="D290" t="s">
        <v>15</v>
      </c>
      <c r="E290" t="s">
        <v>23</v>
      </c>
      <c r="F290">
        <v>11</v>
      </c>
      <c r="G290">
        <v>31428</v>
      </c>
      <c r="H290">
        <v>345708</v>
      </c>
      <c r="I290">
        <f t="shared" si="4"/>
        <v>345708</v>
      </c>
    </row>
    <row r="291" spans="1:9" x14ac:dyDescent="0.3">
      <c r="A291">
        <v>10290</v>
      </c>
      <c r="B291" s="2">
        <v>45115</v>
      </c>
      <c r="C291" t="s">
        <v>8</v>
      </c>
      <c r="D291" t="s">
        <v>17</v>
      </c>
      <c r="E291" t="s">
        <v>23</v>
      </c>
      <c r="F291">
        <v>20</v>
      </c>
      <c r="G291">
        <v>48724</v>
      </c>
      <c r="H291">
        <v>974480</v>
      </c>
      <c r="I291">
        <f t="shared" si="4"/>
        <v>974480</v>
      </c>
    </row>
    <row r="292" spans="1:9" x14ac:dyDescent="0.3">
      <c r="A292">
        <v>10291</v>
      </c>
      <c r="B292" s="2">
        <v>45156</v>
      </c>
      <c r="C292" t="s">
        <v>10</v>
      </c>
      <c r="D292" t="s">
        <v>18</v>
      </c>
      <c r="E292" t="s">
        <v>19</v>
      </c>
      <c r="F292">
        <v>9</v>
      </c>
      <c r="G292">
        <v>12415</v>
      </c>
      <c r="H292">
        <v>111735</v>
      </c>
      <c r="I292">
        <f t="shared" si="4"/>
        <v>111735</v>
      </c>
    </row>
    <row r="293" spans="1:9" x14ac:dyDescent="0.3">
      <c r="A293">
        <v>10292</v>
      </c>
      <c r="B293" s="2">
        <v>45247</v>
      </c>
      <c r="C293" t="s">
        <v>12</v>
      </c>
      <c r="D293" t="s">
        <v>16</v>
      </c>
      <c r="E293" t="s">
        <v>19</v>
      </c>
      <c r="F293">
        <v>6</v>
      </c>
      <c r="G293">
        <v>6333</v>
      </c>
      <c r="H293">
        <v>37998</v>
      </c>
      <c r="I293">
        <f t="shared" si="4"/>
        <v>37998</v>
      </c>
    </row>
    <row r="294" spans="1:9" x14ac:dyDescent="0.3">
      <c r="A294">
        <v>10293</v>
      </c>
      <c r="B294" s="2">
        <v>44928</v>
      </c>
      <c r="C294" t="s">
        <v>13</v>
      </c>
      <c r="D294" t="s">
        <v>15</v>
      </c>
      <c r="E294" t="s">
        <v>20</v>
      </c>
      <c r="F294">
        <v>11</v>
      </c>
      <c r="G294">
        <v>50762</v>
      </c>
      <c r="H294">
        <v>558382</v>
      </c>
      <c r="I294">
        <f t="shared" si="4"/>
        <v>558382</v>
      </c>
    </row>
    <row r="295" spans="1:9" x14ac:dyDescent="0.3">
      <c r="A295">
        <v>10294</v>
      </c>
      <c r="B295" s="2">
        <v>45249</v>
      </c>
      <c r="C295" t="s">
        <v>8</v>
      </c>
      <c r="D295" t="s">
        <v>15</v>
      </c>
      <c r="E295" t="s">
        <v>22</v>
      </c>
      <c r="F295">
        <v>1</v>
      </c>
      <c r="G295">
        <v>36890</v>
      </c>
      <c r="H295">
        <v>36890</v>
      </c>
      <c r="I295">
        <f t="shared" si="4"/>
        <v>36890</v>
      </c>
    </row>
    <row r="296" spans="1:9" x14ac:dyDescent="0.3">
      <c r="A296">
        <v>10295</v>
      </c>
      <c r="B296" s="2">
        <v>45053</v>
      </c>
      <c r="C296" t="s">
        <v>13</v>
      </c>
      <c r="D296" t="s">
        <v>17</v>
      </c>
      <c r="E296" t="s">
        <v>23</v>
      </c>
      <c r="F296">
        <v>8</v>
      </c>
      <c r="G296">
        <v>59766</v>
      </c>
      <c r="H296">
        <v>478128</v>
      </c>
      <c r="I296">
        <f t="shared" si="4"/>
        <v>478128</v>
      </c>
    </row>
    <row r="297" spans="1:9" x14ac:dyDescent="0.3">
      <c r="A297">
        <v>10296</v>
      </c>
      <c r="B297" s="2">
        <v>45142</v>
      </c>
      <c r="C297" t="s">
        <v>10</v>
      </c>
      <c r="D297" t="s">
        <v>17</v>
      </c>
      <c r="E297" t="s">
        <v>19</v>
      </c>
      <c r="F297">
        <v>6</v>
      </c>
      <c r="G297">
        <v>40710</v>
      </c>
      <c r="H297">
        <v>244260</v>
      </c>
      <c r="I297">
        <f t="shared" si="4"/>
        <v>244260</v>
      </c>
    </row>
    <row r="298" spans="1:9" x14ac:dyDescent="0.3">
      <c r="A298">
        <v>10297</v>
      </c>
      <c r="B298" s="2">
        <v>45092</v>
      </c>
      <c r="C298" t="s">
        <v>11</v>
      </c>
      <c r="D298" t="s">
        <v>15</v>
      </c>
      <c r="E298" t="s">
        <v>21</v>
      </c>
      <c r="F298">
        <v>11</v>
      </c>
      <c r="G298">
        <v>51617</v>
      </c>
      <c r="H298">
        <v>567787</v>
      </c>
      <c r="I298">
        <f t="shared" si="4"/>
        <v>567787</v>
      </c>
    </row>
    <row r="299" spans="1:9" x14ac:dyDescent="0.3">
      <c r="A299">
        <v>10298</v>
      </c>
      <c r="B299" s="2">
        <v>44963</v>
      </c>
      <c r="C299" t="s">
        <v>12</v>
      </c>
      <c r="D299" t="s">
        <v>17</v>
      </c>
      <c r="E299" t="s">
        <v>19</v>
      </c>
      <c r="F299">
        <v>1</v>
      </c>
      <c r="G299">
        <v>32396</v>
      </c>
      <c r="H299">
        <v>32396</v>
      </c>
      <c r="I299">
        <f t="shared" si="4"/>
        <v>32396</v>
      </c>
    </row>
    <row r="300" spans="1:9" x14ac:dyDescent="0.3">
      <c r="A300">
        <v>10299</v>
      </c>
      <c r="B300" s="2">
        <v>44997</v>
      </c>
      <c r="C300" t="s">
        <v>14</v>
      </c>
      <c r="D300" t="s">
        <v>15</v>
      </c>
      <c r="E300" t="s">
        <v>19</v>
      </c>
      <c r="F300">
        <v>5</v>
      </c>
      <c r="G300">
        <v>45922</v>
      </c>
      <c r="H300">
        <v>229610</v>
      </c>
      <c r="I300">
        <f t="shared" si="4"/>
        <v>229610</v>
      </c>
    </row>
    <row r="301" spans="1:9" x14ac:dyDescent="0.3">
      <c r="A301">
        <v>10300</v>
      </c>
      <c r="B301" s="2">
        <v>44956</v>
      </c>
      <c r="C301" t="s">
        <v>14</v>
      </c>
      <c r="D301" t="s">
        <v>17</v>
      </c>
      <c r="E301" t="s">
        <v>23</v>
      </c>
      <c r="F301">
        <v>20</v>
      </c>
      <c r="G301">
        <v>39471</v>
      </c>
      <c r="H301">
        <v>789420</v>
      </c>
      <c r="I301">
        <f t="shared" si="4"/>
        <v>789420</v>
      </c>
    </row>
    <row r="302" spans="1:9" x14ac:dyDescent="0.3">
      <c r="A302">
        <v>10301</v>
      </c>
      <c r="B302" s="2">
        <v>44958</v>
      </c>
      <c r="C302" t="s">
        <v>11</v>
      </c>
      <c r="D302" t="s">
        <v>17</v>
      </c>
      <c r="E302" t="s">
        <v>21</v>
      </c>
      <c r="F302">
        <v>6</v>
      </c>
      <c r="G302">
        <v>31022</v>
      </c>
      <c r="H302">
        <v>186132</v>
      </c>
      <c r="I302">
        <f t="shared" si="4"/>
        <v>186132</v>
      </c>
    </row>
    <row r="303" spans="1:9" x14ac:dyDescent="0.3">
      <c r="A303">
        <v>10302</v>
      </c>
      <c r="B303" s="2">
        <v>45142</v>
      </c>
      <c r="C303" t="s">
        <v>13</v>
      </c>
      <c r="D303" t="s">
        <v>18</v>
      </c>
      <c r="E303" t="s">
        <v>23</v>
      </c>
      <c r="F303">
        <v>11</v>
      </c>
      <c r="G303">
        <v>30303</v>
      </c>
      <c r="H303">
        <v>333333</v>
      </c>
      <c r="I303">
        <f t="shared" si="4"/>
        <v>333333</v>
      </c>
    </row>
    <row r="304" spans="1:9" x14ac:dyDescent="0.3">
      <c r="A304">
        <v>10303</v>
      </c>
      <c r="B304" s="2">
        <v>45167</v>
      </c>
      <c r="C304" t="s">
        <v>8</v>
      </c>
      <c r="D304" t="s">
        <v>16</v>
      </c>
      <c r="E304" t="s">
        <v>23</v>
      </c>
      <c r="F304">
        <v>5</v>
      </c>
      <c r="G304">
        <v>9754</v>
      </c>
      <c r="H304">
        <v>48770</v>
      </c>
      <c r="I304">
        <f t="shared" si="4"/>
        <v>48770</v>
      </c>
    </row>
    <row r="305" spans="1:9" x14ac:dyDescent="0.3">
      <c r="A305">
        <v>10304</v>
      </c>
      <c r="B305" s="2">
        <v>45151</v>
      </c>
      <c r="C305" t="s">
        <v>9</v>
      </c>
      <c r="D305" t="s">
        <v>15</v>
      </c>
      <c r="E305" t="s">
        <v>20</v>
      </c>
      <c r="F305">
        <v>6</v>
      </c>
      <c r="G305">
        <v>40081</v>
      </c>
      <c r="H305">
        <v>240486</v>
      </c>
      <c r="I305">
        <f t="shared" si="4"/>
        <v>240486</v>
      </c>
    </row>
    <row r="306" spans="1:9" x14ac:dyDescent="0.3">
      <c r="A306">
        <v>10305</v>
      </c>
      <c r="B306" s="2">
        <v>45084</v>
      </c>
      <c r="C306" t="s">
        <v>8</v>
      </c>
      <c r="D306" t="s">
        <v>15</v>
      </c>
      <c r="E306" t="s">
        <v>19</v>
      </c>
      <c r="F306">
        <v>4</v>
      </c>
      <c r="G306">
        <v>4060</v>
      </c>
      <c r="H306">
        <v>16240</v>
      </c>
      <c r="I306">
        <f t="shared" si="4"/>
        <v>16240</v>
      </c>
    </row>
    <row r="307" spans="1:9" x14ac:dyDescent="0.3">
      <c r="A307">
        <v>10306</v>
      </c>
      <c r="B307" s="2">
        <v>45139</v>
      </c>
      <c r="C307" t="s">
        <v>12</v>
      </c>
      <c r="D307" t="s">
        <v>16</v>
      </c>
      <c r="E307" t="s">
        <v>19</v>
      </c>
      <c r="F307">
        <v>13</v>
      </c>
      <c r="G307">
        <v>1805</v>
      </c>
      <c r="H307">
        <v>23465</v>
      </c>
      <c r="I307">
        <f t="shared" si="4"/>
        <v>23465</v>
      </c>
    </row>
    <row r="308" spans="1:9" x14ac:dyDescent="0.3">
      <c r="A308">
        <v>10307</v>
      </c>
      <c r="B308" s="2">
        <v>45272</v>
      </c>
      <c r="C308" t="s">
        <v>13</v>
      </c>
      <c r="D308" t="s">
        <v>18</v>
      </c>
      <c r="E308" t="s">
        <v>22</v>
      </c>
      <c r="F308">
        <v>20</v>
      </c>
      <c r="G308">
        <v>14445</v>
      </c>
      <c r="H308">
        <v>288900</v>
      </c>
      <c r="I308">
        <f t="shared" si="4"/>
        <v>288900</v>
      </c>
    </row>
    <row r="309" spans="1:9" x14ac:dyDescent="0.3">
      <c r="A309">
        <v>10308</v>
      </c>
      <c r="B309" s="2">
        <v>45201</v>
      </c>
      <c r="C309" t="s">
        <v>12</v>
      </c>
      <c r="D309" t="s">
        <v>15</v>
      </c>
      <c r="E309" t="s">
        <v>21</v>
      </c>
      <c r="F309">
        <v>5</v>
      </c>
      <c r="G309">
        <v>51616</v>
      </c>
      <c r="H309">
        <v>258080</v>
      </c>
      <c r="I309">
        <f t="shared" si="4"/>
        <v>258080</v>
      </c>
    </row>
    <row r="310" spans="1:9" x14ac:dyDescent="0.3">
      <c r="A310">
        <v>10309</v>
      </c>
      <c r="B310" s="2">
        <v>45035</v>
      </c>
      <c r="C310" t="s">
        <v>8</v>
      </c>
      <c r="D310" t="s">
        <v>16</v>
      </c>
      <c r="E310" t="s">
        <v>20</v>
      </c>
      <c r="F310">
        <v>8</v>
      </c>
      <c r="G310">
        <v>52638</v>
      </c>
      <c r="H310">
        <v>421104</v>
      </c>
      <c r="I310">
        <f t="shared" si="4"/>
        <v>421104</v>
      </c>
    </row>
    <row r="311" spans="1:9" x14ac:dyDescent="0.3">
      <c r="A311">
        <v>10310</v>
      </c>
      <c r="B311" s="2">
        <v>45180</v>
      </c>
      <c r="C311" t="s">
        <v>9</v>
      </c>
      <c r="D311" t="s">
        <v>16</v>
      </c>
      <c r="E311" t="s">
        <v>23</v>
      </c>
      <c r="F311">
        <v>5</v>
      </c>
      <c r="G311">
        <v>53898</v>
      </c>
      <c r="H311">
        <v>269490</v>
      </c>
      <c r="I311">
        <f t="shared" si="4"/>
        <v>269490</v>
      </c>
    </row>
    <row r="312" spans="1:9" x14ac:dyDescent="0.3">
      <c r="A312">
        <v>10311</v>
      </c>
      <c r="B312" s="2">
        <v>45233</v>
      </c>
      <c r="C312" t="s">
        <v>11</v>
      </c>
      <c r="D312" t="s">
        <v>17</v>
      </c>
      <c r="E312" t="s">
        <v>20</v>
      </c>
      <c r="F312">
        <v>18</v>
      </c>
      <c r="G312">
        <v>52618</v>
      </c>
      <c r="H312">
        <v>947124</v>
      </c>
      <c r="I312">
        <f t="shared" si="4"/>
        <v>947124</v>
      </c>
    </row>
    <row r="313" spans="1:9" x14ac:dyDescent="0.3">
      <c r="A313">
        <v>10312</v>
      </c>
      <c r="B313" s="2">
        <v>44995</v>
      </c>
      <c r="C313" t="s">
        <v>8</v>
      </c>
      <c r="D313" t="s">
        <v>18</v>
      </c>
      <c r="E313" t="s">
        <v>24</v>
      </c>
      <c r="F313">
        <v>14</v>
      </c>
      <c r="G313">
        <v>3407</v>
      </c>
      <c r="H313">
        <v>47698</v>
      </c>
      <c r="I313">
        <f t="shared" si="4"/>
        <v>47698</v>
      </c>
    </row>
    <row r="314" spans="1:9" x14ac:dyDescent="0.3">
      <c r="A314">
        <v>10313</v>
      </c>
      <c r="B314" s="2">
        <v>44928</v>
      </c>
      <c r="C314" t="s">
        <v>14</v>
      </c>
      <c r="D314" t="s">
        <v>17</v>
      </c>
      <c r="E314" t="s">
        <v>19</v>
      </c>
      <c r="F314">
        <v>5</v>
      </c>
      <c r="G314">
        <v>54369</v>
      </c>
      <c r="H314">
        <v>271845</v>
      </c>
      <c r="I314">
        <f t="shared" si="4"/>
        <v>271845</v>
      </c>
    </row>
    <row r="315" spans="1:9" x14ac:dyDescent="0.3">
      <c r="A315">
        <v>10314</v>
      </c>
      <c r="B315" s="2">
        <v>45060</v>
      </c>
      <c r="C315" t="s">
        <v>8</v>
      </c>
      <c r="D315" t="s">
        <v>17</v>
      </c>
      <c r="E315" t="s">
        <v>24</v>
      </c>
      <c r="F315">
        <v>4</v>
      </c>
      <c r="G315">
        <v>38621</v>
      </c>
      <c r="H315">
        <v>154484</v>
      </c>
      <c r="I315">
        <f t="shared" si="4"/>
        <v>154484</v>
      </c>
    </row>
    <row r="316" spans="1:9" x14ac:dyDescent="0.3">
      <c r="A316">
        <v>10315</v>
      </c>
      <c r="B316" s="2">
        <v>45178</v>
      </c>
      <c r="C316" t="s">
        <v>9</v>
      </c>
      <c r="D316" t="s">
        <v>17</v>
      </c>
      <c r="E316" t="s">
        <v>24</v>
      </c>
      <c r="F316">
        <v>7</v>
      </c>
      <c r="G316">
        <v>47758</v>
      </c>
      <c r="H316">
        <v>334306</v>
      </c>
      <c r="I316">
        <f t="shared" si="4"/>
        <v>334306</v>
      </c>
    </row>
    <row r="317" spans="1:9" x14ac:dyDescent="0.3">
      <c r="A317">
        <v>10316</v>
      </c>
      <c r="B317" s="2">
        <v>45183</v>
      </c>
      <c r="C317" t="s">
        <v>10</v>
      </c>
      <c r="D317" t="s">
        <v>15</v>
      </c>
      <c r="E317" t="s">
        <v>24</v>
      </c>
      <c r="F317">
        <v>7</v>
      </c>
      <c r="G317">
        <v>11412</v>
      </c>
      <c r="H317">
        <v>79884</v>
      </c>
      <c r="I317">
        <f t="shared" si="4"/>
        <v>79884</v>
      </c>
    </row>
    <row r="318" spans="1:9" x14ac:dyDescent="0.3">
      <c r="A318">
        <v>10317</v>
      </c>
      <c r="B318" s="2">
        <v>44980</v>
      </c>
      <c r="C318" t="s">
        <v>13</v>
      </c>
      <c r="D318" t="s">
        <v>18</v>
      </c>
      <c r="E318" t="s">
        <v>21</v>
      </c>
      <c r="F318">
        <v>14</v>
      </c>
      <c r="G318">
        <v>56302</v>
      </c>
      <c r="H318">
        <v>788228</v>
      </c>
      <c r="I318">
        <f t="shared" si="4"/>
        <v>788228</v>
      </c>
    </row>
    <row r="319" spans="1:9" x14ac:dyDescent="0.3">
      <c r="A319">
        <v>10318</v>
      </c>
      <c r="B319" s="2">
        <v>45130</v>
      </c>
      <c r="C319" t="s">
        <v>8</v>
      </c>
      <c r="D319" t="s">
        <v>17</v>
      </c>
      <c r="E319" t="s">
        <v>22</v>
      </c>
      <c r="F319">
        <v>8</v>
      </c>
      <c r="G319">
        <v>11004</v>
      </c>
      <c r="H319">
        <v>88032</v>
      </c>
      <c r="I319">
        <f t="shared" si="4"/>
        <v>88032</v>
      </c>
    </row>
    <row r="320" spans="1:9" x14ac:dyDescent="0.3">
      <c r="A320">
        <v>10319</v>
      </c>
      <c r="B320" s="2">
        <v>44930</v>
      </c>
      <c r="C320" t="s">
        <v>14</v>
      </c>
      <c r="D320" t="s">
        <v>15</v>
      </c>
      <c r="E320" t="s">
        <v>22</v>
      </c>
      <c r="F320">
        <v>1</v>
      </c>
      <c r="G320">
        <v>52306</v>
      </c>
      <c r="H320">
        <v>52306</v>
      </c>
      <c r="I320">
        <f t="shared" si="4"/>
        <v>52306</v>
      </c>
    </row>
    <row r="321" spans="1:9" x14ac:dyDescent="0.3">
      <c r="A321">
        <v>10320</v>
      </c>
      <c r="B321" s="2">
        <v>44998</v>
      </c>
      <c r="C321" t="s">
        <v>14</v>
      </c>
      <c r="D321" t="s">
        <v>17</v>
      </c>
      <c r="E321" t="s">
        <v>21</v>
      </c>
      <c r="F321">
        <v>19</v>
      </c>
      <c r="G321">
        <v>18134</v>
      </c>
      <c r="H321">
        <v>344546</v>
      </c>
      <c r="I321">
        <f t="shared" si="4"/>
        <v>344546</v>
      </c>
    </row>
    <row r="322" spans="1:9" x14ac:dyDescent="0.3">
      <c r="A322">
        <v>10321</v>
      </c>
      <c r="B322" s="2">
        <v>44974</v>
      </c>
      <c r="C322" t="s">
        <v>14</v>
      </c>
      <c r="D322" t="s">
        <v>18</v>
      </c>
      <c r="E322" t="s">
        <v>22</v>
      </c>
      <c r="F322">
        <v>16</v>
      </c>
      <c r="G322">
        <v>38952</v>
      </c>
      <c r="H322">
        <v>623232</v>
      </c>
      <c r="I322">
        <f t="shared" si="4"/>
        <v>623232</v>
      </c>
    </row>
    <row r="323" spans="1:9" x14ac:dyDescent="0.3">
      <c r="A323">
        <v>10322</v>
      </c>
      <c r="B323" s="2">
        <v>45053</v>
      </c>
      <c r="C323" t="s">
        <v>9</v>
      </c>
      <c r="D323" t="s">
        <v>17</v>
      </c>
      <c r="E323" t="s">
        <v>19</v>
      </c>
      <c r="F323">
        <v>1</v>
      </c>
      <c r="G323">
        <v>37841</v>
      </c>
      <c r="H323">
        <v>37841</v>
      </c>
      <c r="I323">
        <f t="shared" ref="I323:I386" si="5">G323*F323</f>
        <v>37841</v>
      </c>
    </row>
    <row r="324" spans="1:9" x14ac:dyDescent="0.3">
      <c r="A324">
        <v>10323</v>
      </c>
      <c r="B324" s="2">
        <v>45092</v>
      </c>
      <c r="C324" t="s">
        <v>13</v>
      </c>
      <c r="D324" t="s">
        <v>17</v>
      </c>
      <c r="E324" t="s">
        <v>20</v>
      </c>
      <c r="F324">
        <v>17</v>
      </c>
      <c r="G324">
        <v>26686</v>
      </c>
      <c r="H324">
        <v>453662</v>
      </c>
      <c r="I324">
        <f t="shared" si="5"/>
        <v>453662</v>
      </c>
    </row>
    <row r="325" spans="1:9" x14ac:dyDescent="0.3">
      <c r="A325">
        <v>10324</v>
      </c>
      <c r="B325" s="2">
        <v>45049</v>
      </c>
      <c r="C325" t="s">
        <v>11</v>
      </c>
      <c r="D325" t="s">
        <v>15</v>
      </c>
      <c r="E325" t="s">
        <v>19</v>
      </c>
      <c r="F325">
        <v>10</v>
      </c>
      <c r="G325">
        <v>12572</v>
      </c>
      <c r="H325">
        <v>125720</v>
      </c>
      <c r="I325">
        <f t="shared" si="5"/>
        <v>125720</v>
      </c>
    </row>
    <row r="326" spans="1:9" x14ac:dyDescent="0.3">
      <c r="A326">
        <v>10325</v>
      </c>
      <c r="B326" s="2">
        <v>45122</v>
      </c>
      <c r="C326" t="s">
        <v>10</v>
      </c>
      <c r="D326" t="s">
        <v>17</v>
      </c>
      <c r="E326" t="s">
        <v>23</v>
      </c>
      <c r="F326">
        <v>9</v>
      </c>
      <c r="G326">
        <v>58449</v>
      </c>
      <c r="H326">
        <v>526041</v>
      </c>
      <c r="I326">
        <f t="shared" si="5"/>
        <v>526041</v>
      </c>
    </row>
    <row r="327" spans="1:9" x14ac:dyDescent="0.3">
      <c r="A327">
        <v>10326</v>
      </c>
      <c r="B327" s="2">
        <v>45249</v>
      </c>
      <c r="C327" t="s">
        <v>11</v>
      </c>
      <c r="D327" t="s">
        <v>16</v>
      </c>
      <c r="E327" t="s">
        <v>20</v>
      </c>
      <c r="F327">
        <v>9</v>
      </c>
      <c r="G327">
        <v>12382</v>
      </c>
      <c r="H327">
        <v>111438</v>
      </c>
      <c r="I327">
        <f t="shared" si="5"/>
        <v>111438</v>
      </c>
    </row>
    <row r="328" spans="1:9" x14ac:dyDescent="0.3">
      <c r="A328">
        <v>10327</v>
      </c>
      <c r="B328" s="2">
        <v>45077</v>
      </c>
      <c r="C328" t="s">
        <v>14</v>
      </c>
      <c r="D328" t="s">
        <v>16</v>
      </c>
      <c r="E328" t="s">
        <v>21</v>
      </c>
      <c r="F328">
        <v>2</v>
      </c>
      <c r="G328">
        <v>33612</v>
      </c>
      <c r="H328">
        <v>67224</v>
      </c>
      <c r="I328">
        <f t="shared" si="5"/>
        <v>67224</v>
      </c>
    </row>
    <row r="329" spans="1:9" x14ac:dyDescent="0.3">
      <c r="A329">
        <v>10328</v>
      </c>
      <c r="B329" s="2">
        <v>45019</v>
      </c>
      <c r="C329" t="s">
        <v>14</v>
      </c>
      <c r="D329" t="s">
        <v>17</v>
      </c>
      <c r="E329" t="s">
        <v>24</v>
      </c>
      <c r="F329">
        <v>14</v>
      </c>
      <c r="G329">
        <v>8989</v>
      </c>
      <c r="H329">
        <v>125846</v>
      </c>
      <c r="I329">
        <f t="shared" si="5"/>
        <v>125846</v>
      </c>
    </row>
    <row r="330" spans="1:9" x14ac:dyDescent="0.3">
      <c r="A330">
        <v>10329</v>
      </c>
      <c r="B330" s="2">
        <v>45010</v>
      </c>
      <c r="C330" t="s">
        <v>12</v>
      </c>
      <c r="D330" t="s">
        <v>15</v>
      </c>
      <c r="E330" t="s">
        <v>22</v>
      </c>
      <c r="F330">
        <v>3</v>
      </c>
      <c r="G330">
        <v>56994</v>
      </c>
      <c r="H330">
        <v>170982</v>
      </c>
      <c r="I330">
        <f t="shared" si="5"/>
        <v>170982</v>
      </c>
    </row>
    <row r="331" spans="1:9" x14ac:dyDescent="0.3">
      <c r="A331">
        <v>10330</v>
      </c>
      <c r="B331" s="2">
        <v>45132</v>
      </c>
      <c r="C331" t="s">
        <v>12</v>
      </c>
      <c r="D331" t="s">
        <v>15</v>
      </c>
      <c r="E331" t="s">
        <v>24</v>
      </c>
      <c r="F331">
        <v>6</v>
      </c>
      <c r="G331">
        <v>8924</v>
      </c>
      <c r="H331">
        <v>53544</v>
      </c>
      <c r="I331">
        <f t="shared" si="5"/>
        <v>53544</v>
      </c>
    </row>
    <row r="332" spans="1:9" x14ac:dyDescent="0.3">
      <c r="A332">
        <v>10331</v>
      </c>
      <c r="B332" s="2">
        <v>45219</v>
      </c>
      <c r="C332" t="s">
        <v>11</v>
      </c>
      <c r="D332" t="s">
        <v>16</v>
      </c>
      <c r="E332" t="s">
        <v>24</v>
      </c>
      <c r="F332">
        <v>15</v>
      </c>
      <c r="G332">
        <v>54790</v>
      </c>
      <c r="H332">
        <v>821850</v>
      </c>
      <c r="I332">
        <f t="shared" si="5"/>
        <v>821850</v>
      </c>
    </row>
    <row r="333" spans="1:9" x14ac:dyDescent="0.3">
      <c r="A333">
        <v>10332</v>
      </c>
      <c r="B333" s="2">
        <v>45033</v>
      </c>
      <c r="C333" t="s">
        <v>11</v>
      </c>
      <c r="D333" t="s">
        <v>15</v>
      </c>
      <c r="E333" t="s">
        <v>19</v>
      </c>
      <c r="F333">
        <v>16</v>
      </c>
      <c r="G333">
        <v>7528</v>
      </c>
      <c r="H333">
        <v>120448</v>
      </c>
      <c r="I333">
        <f t="shared" si="5"/>
        <v>120448</v>
      </c>
    </row>
    <row r="334" spans="1:9" x14ac:dyDescent="0.3">
      <c r="A334">
        <v>10333</v>
      </c>
      <c r="B334" s="2">
        <v>44976</v>
      </c>
      <c r="C334" t="s">
        <v>10</v>
      </c>
      <c r="D334" t="s">
        <v>18</v>
      </c>
      <c r="E334" t="s">
        <v>20</v>
      </c>
      <c r="F334">
        <v>19</v>
      </c>
      <c r="G334">
        <v>30562</v>
      </c>
      <c r="H334">
        <v>580678</v>
      </c>
      <c r="I334">
        <f t="shared" si="5"/>
        <v>580678</v>
      </c>
    </row>
    <row r="335" spans="1:9" x14ac:dyDescent="0.3">
      <c r="A335">
        <v>10334</v>
      </c>
      <c r="B335" s="2">
        <v>44997</v>
      </c>
      <c r="C335" t="s">
        <v>10</v>
      </c>
      <c r="D335" t="s">
        <v>15</v>
      </c>
      <c r="E335" t="s">
        <v>24</v>
      </c>
      <c r="F335">
        <v>11</v>
      </c>
      <c r="G335">
        <v>57834</v>
      </c>
      <c r="H335">
        <v>636174</v>
      </c>
      <c r="I335">
        <f t="shared" si="5"/>
        <v>636174</v>
      </c>
    </row>
    <row r="336" spans="1:9" x14ac:dyDescent="0.3">
      <c r="A336">
        <v>10335</v>
      </c>
      <c r="B336" s="2">
        <v>45042</v>
      </c>
      <c r="C336" t="s">
        <v>13</v>
      </c>
      <c r="D336" t="s">
        <v>16</v>
      </c>
      <c r="E336" t="s">
        <v>20</v>
      </c>
      <c r="F336">
        <v>4</v>
      </c>
      <c r="G336">
        <v>34827</v>
      </c>
      <c r="H336">
        <v>139308</v>
      </c>
      <c r="I336">
        <f t="shared" si="5"/>
        <v>139308</v>
      </c>
    </row>
    <row r="337" spans="1:9" x14ac:dyDescent="0.3">
      <c r="A337">
        <v>10336</v>
      </c>
      <c r="B337" s="2">
        <v>45248</v>
      </c>
      <c r="C337" t="s">
        <v>10</v>
      </c>
      <c r="D337" t="s">
        <v>17</v>
      </c>
      <c r="E337" t="s">
        <v>22</v>
      </c>
      <c r="F337">
        <v>19</v>
      </c>
      <c r="G337">
        <v>27943</v>
      </c>
      <c r="H337">
        <v>530917</v>
      </c>
      <c r="I337">
        <f t="shared" si="5"/>
        <v>530917</v>
      </c>
    </row>
    <row r="338" spans="1:9" x14ac:dyDescent="0.3">
      <c r="A338">
        <v>10337</v>
      </c>
      <c r="B338" s="2">
        <v>45271</v>
      </c>
      <c r="C338" t="s">
        <v>10</v>
      </c>
      <c r="D338" t="s">
        <v>16</v>
      </c>
      <c r="E338" t="s">
        <v>24</v>
      </c>
      <c r="F338">
        <v>19</v>
      </c>
      <c r="G338">
        <v>42002</v>
      </c>
      <c r="H338">
        <v>798038</v>
      </c>
      <c r="I338">
        <f t="shared" si="5"/>
        <v>798038</v>
      </c>
    </row>
    <row r="339" spans="1:9" x14ac:dyDescent="0.3">
      <c r="A339">
        <v>10338</v>
      </c>
      <c r="B339" s="2">
        <v>45033</v>
      </c>
      <c r="C339" t="s">
        <v>11</v>
      </c>
      <c r="D339" t="s">
        <v>17</v>
      </c>
      <c r="E339" t="s">
        <v>24</v>
      </c>
      <c r="F339">
        <v>20</v>
      </c>
      <c r="G339">
        <v>34153</v>
      </c>
      <c r="H339">
        <v>683060</v>
      </c>
      <c r="I339">
        <f t="shared" si="5"/>
        <v>683060</v>
      </c>
    </row>
    <row r="340" spans="1:9" x14ac:dyDescent="0.3">
      <c r="A340">
        <v>10339</v>
      </c>
      <c r="B340" s="2">
        <v>45214</v>
      </c>
      <c r="C340" t="s">
        <v>12</v>
      </c>
      <c r="D340" t="s">
        <v>17</v>
      </c>
      <c r="E340" t="s">
        <v>23</v>
      </c>
      <c r="F340">
        <v>15</v>
      </c>
      <c r="G340">
        <v>21509</v>
      </c>
      <c r="H340">
        <v>322635</v>
      </c>
      <c r="I340">
        <f t="shared" si="5"/>
        <v>322635</v>
      </c>
    </row>
    <row r="341" spans="1:9" x14ac:dyDescent="0.3">
      <c r="A341">
        <v>10340</v>
      </c>
      <c r="B341" s="2">
        <v>45268</v>
      </c>
      <c r="C341" t="s">
        <v>13</v>
      </c>
      <c r="D341" t="s">
        <v>17</v>
      </c>
      <c r="E341" t="s">
        <v>21</v>
      </c>
      <c r="F341">
        <v>2</v>
      </c>
      <c r="G341">
        <v>27523</v>
      </c>
      <c r="H341">
        <v>55046</v>
      </c>
      <c r="I341">
        <f t="shared" si="5"/>
        <v>55046</v>
      </c>
    </row>
    <row r="342" spans="1:9" x14ac:dyDescent="0.3">
      <c r="A342">
        <v>10341</v>
      </c>
      <c r="B342" s="2">
        <v>45250</v>
      </c>
      <c r="C342" t="s">
        <v>12</v>
      </c>
      <c r="D342" t="s">
        <v>18</v>
      </c>
      <c r="E342" t="s">
        <v>22</v>
      </c>
      <c r="F342">
        <v>6</v>
      </c>
      <c r="G342">
        <v>31674</v>
      </c>
      <c r="H342">
        <v>190044</v>
      </c>
      <c r="I342">
        <f t="shared" si="5"/>
        <v>190044</v>
      </c>
    </row>
    <row r="343" spans="1:9" x14ac:dyDescent="0.3">
      <c r="A343">
        <v>10342</v>
      </c>
      <c r="B343" s="2">
        <v>45044</v>
      </c>
      <c r="C343" t="s">
        <v>12</v>
      </c>
      <c r="D343" t="s">
        <v>16</v>
      </c>
      <c r="E343" t="s">
        <v>23</v>
      </c>
      <c r="F343">
        <v>1</v>
      </c>
      <c r="G343">
        <v>24480</v>
      </c>
      <c r="H343">
        <v>24480</v>
      </c>
      <c r="I343">
        <f t="shared" si="5"/>
        <v>24480</v>
      </c>
    </row>
    <row r="344" spans="1:9" x14ac:dyDescent="0.3">
      <c r="A344">
        <v>10343</v>
      </c>
      <c r="B344" s="2">
        <v>45062</v>
      </c>
      <c r="C344" t="s">
        <v>8</v>
      </c>
      <c r="D344" t="s">
        <v>16</v>
      </c>
      <c r="E344" t="s">
        <v>23</v>
      </c>
      <c r="F344">
        <v>13</v>
      </c>
      <c r="G344">
        <v>3398</v>
      </c>
      <c r="H344">
        <v>44174</v>
      </c>
      <c r="I344">
        <f t="shared" si="5"/>
        <v>44174</v>
      </c>
    </row>
    <row r="345" spans="1:9" x14ac:dyDescent="0.3">
      <c r="A345">
        <v>10344</v>
      </c>
      <c r="B345" s="2">
        <v>44996</v>
      </c>
      <c r="C345" t="s">
        <v>9</v>
      </c>
      <c r="D345" t="s">
        <v>15</v>
      </c>
      <c r="E345" t="s">
        <v>24</v>
      </c>
      <c r="F345">
        <v>12</v>
      </c>
      <c r="G345">
        <v>34429</v>
      </c>
      <c r="H345">
        <v>413148</v>
      </c>
      <c r="I345">
        <f t="shared" si="5"/>
        <v>413148</v>
      </c>
    </row>
    <row r="346" spans="1:9" x14ac:dyDescent="0.3">
      <c r="A346">
        <v>10345</v>
      </c>
      <c r="B346" s="2">
        <v>45064</v>
      </c>
      <c r="C346" t="s">
        <v>10</v>
      </c>
      <c r="D346" t="s">
        <v>16</v>
      </c>
      <c r="E346" t="s">
        <v>24</v>
      </c>
      <c r="F346">
        <v>10</v>
      </c>
      <c r="G346">
        <v>41602</v>
      </c>
      <c r="H346">
        <v>416020</v>
      </c>
      <c r="I346">
        <f t="shared" si="5"/>
        <v>416020</v>
      </c>
    </row>
    <row r="347" spans="1:9" x14ac:dyDescent="0.3">
      <c r="A347">
        <v>10346</v>
      </c>
      <c r="B347" s="2">
        <v>45130</v>
      </c>
      <c r="C347" t="s">
        <v>13</v>
      </c>
      <c r="D347" t="s">
        <v>17</v>
      </c>
      <c r="E347" t="s">
        <v>23</v>
      </c>
      <c r="F347">
        <v>2</v>
      </c>
      <c r="G347">
        <v>57009</v>
      </c>
      <c r="H347">
        <v>114018</v>
      </c>
      <c r="I347">
        <f t="shared" si="5"/>
        <v>114018</v>
      </c>
    </row>
    <row r="348" spans="1:9" x14ac:dyDescent="0.3">
      <c r="A348">
        <v>10347</v>
      </c>
      <c r="B348" s="2">
        <v>45089</v>
      </c>
      <c r="C348" t="s">
        <v>12</v>
      </c>
      <c r="D348" t="s">
        <v>17</v>
      </c>
      <c r="E348" t="s">
        <v>19</v>
      </c>
      <c r="F348">
        <v>15</v>
      </c>
      <c r="G348">
        <v>27707</v>
      </c>
      <c r="H348">
        <v>415605</v>
      </c>
      <c r="I348">
        <f t="shared" si="5"/>
        <v>415605</v>
      </c>
    </row>
    <row r="349" spans="1:9" x14ac:dyDescent="0.3">
      <c r="A349">
        <v>10348</v>
      </c>
      <c r="B349" s="2">
        <v>45104</v>
      </c>
      <c r="C349" t="s">
        <v>11</v>
      </c>
      <c r="D349" t="s">
        <v>18</v>
      </c>
      <c r="E349" t="s">
        <v>21</v>
      </c>
      <c r="F349">
        <v>3</v>
      </c>
      <c r="G349">
        <v>30080</v>
      </c>
      <c r="H349">
        <v>90240</v>
      </c>
      <c r="I349">
        <f t="shared" si="5"/>
        <v>90240</v>
      </c>
    </row>
    <row r="350" spans="1:9" x14ac:dyDescent="0.3">
      <c r="A350">
        <v>10349</v>
      </c>
      <c r="B350" s="2">
        <v>45076</v>
      </c>
      <c r="C350" t="s">
        <v>14</v>
      </c>
      <c r="D350" t="s">
        <v>16</v>
      </c>
      <c r="E350" t="s">
        <v>20</v>
      </c>
      <c r="F350">
        <v>13</v>
      </c>
      <c r="G350">
        <v>30079</v>
      </c>
      <c r="H350">
        <v>391027</v>
      </c>
      <c r="I350">
        <f t="shared" si="5"/>
        <v>391027</v>
      </c>
    </row>
    <row r="351" spans="1:9" x14ac:dyDescent="0.3">
      <c r="A351">
        <v>10350</v>
      </c>
      <c r="B351" s="2">
        <v>45277</v>
      </c>
      <c r="C351" t="s">
        <v>9</v>
      </c>
      <c r="D351" t="s">
        <v>18</v>
      </c>
      <c r="E351" t="s">
        <v>22</v>
      </c>
      <c r="F351">
        <v>17</v>
      </c>
      <c r="G351">
        <v>17025</v>
      </c>
      <c r="H351">
        <v>289425</v>
      </c>
      <c r="I351">
        <f t="shared" si="5"/>
        <v>289425</v>
      </c>
    </row>
    <row r="352" spans="1:9" x14ac:dyDescent="0.3">
      <c r="A352">
        <v>10351</v>
      </c>
      <c r="B352" s="2">
        <v>45155</v>
      </c>
      <c r="C352" t="s">
        <v>10</v>
      </c>
      <c r="D352" t="s">
        <v>18</v>
      </c>
      <c r="E352" t="s">
        <v>24</v>
      </c>
      <c r="F352">
        <v>16</v>
      </c>
      <c r="G352">
        <v>37453</v>
      </c>
      <c r="H352">
        <v>599248</v>
      </c>
      <c r="I352">
        <f t="shared" si="5"/>
        <v>599248</v>
      </c>
    </row>
    <row r="353" spans="1:9" x14ac:dyDescent="0.3">
      <c r="A353">
        <v>10352</v>
      </c>
      <c r="B353" s="2">
        <v>45049</v>
      </c>
      <c r="C353" t="s">
        <v>8</v>
      </c>
      <c r="D353" t="s">
        <v>18</v>
      </c>
      <c r="E353" t="s">
        <v>20</v>
      </c>
      <c r="F353">
        <v>14</v>
      </c>
      <c r="G353">
        <v>24653</v>
      </c>
      <c r="H353">
        <v>345142</v>
      </c>
      <c r="I353">
        <f t="shared" si="5"/>
        <v>345142</v>
      </c>
    </row>
    <row r="354" spans="1:9" x14ac:dyDescent="0.3">
      <c r="A354">
        <v>10353</v>
      </c>
      <c r="B354" s="2">
        <v>45093</v>
      </c>
      <c r="C354" t="s">
        <v>8</v>
      </c>
      <c r="D354" t="s">
        <v>15</v>
      </c>
      <c r="E354" t="s">
        <v>24</v>
      </c>
      <c r="F354">
        <v>9</v>
      </c>
      <c r="G354">
        <v>6968</v>
      </c>
      <c r="H354">
        <v>62712</v>
      </c>
      <c r="I354">
        <f t="shared" si="5"/>
        <v>62712</v>
      </c>
    </row>
    <row r="355" spans="1:9" x14ac:dyDescent="0.3">
      <c r="A355">
        <v>10354</v>
      </c>
      <c r="B355" s="2">
        <v>45273</v>
      </c>
      <c r="C355" t="s">
        <v>8</v>
      </c>
      <c r="D355" t="s">
        <v>17</v>
      </c>
      <c r="E355" t="s">
        <v>23</v>
      </c>
      <c r="F355">
        <v>11</v>
      </c>
      <c r="G355">
        <v>57001</v>
      </c>
      <c r="H355">
        <v>627011</v>
      </c>
      <c r="I355">
        <f t="shared" si="5"/>
        <v>627011</v>
      </c>
    </row>
    <row r="356" spans="1:9" x14ac:dyDescent="0.3">
      <c r="A356">
        <v>10355</v>
      </c>
      <c r="B356" s="2">
        <v>45201</v>
      </c>
      <c r="C356" t="s">
        <v>12</v>
      </c>
      <c r="D356" t="s">
        <v>16</v>
      </c>
      <c r="E356" t="s">
        <v>24</v>
      </c>
      <c r="F356">
        <v>14</v>
      </c>
      <c r="G356">
        <v>3054</v>
      </c>
      <c r="H356">
        <v>42756</v>
      </c>
      <c r="I356">
        <f t="shared" si="5"/>
        <v>42756</v>
      </c>
    </row>
    <row r="357" spans="1:9" x14ac:dyDescent="0.3">
      <c r="A357">
        <v>10356</v>
      </c>
      <c r="B357" s="2">
        <v>45214</v>
      </c>
      <c r="C357" t="s">
        <v>13</v>
      </c>
      <c r="D357" t="s">
        <v>18</v>
      </c>
      <c r="E357" t="s">
        <v>22</v>
      </c>
      <c r="F357">
        <v>18</v>
      </c>
      <c r="G357">
        <v>22818</v>
      </c>
      <c r="H357">
        <v>410724</v>
      </c>
      <c r="I357">
        <f t="shared" si="5"/>
        <v>410724</v>
      </c>
    </row>
    <row r="358" spans="1:9" x14ac:dyDescent="0.3">
      <c r="A358">
        <v>10357</v>
      </c>
      <c r="B358" s="2">
        <v>45172</v>
      </c>
      <c r="C358" t="s">
        <v>14</v>
      </c>
      <c r="D358" t="s">
        <v>16</v>
      </c>
      <c r="E358" t="s">
        <v>24</v>
      </c>
      <c r="F358">
        <v>6</v>
      </c>
      <c r="G358">
        <v>11064</v>
      </c>
      <c r="H358">
        <v>66384</v>
      </c>
      <c r="I358">
        <f t="shared" si="5"/>
        <v>66384</v>
      </c>
    </row>
    <row r="359" spans="1:9" x14ac:dyDescent="0.3">
      <c r="A359">
        <v>10358</v>
      </c>
      <c r="B359" s="2">
        <v>45038</v>
      </c>
      <c r="C359" t="s">
        <v>10</v>
      </c>
      <c r="D359" t="s">
        <v>17</v>
      </c>
      <c r="E359" t="s">
        <v>23</v>
      </c>
      <c r="F359">
        <v>17</v>
      </c>
      <c r="G359">
        <v>31030</v>
      </c>
      <c r="H359">
        <v>527510</v>
      </c>
      <c r="I359">
        <f t="shared" si="5"/>
        <v>527510</v>
      </c>
    </row>
    <row r="360" spans="1:9" x14ac:dyDescent="0.3">
      <c r="A360">
        <v>10359</v>
      </c>
      <c r="B360" s="2">
        <v>45119</v>
      </c>
      <c r="C360" t="s">
        <v>11</v>
      </c>
      <c r="D360" t="s">
        <v>16</v>
      </c>
      <c r="E360" t="s">
        <v>22</v>
      </c>
      <c r="F360">
        <v>4</v>
      </c>
      <c r="G360">
        <v>10912</v>
      </c>
      <c r="H360">
        <v>43648</v>
      </c>
      <c r="I360">
        <f t="shared" si="5"/>
        <v>43648</v>
      </c>
    </row>
    <row r="361" spans="1:9" x14ac:dyDescent="0.3">
      <c r="A361">
        <v>10360</v>
      </c>
      <c r="B361" s="2">
        <v>45183</v>
      </c>
      <c r="C361" t="s">
        <v>13</v>
      </c>
      <c r="D361" t="s">
        <v>18</v>
      </c>
      <c r="E361" t="s">
        <v>24</v>
      </c>
      <c r="F361">
        <v>6</v>
      </c>
      <c r="G361">
        <v>23997</v>
      </c>
      <c r="H361">
        <v>143982</v>
      </c>
      <c r="I361">
        <f t="shared" si="5"/>
        <v>143982</v>
      </c>
    </row>
    <row r="362" spans="1:9" x14ac:dyDescent="0.3">
      <c r="A362">
        <v>10361</v>
      </c>
      <c r="B362" s="2">
        <v>45118</v>
      </c>
      <c r="C362" t="s">
        <v>13</v>
      </c>
      <c r="D362" t="s">
        <v>18</v>
      </c>
      <c r="E362" t="s">
        <v>23</v>
      </c>
      <c r="F362">
        <v>18</v>
      </c>
      <c r="G362">
        <v>30103</v>
      </c>
      <c r="H362">
        <v>541854</v>
      </c>
      <c r="I362">
        <f t="shared" si="5"/>
        <v>541854</v>
      </c>
    </row>
    <row r="363" spans="1:9" x14ac:dyDescent="0.3">
      <c r="A363">
        <v>10362</v>
      </c>
      <c r="B363" s="2">
        <v>45213</v>
      </c>
      <c r="C363" t="s">
        <v>10</v>
      </c>
      <c r="D363" t="s">
        <v>15</v>
      </c>
      <c r="E363" t="s">
        <v>23</v>
      </c>
      <c r="F363">
        <v>7</v>
      </c>
      <c r="G363">
        <v>25401</v>
      </c>
      <c r="H363">
        <v>177807</v>
      </c>
      <c r="I363">
        <f t="shared" si="5"/>
        <v>177807</v>
      </c>
    </row>
    <row r="364" spans="1:9" x14ac:dyDescent="0.3">
      <c r="A364">
        <v>10363</v>
      </c>
      <c r="B364" s="2">
        <v>45059</v>
      </c>
      <c r="C364" t="s">
        <v>9</v>
      </c>
      <c r="D364" t="s">
        <v>16</v>
      </c>
      <c r="E364" t="s">
        <v>21</v>
      </c>
      <c r="F364">
        <v>20</v>
      </c>
      <c r="G364">
        <v>50760</v>
      </c>
      <c r="H364">
        <v>1015200</v>
      </c>
      <c r="I364">
        <f t="shared" si="5"/>
        <v>1015200</v>
      </c>
    </row>
    <row r="365" spans="1:9" x14ac:dyDescent="0.3">
      <c r="A365">
        <v>10364</v>
      </c>
      <c r="B365" s="2">
        <v>45166</v>
      </c>
      <c r="C365" t="s">
        <v>8</v>
      </c>
      <c r="D365" t="s">
        <v>15</v>
      </c>
      <c r="E365" t="s">
        <v>20</v>
      </c>
      <c r="F365">
        <v>11</v>
      </c>
      <c r="G365">
        <v>26034</v>
      </c>
      <c r="H365">
        <v>286374</v>
      </c>
      <c r="I365">
        <f t="shared" si="5"/>
        <v>286374</v>
      </c>
    </row>
    <row r="366" spans="1:9" x14ac:dyDescent="0.3">
      <c r="A366">
        <v>10365</v>
      </c>
      <c r="B366" s="2">
        <v>44996</v>
      </c>
      <c r="C366" t="s">
        <v>14</v>
      </c>
      <c r="D366" t="s">
        <v>17</v>
      </c>
      <c r="E366" t="s">
        <v>19</v>
      </c>
      <c r="F366">
        <v>9</v>
      </c>
      <c r="G366">
        <v>5309</v>
      </c>
      <c r="H366">
        <v>47781</v>
      </c>
      <c r="I366">
        <f t="shared" si="5"/>
        <v>47781</v>
      </c>
    </row>
    <row r="367" spans="1:9" x14ac:dyDescent="0.3">
      <c r="A367">
        <v>10366</v>
      </c>
      <c r="B367" s="2">
        <v>45183</v>
      </c>
      <c r="C367" t="s">
        <v>9</v>
      </c>
      <c r="D367" t="s">
        <v>16</v>
      </c>
      <c r="E367" t="s">
        <v>19</v>
      </c>
      <c r="F367">
        <v>6</v>
      </c>
      <c r="G367">
        <v>5789</v>
      </c>
      <c r="H367">
        <v>34734</v>
      </c>
      <c r="I367">
        <f t="shared" si="5"/>
        <v>34734</v>
      </c>
    </row>
    <row r="368" spans="1:9" x14ac:dyDescent="0.3">
      <c r="A368">
        <v>10367</v>
      </c>
      <c r="B368" s="2">
        <v>45045</v>
      </c>
      <c r="C368" t="s">
        <v>8</v>
      </c>
      <c r="D368" t="s">
        <v>18</v>
      </c>
      <c r="E368" t="s">
        <v>19</v>
      </c>
      <c r="F368">
        <v>3</v>
      </c>
      <c r="G368">
        <v>50761</v>
      </c>
      <c r="H368">
        <v>152283</v>
      </c>
      <c r="I368">
        <f t="shared" si="5"/>
        <v>152283</v>
      </c>
    </row>
    <row r="369" spans="1:9" x14ac:dyDescent="0.3">
      <c r="A369">
        <v>10368</v>
      </c>
      <c r="B369" s="2">
        <v>45138</v>
      </c>
      <c r="C369" t="s">
        <v>10</v>
      </c>
      <c r="D369" t="s">
        <v>15</v>
      </c>
      <c r="E369" t="s">
        <v>22</v>
      </c>
      <c r="F369">
        <v>2</v>
      </c>
      <c r="G369">
        <v>33408</v>
      </c>
      <c r="H369">
        <v>66816</v>
      </c>
      <c r="I369">
        <f t="shared" si="5"/>
        <v>66816</v>
      </c>
    </row>
    <row r="370" spans="1:9" x14ac:dyDescent="0.3">
      <c r="A370">
        <v>10369</v>
      </c>
      <c r="B370" s="2">
        <v>45160</v>
      </c>
      <c r="C370" t="s">
        <v>14</v>
      </c>
      <c r="D370" t="s">
        <v>17</v>
      </c>
      <c r="E370" t="s">
        <v>19</v>
      </c>
      <c r="F370">
        <v>10</v>
      </c>
      <c r="G370">
        <v>27432</v>
      </c>
      <c r="H370">
        <v>274320</v>
      </c>
      <c r="I370">
        <f t="shared" si="5"/>
        <v>274320</v>
      </c>
    </row>
    <row r="371" spans="1:9" x14ac:dyDescent="0.3">
      <c r="A371">
        <v>10370</v>
      </c>
      <c r="B371" s="2">
        <v>45005</v>
      </c>
      <c r="C371" t="s">
        <v>8</v>
      </c>
      <c r="D371" t="s">
        <v>16</v>
      </c>
      <c r="E371" t="s">
        <v>21</v>
      </c>
      <c r="F371">
        <v>3</v>
      </c>
      <c r="G371">
        <v>53652</v>
      </c>
      <c r="H371">
        <v>160956</v>
      </c>
      <c r="I371">
        <f t="shared" si="5"/>
        <v>160956</v>
      </c>
    </row>
    <row r="372" spans="1:9" x14ac:dyDescent="0.3">
      <c r="A372">
        <v>10371</v>
      </c>
      <c r="B372" s="2">
        <v>44942</v>
      </c>
      <c r="C372" t="s">
        <v>8</v>
      </c>
      <c r="D372" t="s">
        <v>16</v>
      </c>
      <c r="E372" t="s">
        <v>23</v>
      </c>
      <c r="F372">
        <v>8</v>
      </c>
      <c r="G372">
        <v>14022</v>
      </c>
      <c r="H372">
        <v>112176</v>
      </c>
      <c r="I372">
        <f t="shared" si="5"/>
        <v>112176</v>
      </c>
    </row>
    <row r="373" spans="1:9" x14ac:dyDescent="0.3">
      <c r="A373">
        <v>10372</v>
      </c>
      <c r="B373" s="2">
        <v>45158</v>
      </c>
      <c r="C373" t="s">
        <v>11</v>
      </c>
      <c r="D373" t="s">
        <v>17</v>
      </c>
      <c r="E373" t="s">
        <v>21</v>
      </c>
      <c r="F373">
        <v>11</v>
      </c>
      <c r="G373">
        <v>53700</v>
      </c>
      <c r="H373">
        <v>590700</v>
      </c>
      <c r="I373">
        <f t="shared" si="5"/>
        <v>590700</v>
      </c>
    </row>
    <row r="374" spans="1:9" x14ac:dyDescent="0.3">
      <c r="A374">
        <v>10373</v>
      </c>
      <c r="B374" s="2">
        <v>45057</v>
      </c>
      <c r="C374" t="s">
        <v>9</v>
      </c>
      <c r="D374" t="s">
        <v>16</v>
      </c>
      <c r="E374" t="s">
        <v>19</v>
      </c>
      <c r="F374">
        <v>8</v>
      </c>
      <c r="G374">
        <v>23698</v>
      </c>
      <c r="H374">
        <v>189584</v>
      </c>
      <c r="I374">
        <f t="shared" si="5"/>
        <v>189584</v>
      </c>
    </row>
    <row r="375" spans="1:9" x14ac:dyDescent="0.3">
      <c r="A375">
        <v>10374</v>
      </c>
      <c r="B375" s="2">
        <v>45167</v>
      </c>
      <c r="C375" t="s">
        <v>9</v>
      </c>
      <c r="D375" t="s">
        <v>15</v>
      </c>
      <c r="E375" t="s">
        <v>20</v>
      </c>
      <c r="F375">
        <v>4</v>
      </c>
      <c r="G375">
        <v>15626</v>
      </c>
      <c r="H375">
        <v>62504</v>
      </c>
      <c r="I375">
        <f t="shared" si="5"/>
        <v>62504</v>
      </c>
    </row>
    <row r="376" spans="1:9" x14ac:dyDescent="0.3">
      <c r="A376">
        <v>10375</v>
      </c>
      <c r="B376" s="2">
        <v>45083</v>
      </c>
      <c r="C376" t="s">
        <v>12</v>
      </c>
      <c r="D376" t="s">
        <v>17</v>
      </c>
      <c r="E376" t="s">
        <v>22</v>
      </c>
      <c r="F376">
        <v>13</v>
      </c>
      <c r="G376">
        <v>40000</v>
      </c>
      <c r="H376">
        <v>520000</v>
      </c>
      <c r="I376">
        <f t="shared" si="5"/>
        <v>520000</v>
      </c>
    </row>
    <row r="377" spans="1:9" x14ac:dyDescent="0.3">
      <c r="A377">
        <v>10376</v>
      </c>
      <c r="B377" s="2">
        <v>45289</v>
      </c>
      <c r="C377" t="s">
        <v>14</v>
      </c>
      <c r="D377" t="s">
        <v>15</v>
      </c>
      <c r="E377" t="s">
        <v>21</v>
      </c>
      <c r="F377">
        <v>13</v>
      </c>
      <c r="G377">
        <v>12448</v>
      </c>
      <c r="H377">
        <v>161824</v>
      </c>
      <c r="I377">
        <f t="shared" si="5"/>
        <v>161824</v>
      </c>
    </row>
    <row r="378" spans="1:9" x14ac:dyDescent="0.3">
      <c r="A378">
        <v>10377</v>
      </c>
      <c r="B378" s="2">
        <v>45013</v>
      </c>
      <c r="C378" t="s">
        <v>8</v>
      </c>
      <c r="D378" t="s">
        <v>17</v>
      </c>
      <c r="E378" t="s">
        <v>21</v>
      </c>
      <c r="F378">
        <v>5</v>
      </c>
      <c r="G378">
        <v>18172</v>
      </c>
      <c r="H378">
        <v>90860</v>
      </c>
      <c r="I378">
        <f t="shared" si="5"/>
        <v>90860</v>
      </c>
    </row>
    <row r="379" spans="1:9" x14ac:dyDescent="0.3">
      <c r="A379">
        <v>10378</v>
      </c>
      <c r="B379" s="2">
        <v>45081</v>
      </c>
      <c r="C379" t="s">
        <v>9</v>
      </c>
      <c r="D379" t="s">
        <v>18</v>
      </c>
      <c r="E379" t="s">
        <v>20</v>
      </c>
      <c r="F379">
        <v>11</v>
      </c>
      <c r="G379">
        <v>58477</v>
      </c>
      <c r="H379">
        <v>643247</v>
      </c>
      <c r="I379">
        <f t="shared" si="5"/>
        <v>643247</v>
      </c>
    </row>
    <row r="380" spans="1:9" x14ac:dyDescent="0.3">
      <c r="A380">
        <v>10379</v>
      </c>
      <c r="B380" s="2">
        <v>45135</v>
      </c>
      <c r="C380" t="s">
        <v>9</v>
      </c>
      <c r="D380" t="s">
        <v>18</v>
      </c>
      <c r="E380" t="s">
        <v>20</v>
      </c>
      <c r="F380">
        <v>17</v>
      </c>
      <c r="G380">
        <v>15657</v>
      </c>
      <c r="H380">
        <v>266169</v>
      </c>
      <c r="I380">
        <f t="shared" si="5"/>
        <v>266169</v>
      </c>
    </row>
    <row r="381" spans="1:9" x14ac:dyDescent="0.3">
      <c r="A381">
        <v>10380</v>
      </c>
      <c r="B381" s="2">
        <v>45208</v>
      </c>
      <c r="C381" t="s">
        <v>12</v>
      </c>
      <c r="D381" t="s">
        <v>15</v>
      </c>
      <c r="E381" t="s">
        <v>19</v>
      </c>
      <c r="F381">
        <v>12</v>
      </c>
      <c r="G381">
        <v>19883</v>
      </c>
      <c r="H381">
        <v>238596</v>
      </c>
      <c r="I381">
        <f t="shared" si="5"/>
        <v>238596</v>
      </c>
    </row>
    <row r="382" spans="1:9" x14ac:dyDescent="0.3">
      <c r="A382">
        <v>10381</v>
      </c>
      <c r="B382" s="2">
        <v>45243</v>
      </c>
      <c r="C382" t="s">
        <v>9</v>
      </c>
      <c r="D382" t="s">
        <v>17</v>
      </c>
      <c r="E382" t="s">
        <v>23</v>
      </c>
      <c r="F382">
        <v>3</v>
      </c>
      <c r="G382">
        <v>2000</v>
      </c>
      <c r="H382">
        <v>6000</v>
      </c>
      <c r="I382">
        <f t="shared" si="5"/>
        <v>6000</v>
      </c>
    </row>
    <row r="383" spans="1:9" x14ac:dyDescent="0.3">
      <c r="A383">
        <v>10382</v>
      </c>
      <c r="B383" s="2">
        <v>45088</v>
      </c>
      <c r="C383" t="s">
        <v>14</v>
      </c>
      <c r="D383" t="s">
        <v>17</v>
      </c>
      <c r="E383" t="s">
        <v>24</v>
      </c>
      <c r="F383">
        <v>5</v>
      </c>
      <c r="G383">
        <v>24813</v>
      </c>
      <c r="H383">
        <v>124065</v>
      </c>
      <c r="I383">
        <f t="shared" si="5"/>
        <v>124065</v>
      </c>
    </row>
    <row r="384" spans="1:9" x14ac:dyDescent="0.3">
      <c r="A384">
        <v>10383</v>
      </c>
      <c r="B384" s="2">
        <v>45175</v>
      </c>
      <c r="C384" t="s">
        <v>14</v>
      </c>
      <c r="D384" t="s">
        <v>16</v>
      </c>
      <c r="E384" t="s">
        <v>22</v>
      </c>
      <c r="F384">
        <v>5</v>
      </c>
      <c r="G384">
        <v>51713</v>
      </c>
      <c r="H384">
        <v>258565</v>
      </c>
      <c r="I384">
        <f t="shared" si="5"/>
        <v>258565</v>
      </c>
    </row>
    <row r="385" spans="1:9" x14ac:dyDescent="0.3">
      <c r="A385">
        <v>10384</v>
      </c>
      <c r="B385" s="2">
        <v>45071</v>
      </c>
      <c r="C385" t="s">
        <v>11</v>
      </c>
      <c r="D385" t="s">
        <v>15</v>
      </c>
      <c r="E385" t="s">
        <v>19</v>
      </c>
      <c r="F385">
        <v>4</v>
      </c>
      <c r="G385">
        <v>39228</v>
      </c>
      <c r="H385">
        <v>156912</v>
      </c>
      <c r="I385">
        <f t="shared" si="5"/>
        <v>156912</v>
      </c>
    </row>
    <row r="386" spans="1:9" x14ac:dyDescent="0.3">
      <c r="A386">
        <v>10385</v>
      </c>
      <c r="B386" s="2">
        <v>45171</v>
      </c>
      <c r="C386" t="s">
        <v>11</v>
      </c>
      <c r="D386" t="s">
        <v>18</v>
      </c>
      <c r="E386" t="s">
        <v>20</v>
      </c>
      <c r="F386">
        <v>13</v>
      </c>
      <c r="G386">
        <v>50434</v>
      </c>
      <c r="H386">
        <v>655642</v>
      </c>
      <c r="I386">
        <f t="shared" si="5"/>
        <v>655642</v>
      </c>
    </row>
    <row r="387" spans="1:9" x14ac:dyDescent="0.3">
      <c r="A387">
        <v>10386</v>
      </c>
      <c r="B387" s="2">
        <v>45063</v>
      </c>
      <c r="C387" t="s">
        <v>13</v>
      </c>
      <c r="D387" t="s">
        <v>15</v>
      </c>
      <c r="E387" t="s">
        <v>21</v>
      </c>
      <c r="F387">
        <v>5</v>
      </c>
      <c r="G387">
        <v>8220</v>
      </c>
      <c r="H387">
        <v>41100</v>
      </c>
      <c r="I387">
        <f t="shared" ref="I387:I450" si="6">G387*F387</f>
        <v>41100</v>
      </c>
    </row>
    <row r="388" spans="1:9" x14ac:dyDescent="0.3">
      <c r="A388">
        <v>10387</v>
      </c>
      <c r="B388" s="2">
        <v>45223</v>
      </c>
      <c r="C388" t="s">
        <v>8</v>
      </c>
      <c r="D388" t="s">
        <v>15</v>
      </c>
      <c r="E388" t="s">
        <v>23</v>
      </c>
      <c r="F388">
        <v>1</v>
      </c>
      <c r="G388">
        <v>46598</v>
      </c>
      <c r="H388">
        <v>46598</v>
      </c>
      <c r="I388">
        <f t="shared" si="6"/>
        <v>46598</v>
      </c>
    </row>
    <row r="389" spans="1:9" x14ac:dyDescent="0.3">
      <c r="A389">
        <v>10388</v>
      </c>
      <c r="B389" s="2">
        <v>45185</v>
      </c>
      <c r="C389" t="s">
        <v>11</v>
      </c>
      <c r="D389" t="s">
        <v>17</v>
      </c>
      <c r="E389" t="s">
        <v>22</v>
      </c>
      <c r="F389">
        <v>4</v>
      </c>
      <c r="G389">
        <v>2554</v>
      </c>
      <c r="H389">
        <v>10216</v>
      </c>
      <c r="I389">
        <f t="shared" si="6"/>
        <v>10216</v>
      </c>
    </row>
    <row r="390" spans="1:9" x14ac:dyDescent="0.3">
      <c r="A390">
        <v>10389</v>
      </c>
      <c r="B390" s="2">
        <v>45102</v>
      </c>
      <c r="C390" t="s">
        <v>13</v>
      </c>
      <c r="D390" t="s">
        <v>15</v>
      </c>
      <c r="E390" t="s">
        <v>22</v>
      </c>
      <c r="F390">
        <v>15</v>
      </c>
      <c r="G390">
        <v>10081</v>
      </c>
      <c r="H390">
        <v>151215</v>
      </c>
      <c r="I390">
        <f t="shared" si="6"/>
        <v>151215</v>
      </c>
    </row>
    <row r="391" spans="1:9" x14ac:dyDescent="0.3">
      <c r="A391">
        <v>10390</v>
      </c>
      <c r="B391" s="2">
        <v>45076</v>
      </c>
      <c r="C391" t="s">
        <v>13</v>
      </c>
      <c r="D391" t="s">
        <v>17</v>
      </c>
      <c r="E391" t="s">
        <v>19</v>
      </c>
      <c r="F391">
        <v>11</v>
      </c>
      <c r="G391">
        <v>21046</v>
      </c>
      <c r="H391">
        <v>231506</v>
      </c>
      <c r="I391">
        <f t="shared" si="6"/>
        <v>231506</v>
      </c>
    </row>
    <row r="392" spans="1:9" x14ac:dyDescent="0.3">
      <c r="A392">
        <v>10391</v>
      </c>
      <c r="B392" s="2">
        <v>45246</v>
      </c>
      <c r="C392" t="s">
        <v>12</v>
      </c>
      <c r="D392" t="s">
        <v>16</v>
      </c>
      <c r="E392" t="s">
        <v>23</v>
      </c>
      <c r="F392">
        <v>4</v>
      </c>
      <c r="G392">
        <v>59935</v>
      </c>
      <c r="H392">
        <v>239740</v>
      </c>
      <c r="I392">
        <f t="shared" si="6"/>
        <v>239740</v>
      </c>
    </row>
    <row r="393" spans="1:9" x14ac:dyDescent="0.3">
      <c r="A393">
        <v>10392</v>
      </c>
      <c r="B393" s="2">
        <v>45019</v>
      </c>
      <c r="C393" t="s">
        <v>8</v>
      </c>
      <c r="D393" t="s">
        <v>18</v>
      </c>
      <c r="E393" t="s">
        <v>22</v>
      </c>
      <c r="F393">
        <v>5</v>
      </c>
      <c r="G393">
        <v>16875</v>
      </c>
      <c r="H393">
        <v>84375</v>
      </c>
      <c r="I393">
        <f t="shared" si="6"/>
        <v>84375</v>
      </c>
    </row>
    <row r="394" spans="1:9" x14ac:dyDescent="0.3">
      <c r="A394">
        <v>10393</v>
      </c>
      <c r="B394" s="2">
        <v>45256</v>
      </c>
      <c r="C394" t="s">
        <v>14</v>
      </c>
      <c r="D394" t="s">
        <v>17</v>
      </c>
      <c r="E394" t="s">
        <v>24</v>
      </c>
      <c r="F394">
        <v>8</v>
      </c>
      <c r="G394">
        <v>38019</v>
      </c>
      <c r="H394">
        <v>304152</v>
      </c>
      <c r="I394">
        <f t="shared" si="6"/>
        <v>304152</v>
      </c>
    </row>
    <row r="395" spans="1:9" x14ac:dyDescent="0.3">
      <c r="A395">
        <v>10394</v>
      </c>
      <c r="B395" s="2">
        <v>45005</v>
      </c>
      <c r="C395" t="s">
        <v>10</v>
      </c>
      <c r="D395" t="s">
        <v>18</v>
      </c>
      <c r="E395" t="s">
        <v>20</v>
      </c>
      <c r="F395">
        <v>12</v>
      </c>
      <c r="G395">
        <v>44973</v>
      </c>
      <c r="H395">
        <v>539676</v>
      </c>
      <c r="I395">
        <f t="shared" si="6"/>
        <v>539676</v>
      </c>
    </row>
    <row r="396" spans="1:9" x14ac:dyDescent="0.3">
      <c r="A396">
        <v>10395</v>
      </c>
      <c r="B396" s="2">
        <v>45003</v>
      </c>
      <c r="C396" t="s">
        <v>14</v>
      </c>
      <c r="D396" t="s">
        <v>17</v>
      </c>
      <c r="E396" t="s">
        <v>19</v>
      </c>
      <c r="F396">
        <v>7</v>
      </c>
      <c r="G396">
        <v>14814</v>
      </c>
      <c r="H396">
        <v>103698</v>
      </c>
      <c r="I396">
        <f t="shared" si="6"/>
        <v>103698</v>
      </c>
    </row>
    <row r="397" spans="1:9" x14ac:dyDescent="0.3">
      <c r="A397">
        <v>10396</v>
      </c>
      <c r="B397" s="2">
        <v>44953</v>
      </c>
      <c r="C397" t="s">
        <v>10</v>
      </c>
      <c r="D397" t="s">
        <v>18</v>
      </c>
      <c r="E397" t="s">
        <v>21</v>
      </c>
      <c r="F397">
        <v>8</v>
      </c>
      <c r="G397">
        <v>16433</v>
      </c>
      <c r="H397">
        <v>131464</v>
      </c>
      <c r="I397">
        <f t="shared" si="6"/>
        <v>131464</v>
      </c>
    </row>
    <row r="398" spans="1:9" x14ac:dyDescent="0.3">
      <c r="A398">
        <v>10397</v>
      </c>
      <c r="B398" s="2">
        <v>45193</v>
      </c>
      <c r="C398" t="s">
        <v>11</v>
      </c>
      <c r="D398" t="s">
        <v>16</v>
      </c>
      <c r="E398" t="s">
        <v>23</v>
      </c>
      <c r="F398">
        <v>19</v>
      </c>
      <c r="G398">
        <v>21953</v>
      </c>
      <c r="H398">
        <v>417107</v>
      </c>
      <c r="I398">
        <f t="shared" si="6"/>
        <v>417107</v>
      </c>
    </row>
    <row r="399" spans="1:9" x14ac:dyDescent="0.3">
      <c r="A399">
        <v>10398</v>
      </c>
      <c r="B399" s="2">
        <v>45161</v>
      </c>
      <c r="C399" t="s">
        <v>8</v>
      </c>
      <c r="D399" t="s">
        <v>15</v>
      </c>
      <c r="E399" t="s">
        <v>19</v>
      </c>
      <c r="F399">
        <v>19</v>
      </c>
      <c r="G399">
        <v>14332</v>
      </c>
      <c r="H399">
        <v>272308</v>
      </c>
      <c r="I399">
        <f t="shared" si="6"/>
        <v>272308</v>
      </c>
    </row>
    <row r="400" spans="1:9" x14ac:dyDescent="0.3">
      <c r="A400">
        <v>10399</v>
      </c>
      <c r="B400" s="2">
        <v>45156</v>
      </c>
      <c r="C400" t="s">
        <v>10</v>
      </c>
      <c r="D400" t="s">
        <v>17</v>
      </c>
      <c r="E400" t="s">
        <v>19</v>
      </c>
      <c r="F400">
        <v>6</v>
      </c>
      <c r="G400">
        <v>48957</v>
      </c>
      <c r="H400">
        <v>293742</v>
      </c>
      <c r="I400">
        <f t="shared" si="6"/>
        <v>293742</v>
      </c>
    </row>
    <row r="401" spans="1:9" x14ac:dyDescent="0.3">
      <c r="A401">
        <v>10400</v>
      </c>
      <c r="B401" s="2">
        <v>45098</v>
      </c>
      <c r="C401" t="s">
        <v>11</v>
      </c>
      <c r="D401" t="s">
        <v>17</v>
      </c>
      <c r="E401" t="s">
        <v>24</v>
      </c>
      <c r="F401">
        <v>4</v>
      </c>
      <c r="G401">
        <v>20388</v>
      </c>
      <c r="H401">
        <v>81552</v>
      </c>
      <c r="I401">
        <f t="shared" si="6"/>
        <v>81552</v>
      </c>
    </row>
    <row r="402" spans="1:9" x14ac:dyDescent="0.3">
      <c r="A402">
        <v>10401</v>
      </c>
      <c r="B402" s="2">
        <v>45015</v>
      </c>
      <c r="C402" t="s">
        <v>11</v>
      </c>
      <c r="D402" t="s">
        <v>15</v>
      </c>
      <c r="E402" t="s">
        <v>23</v>
      </c>
      <c r="F402">
        <v>2</v>
      </c>
      <c r="G402">
        <v>29616</v>
      </c>
      <c r="H402">
        <v>59232</v>
      </c>
      <c r="I402">
        <f t="shared" si="6"/>
        <v>59232</v>
      </c>
    </row>
    <row r="403" spans="1:9" x14ac:dyDescent="0.3">
      <c r="A403">
        <v>10402</v>
      </c>
      <c r="B403" s="2">
        <v>45043</v>
      </c>
      <c r="C403" t="s">
        <v>11</v>
      </c>
      <c r="D403" t="s">
        <v>18</v>
      </c>
      <c r="E403" t="s">
        <v>23</v>
      </c>
      <c r="F403">
        <v>18</v>
      </c>
      <c r="G403">
        <v>5308</v>
      </c>
      <c r="H403">
        <v>95544</v>
      </c>
      <c r="I403">
        <f t="shared" si="6"/>
        <v>95544</v>
      </c>
    </row>
    <row r="404" spans="1:9" x14ac:dyDescent="0.3">
      <c r="A404">
        <v>10403</v>
      </c>
      <c r="B404" s="2">
        <v>45283</v>
      </c>
      <c r="C404" t="s">
        <v>9</v>
      </c>
      <c r="D404" t="s">
        <v>18</v>
      </c>
      <c r="E404" t="s">
        <v>19</v>
      </c>
      <c r="F404">
        <v>11</v>
      </c>
      <c r="G404">
        <v>49622</v>
      </c>
      <c r="H404">
        <v>545842</v>
      </c>
      <c r="I404">
        <f t="shared" si="6"/>
        <v>545842</v>
      </c>
    </row>
    <row r="405" spans="1:9" x14ac:dyDescent="0.3">
      <c r="A405">
        <v>10404</v>
      </c>
      <c r="B405" s="2">
        <v>45066</v>
      </c>
      <c r="C405" t="s">
        <v>9</v>
      </c>
      <c r="D405" t="s">
        <v>16</v>
      </c>
      <c r="E405" t="s">
        <v>23</v>
      </c>
      <c r="F405">
        <v>16</v>
      </c>
      <c r="G405">
        <v>6631</v>
      </c>
      <c r="H405">
        <v>106096</v>
      </c>
      <c r="I405">
        <f t="shared" si="6"/>
        <v>106096</v>
      </c>
    </row>
    <row r="406" spans="1:9" x14ac:dyDescent="0.3">
      <c r="A406">
        <v>10405</v>
      </c>
      <c r="B406" s="2">
        <v>45012</v>
      </c>
      <c r="C406" t="s">
        <v>11</v>
      </c>
      <c r="D406" t="s">
        <v>16</v>
      </c>
      <c r="E406" t="s">
        <v>21</v>
      </c>
      <c r="F406">
        <v>14</v>
      </c>
      <c r="G406">
        <v>18031</v>
      </c>
      <c r="H406">
        <v>252434</v>
      </c>
      <c r="I406">
        <f t="shared" si="6"/>
        <v>252434</v>
      </c>
    </row>
    <row r="407" spans="1:9" x14ac:dyDescent="0.3">
      <c r="A407">
        <v>10406</v>
      </c>
      <c r="B407" s="2">
        <v>45171</v>
      </c>
      <c r="C407" t="s">
        <v>8</v>
      </c>
      <c r="D407" t="s">
        <v>17</v>
      </c>
      <c r="E407" t="s">
        <v>21</v>
      </c>
      <c r="F407">
        <v>5</v>
      </c>
      <c r="G407">
        <v>20986</v>
      </c>
      <c r="H407">
        <v>104930</v>
      </c>
      <c r="I407">
        <f t="shared" si="6"/>
        <v>104930</v>
      </c>
    </row>
    <row r="408" spans="1:9" x14ac:dyDescent="0.3">
      <c r="A408">
        <v>10407</v>
      </c>
      <c r="B408" s="2">
        <v>44968</v>
      </c>
      <c r="C408" t="s">
        <v>11</v>
      </c>
      <c r="D408" t="s">
        <v>15</v>
      </c>
      <c r="E408" t="s">
        <v>19</v>
      </c>
      <c r="F408">
        <v>5</v>
      </c>
      <c r="G408">
        <v>15342</v>
      </c>
      <c r="H408">
        <v>76710</v>
      </c>
      <c r="I408">
        <f t="shared" si="6"/>
        <v>76710</v>
      </c>
    </row>
    <row r="409" spans="1:9" x14ac:dyDescent="0.3">
      <c r="A409">
        <v>10408</v>
      </c>
      <c r="B409" s="2">
        <v>45109</v>
      </c>
      <c r="C409" t="s">
        <v>13</v>
      </c>
      <c r="D409" t="s">
        <v>17</v>
      </c>
      <c r="E409" t="s">
        <v>22</v>
      </c>
      <c r="F409">
        <v>4</v>
      </c>
      <c r="G409">
        <v>52066</v>
      </c>
      <c r="H409">
        <v>208264</v>
      </c>
      <c r="I409">
        <f t="shared" si="6"/>
        <v>208264</v>
      </c>
    </row>
    <row r="410" spans="1:9" x14ac:dyDescent="0.3">
      <c r="A410">
        <v>10409</v>
      </c>
      <c r="B410" s="2">
        <v>45234</v>
      </c>
      <c r="C410" t="s">
        <v>14</v>
      </c>
      <c r="D410" t="s">
        <v>18</v>
      </c>
      <c r="E410" t="s">
        <v>19</v>
      </c>
      <c r="F410">
        <v>12</v>
      </c>
      <c r="G410">
        <v>59794</v>
      </c>
      <c r="H410">
        <v>717528</v>
      </c>
      <c r="I410">
        <f t="shared" si="6"/>
        <v>717528</v>
      </c>
    </row>
    <row r="411" spans="1:9" x14ac:dyDescent="0.3">
      <c r="A411">
        <v>10410</v>
      </c>
      <c r="B411" s="2">
        <v>45013</v>
      </c>
      <c r="C411" t="s">
        <v>12</v>
      </c>
      <c r="D411" t="s">
        <v>17</v>
      </c>
      <c r="E411" t="s">
        <v>22</v>
      </c>
      <c r="F411">
        <v>2</v>
      </c>
      <c r="G411">
        <v>12111</v>
      </c>
      <c r="H411">
        <v>24222</v>
      </c>
      <c r="I411">
        <f t="shared" si="6"/>
        <v>24222</v>
      </c>
    </row>
    <row r="412" spans="1:9" x14ac:dyDescent="0.3">
      <c r="A412">
        <v>10411</v>
      </c>
      <c r="B412" s="2">
        <v>45180</v>
      </c>
      <c r="C412" t="s">
        <v>9</v>
      </c>
      <c r="D412" t="s">
        <v>18</v>
      </c>
      <c r="E412" t="s">
        <v>20</v>
      </c>
      <c r="F412">
        <v>7</v>
      </c>
      <c r="G412">
        <v>30944</v>
      </c>
      <c r="H412">
        <v>216608</v>
      </c>
      <c r="I412">
        <f t="shared" si="6"/>
        <v>216608</v>
      </c>
    </row>
    <row r="413" spans="1:9" x14ac:dyDescent="0.3">
      <c r="A413">
        <v>10412</v>
      </c>
      <c r="B413" s="2">
        <v>45093</v>
      </c>
      <c r="C413" t="s">
        <v>12</v>
      </c>
      <c r="D413" t="s">
        <v>16</v>
      </c>
      <c r="E413" t="s">
        <v>23</v>
      </c>
      <c r="F413">
        <v>15</v>
      </c>
      <c r="G413">
        <v>21990</v>
      </c>
      <c r="H413">
        <v>329850</v>
      </c>
      <c r="I413">
        <f t="shared" si="6"/>
        <v>329850</v>
      </c>
    </row>
    <row r="414" spans="1:9" x14ac:dyDescent="0.3">
      <c r="A414">
        <v>10413</v>
      </c>
      <c r="B414" s="2">
        <v>45014</v>
      </c>
      <c r="C414" t="s">
        <v>10</v>
      </c>
      <c r="D414" t="s">
        <v>17</v>
      </c>
      <c r="E414" t="s">
        <v>22</v>
      </c>
      <c r="F414">
        <v>7</v>
      </c>
      <c r="G414">
        <v>8881</v>
      </c>
      <c r="H414">
        <v>62167</v>
      </c>
      <c r="I414">
        <f t="shared" si="6"/>
        <v>62167</v>
      </c>
    </row>
    <row r="415" spans="1:9" x14ac:dyDescent="0.3">
      <c r="A415">
        <v>10414</v>
      </c>
      <c r="B415" s="2">
        <v>45110</v>
      </c>
      <c r="C415" t="s">
        <v>8</v>
      </c>
      <c r="D415" t="s">
        <v>16</v>
      </c>
      <c r="E415" t="s">
        <v>22</v>
      </c>
      <c r="F415">
        <v>14</v>
      </c>
      <c r="G415">
        <v>8471</v>
      </c>
      <c r="H415">
        <v>118594</v>
      </c>
      <c r="I415">
        <f t="shared" si="6"/>
        <v>118594</v>
      </c>
    </row>
    <row r="416" spans="1:9" x14ac:dyDescent="0.3">
      <c r="A416">
        <v>10415</v>
      </c>
      <c r="B416" s="2">
        <v>44994</v>
      </c>
      <c r="C416" t="s">
        <v>9</v>
      </c>
      <c r="D416" t="s">
        <v>15</v>
      </c>
      <c r="E416" t="s">
        <v>24</v>
      </c>
      <c r="F416">
        <v>10</v>
      </c>
      <c r="G416">
        <v>50974</v>
      </c>
      <c r="H416">
        <v>509740</v>
      </c>
      <c r="I416">
        <f t="shared" si="6"/>
        <v>509740</v>
      </c>
    </row>
    <row r="417" spans="1:9" x14ac:dyDescent="0.3">
      <c r="A417">
        <v>10416</v>
      </c>
      <c r="B417" s="2">
        <v>45174</v>
      </c>
      <c r="C417" t="s">
        <v>11</v>
      </c>
      <c r="D417" t="s">
        <v>16</v>
      </c>
      <c r="E417" t="s">
        <v>24</v>
      </c>
      <c r="F417">
        <v>16</v>
      </c>
      <c r="G417">
        <v>11554</v>
      </c>
      <c r="H417">
        <v>184864</v>
      </c>
      <c r="I417">
        <f t="shared" si="6"/>
        <v>184864</v>
      </c>
    </row>
    <row r="418" spans="1:9" x14ac:dyDescent="0.3">
      <c r="A418">
        <v>10417</v>
      </c>
      <c r="B418" s="2">
        <v>45267</v>
      </c>
      <c r="C418" t="s">
        <v>14</v>
      </c>
      <c r="D418" t="s">
        <v>17</v>
      </c>
      <c r="E418" t="s">
        <v>21</v>
      </c>
      <c r="F418">
        <v>17</v>
      </c>
      <c r="G418">
        <v>45116</v>
      </c>
      <c r="H418">
        <v>766972</v>
      </c>
      <c r="I418">
        <f t="shared" si="6"/>
        <v>766972</v>
      </c>
    </row>
    <row r="419" spans="1:9" x14ac:dyDescent="0.3">
      <c r="A419">
        <v>10418</v>
      </c>
      <c r="B419" s="2">
        <v>45204</v>
      </c>
      <c r="C419" t="s">
        <v>10</v>
      </c>
      <c r="D419" t="s">
        <v>18</v>
      </c>
      <c r="E419" t="s">
        <v>23</v>
      </c>
      <c r="F419">
        <v>4</v>
      </c>
      <c r="G419">
        <v>58461</v>
      </c>
      <c r="H419">
        <v>233844</v>
      </c>
      <c r="I419">
        <f t="shared" si="6"/>
        <v>233844</v>
      </c>
    </row>
    <row r="420" spans="1:9" x14ac:dyDescent="0.3">
      <c r="A420">
        <v>10419</v>
      </c>
      <c r="B420" s="2">
        <v>45245</v>
      </c>
      <c r="C420" t="s">
        <v>11</v>
      </c>
      <c r="D420" t="s">
        <v>17</v>
      </c>
      <c r="E420" t="s">
        <v>22</v>
      </c>
      <c r="F420">
        <v>9</v>
      </c>
      <c r="G420">
        <v>25460</v>
      </c>
      <c r="H420">
        <v>229140</v>
      </c>
      <c r="I420">
        <f t="shared" si="6"/>
        <v>229140</v>
      </c>
    </row>
    <row r="421" spans="1:9" x14ac:dyDescent="0.3">
      <c r="A421">
        <v>10420</v>
      </c>
      <c r="B421" s="2">
        <v>44943</v>
      </c>
      <c r="C421" t="s">
        <v>11</v>
      </c>
      <c r="D421" t="s">
        <v>18</v>
      </c>
      <c r="E421" t="s">
        <v>23</v>
      </c>
      <c r="F421">
        <v>7</v>
      </c>
      <c r="G421">
        <v>2830</v>
      </c>
      <c r="H421">
        <v>19810</v>
      </c>
      <c r="I421">
        <f t="shared" si="6"/>
        <v>19810</v>
      </c>
    </row>
    <row r="422" spans="1:9" x14ac:dyDescent="0.3">
      <c r="A422">
        <v>10421</v>
      </c>
      <c r="B422" s="2">
        <v>45064</v>
      </c>
      <c r="C422" t="s">
        <v>10</v>
      </c>
      <c r="D422" t="s">
        <v>15</v>
      </c>
      <c r="E422" t="s">
        <v>21</v>
      </c>
      <c r="F422">
        <v>19</v>
      </c>
      <c r="G422">
        <v>9052</v>
      </c>
      <c r="H422">
        <v>171988</v>
      </c>
      <c r="I422">
        <f t="shared" si="6"/>
        <v>171988</v>
      </c>
    </row>
    <row r="423" spans="1:9" x14ac:dyDescent="0.3">
      <c r="A423">
        <v>10422</v>
      </c>
      <c r="B423" s="2">
        <v>45040</v>
      </c>
      <c r="C423" t="s">
        <v>12</v>
      </c>
      <c r="D423" t="s">
        <v>18</v>
      </c>
      <c r="E423" t="s">
        <v>22</v>
      </c>
      <c r="F423">
        <v>17</v>
      </c>
      <c r="G423">
        <v>47836</v>
      </c>
      <c r="H423">
        <v>813212</v>
      </c>
      <c r="I423">
        <f t="shared" si="6"/>
        <v>813212</v>
      </c>
    </row>
    <row r="424" spans="1:9" x14ac:dyDescent="0.3">
      <c r="A424">
        <v>10423</v>
      </c>
      <c r="B424" s="2">
        <v>45007</v>
      </c>
      <c r="C424" t="s">
        <v>11</v>
      </c>
      <c r="D424" t="s">
        <v>17</v>
      </c>
      <c r="E424" t="s">
        <v>20</v>
      </c>
      <c r="F424">
        <v>17</v>
      </c>
      <c r="G424">
        <v>51811</v>
      </c>
      <c r="H424">
        <v>880787</v>
      </c>
      <c r="I424">
        <f t="shared" si="6"/>
        <v>880787</v>
      </c>
    </row>
    <row r="425" spans="1:9" x14ac:dyDescent="0.3">
      <c r="A425">
        <v>10424</v>
      </c>
      <c r="B425" s="2">
        <v>45004</v>
      </c>
      <c r="C425" t="s">
        <v>8</v>
      </c>
      <c r="D425" t="s">
        <v>15</v>
      </c>
      <c r="E425" t="s">
        <v>19</v>
      </c>
      <c r="F425">
        <v>6</v>
      </c>
      <c r="G425">
        <v>36287</v>
      </c>
      <c r="H425">
        <v>217722</v>
      </c>
      <c r="I425">
        <f t="shared" si="6"/>
        <v>217722</v>
      </c>
    </row>
    <row r="426" spans="1:9" x14ac:dyDescent="0.3">
      <c r="A426">
        <v>10425</v>
      </c>
      <c r="B426" s="2">
        <v>45245</v>
      </c>
      <c r="C426" t="s">
        <v>8</v>
      </c>
      <c r="D426" t="s">
        <v>18</v>
      </c>
      <c r="E426" t="s">
        <v>20</v>
      </c>
      <c r="F426">
        <v>20</v>
      </c>
      <c r="G426">
        <v>11521</v>
      </c>
      <c r="H426">
        <v>230420</v>
      </c>
      <c r="I426">
        <f t="shared" si="6"/>
        <v>230420</v>
      </c>
    </row>
    <row r="427" spans="1:9" x14ac:dyDescent="0.3">
      <c r="A427">
        <v>10426</v>
      </c>
      <c r="B427" s="2">
        <v>45261</v>
      </c>
      <c r="C427" t="s">
        <v>8</v>
      </c>
      <c r="D427" t="s">
        <v>16</v>
      </c>
      <c r="E427" t="s">
        <v>19</v>
      </c>
      <c r="F427">
        <v>2</v>
      </c>
      <c r="G427">
        <v>27446</v>
      </c>
      <c r="H427">
        <v>54892</v>
      </c>
      <c r="I427">
        <f t="shared" si="6"/>
        <v>54892</v>
      </c>
    </row>
    <row r="428" spans="1:9" x14ac:dyDescent="0.3">
      <c r="A428">
        <v>10427</v>
      </c>
      <c r="B428" s="2">
        <v>45122</v>
      </c>
      <c r="C428" t="s">
        <v>8</v>
      </c>
      <c r="D428" t="s">
        <v>16</v>
      </c>
      <c r="E428" t="s">
        <v>21</v>
      </c>
      <c r="F428">
        <v>9</v>
      </c>
      <c r="G428">
        <v>34943</v>
      </c>
      <c r="H428">
        <v>314487</v>
      </c>
      <c r="I428">
        <f t="shared" si="6"/>
        <v>314487</v>
      </c>
    </row>
    <row r="429" spans="1:9" x14ac:dyDescent="0.3">
      <c r="A429">
        <v>10428</v>
      </c>
      <c r="B429" s="2">
        <v>45221</v>
      </c>
      <c r="C429" t="s">
        <v>12</v>
      </c>
      <c r="D429" t="s">
        <v>17</v>
      </c>
      <c r="E429" t="s">
        <v>21</v>
      </c>
      <c r="F429">
        <v>9</v>
      </c>
      <c r="G429">
        <v>29935</v>
      </c>
      <c r="H429">
        <v>269415</v>
      </c>
      <c r="I429">
        <f t="shared" si="6"/>
        <v>269415</v>
      </c>
    </row>
    <row r="430" spans="1:9" x14ac:dyDescent="0.3">
      <c r="A430">
        <v>10429</v>
      </c>
      <c r="B430" s="2">
        <v>45268</v>
      </c>
      <c r="C430" t="s">
        <v>10</v>
      </c>
      <c r="D430" t="s">
        <v>16</v>
      </c>
      <c r="E430" t="s">
        <v>23</v>
      </c>
      <c r="F430">
        <v>12</v>
      </c>
      <c r="G430">
        <v>16732</v>
      </c>
      <c r="H430">
        <v>200784</v>
      </c>
      <c r="I430">
        <f t="shared" si="6"/>
        <v>200784</v>
      </c>
    </row>
    <row r="431" spans="1:9" x14ac:dyDescent="0.3">
      <c r="A431">
        <v>10430</v>
      </c>
      <c r="B431" s="2">
        <v>45105</v>
      </c>
      <c r="C431" t="s">
        <v>13</v>
      </c>
      <c r="D431" t="s">
        <v>15</v>
      </c>
      <c r="E431" t="s">
        <v>23</v>
      </c>
      <c r="F431">
        <v>18</v>
      </c>
      <c r="G431">
        <v>39675</v>
      </c>
      <c r="H431">
        <v>714150</v>
      </c>
      <c r="I431">
        <f t="shared" si="6"/>
        <v>714150</v>
      </c>
    </row>
    <row r="432" spans="1:9" x14ac:dyDescent="0.3">
      <c r="A432">
        <v>10431</v>
      </c>
      <c r="B432" s="2">
        <v>45235</v>
      </c>
      <c r="C432" t="s">
        <v>13</v>
      </c>
      <c r="D432" t="s">
        <v>16</v>
      </c>
      <c r="E432" t="s">
        <v>22</v>
      </c>
      <c r="F432">
        <v>3</v>
      </c>
      <c r="G432">
        <v>54088</v>
      </c>
      <c r="H432">
        <v>162264</v>
      </c>
      <c r="I432">
        <f t="shared" si="6"/>
        <v>162264</v>
      </c>
    </row>
    <row r="433" spans="1:9" x14ac:dyDescent="0.3">
      <c r="A433">
        <v>10432</v>
      </c>
      <c r="B433" s="2">
        <v>45134</v>
      </c>
      <c r="C433" t="s">
        <v>10</v>
      </c>
      <c r="D433" t="s">
        <v>16</v>
      </c>
      <c r="E433" t="s">
        <v>24</v>
      </c>
      <c r="F433">
        <v>13</v>
      </c>
      <c r="G433">
        <v>59767</v>
      </c>
      <c r="H433">
        <v>776971</v>
      </c>
      <c r="I433">
        <f t="shared" si="6"/>
        <v>776971</v>
      </c>
    </row>
    <row r="434" spans="1:9" x14ac:dyDescent="0.3">
      <c r="A434">
        <v>10433</v>
      </c>
      <c r="B434" s="2">
        <v>44963</v>
      </c>
      <c r="C434" t="s">
        <v>11</v>
      </c>
      <c r="D434" t="s">
        <v>15</v>
      </c>
      <c r="E434" t="s">
        <v>19</v>
      </c>
      <c r="F434">
        <v>20</v>
      </c>
      <c r="G434">
        <v>8336</v>
      </c>
      <c r="H434">
        <v>166720</v>
      </c>
      <c r="I434">
        <f t="shared" si="6"/>
        <v>166720</v>
      </c>
    </row>
    <row r="435" spans="1:9" x14ac:dyDescent="0.3">
      <c r="A435">
        <v>10434</v>
      </c>
      <c r="B435" s="2">
        <v>44951</v>
      </c>
      <c r="C435" t="s">
        <v>12</v>
      </c>
      <c r="D435" t="s">
        <v>16</v>
      </c>
      <c r="E435" t="s">
        <v>23</v>
      </c>
      <c r="F435">
        <v>17</v>
      </c>
      <c r="G435">
        <v>36510</v>
      </c>
      <c r="H435">
        <v>620670</v>
      </c>
      <c r="I435">
        <f t="shared" si="6"/>
        <v>620670</v>
      </c>
    </row>
    <row r="436" spans="1:9" x14ac:dyDescent="0.3">
      <c r="A436">
        <v>10435</v>
      </c>
      <c r="B436" s="2">
        <v>45142</v>
      </c>
      <c r="C436" t="s">
        <v>8</v>
      </c>
      <c r="D436" t="s">
        <v>16</v>
      </c>
      <c r="E436" t="s">
        <v>22</v>
      </c>
      <c r="F436">
        <v>4</v>
      </c>
      <c r="G436">
        <v>11400</v>
      </c>
      <c r="H436">
        <v>45600</v>
      </c>
      <c r="I436">
        <f t="shared" si="6"/>
        <v>45600</v>
      </c>
    </row>
    <row r="437" spans="1:9" x14ac:dyDescent="0.3">
      <c r="A437">
        <v>10436</v>
      </c>
      <c r="B437" s="2">
        <v>45281</v>
      </c>
      <c r="C437" t="s">
        <v>11</v>
      </c>
      <c r="D437" t="s">
        <v>17</v>
      </c>
      <c r="E437" t="s">
        <v>23</v>
      </c>
      <c r="F437">
        <v>8</v>
      </c>
      <c r="G437">
        <v>57531</v>
      </c>
      <c r="H437">
        <v>460248</v>
      </c>
      <c r="I437">
        <f t="shared" si="6"/>
        <v>460248</v>
      </c>
    </row>
    <row r="438" spans="1:9" x14ac:dyDescent="0.3">
      <c r="A438">
        <v>10437</v>
      </c>
      <c r="B438" s="2">
        <v>44936</v>
      </c>
      <c r="C438" t="s">
        <v>8</v>
      </c>
      <c r="D438" t="s">
        <v>17</v>
      </c>
      <c r="E438" t="s">
        <v>23</v>
      </c>
      <c r="F438">
        <v>6</v>
      </c>
      <c r="G438">
        <v>33368</v>
      </c>
      <c r="H438">
        <v>200208</v>
      </c>
      <c r="I438">
        <f t="shared" si="6"/>
        <v>200208</v>
      </c>
    </row>
    <row r="439" spans="1:9" x14ac:dyDescent="0.3">
      <c r="A439">
        <v>10438</v>
      </c>
      <c r="B439" s="2">
        <v>45089</v>
      </c>
      <c r="C439" t="s">
        <v>9</v>
      </c>
      <c r="D439" t="s">
        <v>17</v>
      </c>
      <c r="E439" t="s">
        <v>21</v>
      </c>
      <c r="F439">
        <v>20</v>
      </c>
      <c r="G439">
        <v>29422</v>
      </c>
      <c r="H439">
        <v>588440</v>
      </c>
      <c r="I439">
        <f t="shared" si="6"/>
        <v>588440</v>
      </c>
    </row>
    <row r="440" spans="1:9" x14ac:dyDescent="0.3">
      <c r="A440">
        <v>10439</v>
      </c>
      <c r="B440" s="2">
        <v>44927</v>
      </c>
      <c r="C440" t="s">
        <v>8</v>
      </c>
      <c r="D440" t="s">
        <v>18</v>
      </c>
      <c r="E440" t="s">
        <v>24</v>
      </c>
      <c r="F440">
        <v>19</v>
      </c>
      <c r="G440">
        <v>23281</v>
      </c>
      <c r="H440">
        <v>442339</v>
      </c>
      <c r="I440">
        <f t="shared" si="6"/>
        <v>442339</v>
      </c>
    </row>
    <row r="441" spans="1:9" x14ac:dyDescent="0.3">
      <c r="A441">
        <v>10440</v>
      </c>
      <c r="B441" s="2">
        <v>45078</v>
      </c>
      <c r="C441" t="s">
        <v>8</v>
      </c>
      <c r="D441" t="s">
        <v>17</v>
      </c>
      <c r="E441" t="s">
        <v>19</v>
      </c>
      <c r="F441">
        <v>12</v>
      </c>
      <c r="G441">
        <v>49162</v>
      </c>
      <c r="H441">
        <v>589944</v>
      </c>
      <c r="I441">
        <f t="shared" si="6"/>
        <v>589944</v>
      </c>
    </row>
    <row r="442" spans="1:9" x14ac:dyDescent="0.3">
      <c r="A442">
        <v>10441</v>
      </c>
      <c r="B442" s="2">
        <v>45117</v>
      </c>
      <c r="C442" t="s">
        <v>8</v>
      </c>
      <c r="D442" t="s">
        <v>17</v>
      </c>
      <c r="E442" t="s">
        <v>21</v>
      </c>
      <c r="F442">
        <v>19</v>
      </c>
      <c r="G442">
        <v>10676</v>
      </c>
      <c r="H442">
        <v>202844</v>
      </c>
      <c r="I442">
        <f t="shared" si="6"/>
        <v>202844</v>
      </c>
    </row>
    <row r="443" spans="1:9" x14ac:dyDescent="0.3">
      <c r="A443">
        <v>10442</v>
      </c>
      <c r="B443" s="2">
        <v>45081</v>
      </c>
      <c r="C443" t="s">
        <v>9</v>
      </c>
      <c r="D443" t="s">
        <v>16</v>
      </c>
      <c r="E443" t="s">
        <v>19</v>
      </c>
      <c r="F443">
        <v>12</v>
      </c>
      <c r="G443">
        <v>51829</v>
      </c>
      <c r="H443">
        <v>621948</v>
      </c>
      <c r="I443">
        <f t="shared" si="6"/>
        <v>621948</v>
      </c>
    </row>
    <row r="444" spans="1:9" x14ac:dyDescent="0.3">
      <c r="A444">
        <v>10443</v>
      </c>
      <c r="B444" s="2">
        <v>45135</v>
      </c>
      <c r="C444" t="s">
        <v>11</v>
      </c>
      <c r="D444" t="s">
        <v>18</v>
      </c>
      <c r="E444" t="s">
        <v>20</v>
      </c>
      <c r="F444">
        <v>19</v>
      </c>
      <c r="G444">
        <v>49054</v>
      </c>
      <c r="H444">
        <v>932026</v>
      </c>
      <c r="I444">
        <f t="shared" si="6"/>
        <v>932026</v>
      </c>
    </row>
    <row r="445" spans="1:9" x14ac:dyDescent="0.3">
      <c r="A445">
        <v>10444</v>
      </c>
      <c r="B445" s="2">
        <v>44938</v>
      </c>
      <c r="C445" t="s">
        <v>12</v>
      </c>
      <c r="D445" t="s">
        <v>16</v>
      </c>
      <c r="E445" t="s">
        <v>20</v>
      </c>
      <c r="F445">
        <v>19</v>
      </c>
      <c r="G445">
        <v>958</v>
      </c>
      <c r="H445">
        <v>18202</v>
      </c>
      <c r="I445">
        <f t="shared" si="6"/>
        <v>18202</v>
      </c>
    </row>
    <row r="446" spans="1:9" x14ac:dyDescent="0.3">
      <c r="A446">
        <v>10445</v>
      </c>
      <c r="B446" s="2">
        <v>44985</v>
      </c>
      <c r="C446" t="s">
        <v>8</v>
      </c>
      <c r="D446" t="s">
        <v>18</v>
      </c>
      <c r="E446" t="s">
        <v>22</v>
      </c>
      <c r="F446">
        <v>16</v>
      </c>
      <c r="G446">
        <v>46382</v>
      </c>
      <c r="H446">
        <v>742112</v>
      </c>
      <c r="I446">
        <f t="shared" si="6"/>
        <v>742112</v>
      </c>
    </row>
    <row r="447" spans="1:9" x14ac:dyDescent="0.3">
      <c r="A447">
        <v>10446</v>
      </c>
      <c r="B447" s="2">
        <v>45134</v>
      </c>
      <c r="C447" t="s">
        <v>13</v>
      </c>
      <c r="D447" t="s">
        <v>18</v>
      </c>
      <c r="E447" t="s">
        <v>23</v>
      </c>
      <c r="F447">
        <v>3</v>
      </c>
      <c r="G447">
        <v>51474</v>
      </c>
      <c r="H447">
        <v>154422</v>
      </c>
      <c r="I447">
        <f t="shared" si="6"/>
        <v>154422</v>
      </c>
    </row>
    <row r="448" spans="1:9" x14ac:dyDescent="0.3">
      <c r="A448">
        <v>10447</v>
      </c>
      <c r="B448" s="2">
        <v>45003</v>
      </c>
      <c r="C448" t="s">
        <v>10</v>
      </c>
      <c r="D448" t="s">
        <v>18</v>
      </c>
      <c r="E448" t="s">
        <v>19</v>
      </c>
      <c r="F448">
        <v>19</v>
      </c>
      <c r="G448">
        <v>55270</v>
      </c>
      <c r="H448">
        <v>1050130</v>
      </c>
      <c r="I448">
        <f t="shared" si="6"/>
        <v>1050130</v>
      </c>
    </row>
    <row r="449" spans="1:9" x14ac:dyDescent="0.3">
      <c r="A449">
        <v>10448</v>
      </c>
      <c r="B449" s="2">
        <v>45056</v>
      </c>
      <c r="C449" t="s">
        <v>13</v>
      </c>
      <c r="D449" t="s">
        <v>17</v>
      </c>
      <c r="E449" t="s">
        <v>23</v>
      </c>
      <c r="F449">
        <v>14</v>
      </c>
      <c r="G449">
        <v>49936</v>
      </c>
      <c r="H449">
        <v>699104</v>
      </c>
      <c r="I449">
        <f t="shared" si="6"/>
        <v>699104</v>
      </c>
    </row>
    <row r="450" spans="1:9" x14ac:dyDescent="0.3">
      <c r="A450">
        <v>10449</v>
      </c>
      <c r="B450" s="2">
        <v>45031</v>
      </c>
      <c r="C450" t="s">
        <v>10</v>
      </c>
      <c r="D450" t="s">
        <v>17</v>
      </c>
      <c r="E450" t="s">
        <v>22</v>
      </c>
      <c r="F450">
        <v>20</v>
      </c>
      <c r="G450">
        <v>24355</v>
      </c>
      <c r="H450">
        <v>487100</v>
      </c>
      <c r="I450">
        <f t="shared" si="6"/>
        <v>487100</v>
      </c>
    </row>
    <row r="451" spans="1:9" x14ac:dyDescent="0.3">
      <c r="A451">
        <v>10450</v>
      </c>
      <c r="B451" s="2">
        <v>45163</v>
      </c>
      <c r="C451" t="s">
        <v>9</v>
      </c>
      <c r="D451" t="s">
        <v>17</v>
      </c>
      <c r="E451" t="s">
        <v>22</v>
      </c>
      <c r="F451">
        <v>1</v>
      </c>
      <c r="G451">
        <v>43842</v>
      </c>
      <c r="H451">
        <v>43842</v>
      </c>
      <c r="I451">
        <f t="shared" ref="I451:I514" si="7">G451*F451</f>
        <v>43842</v>
      </c>
    </row>
    <row r="452" spans="1:9" x14ac:dyDescent="0.3">
      <c r="A452">
        <v>10451</v>
      </c>
      <c r="B452" s="2">
        <v>45285</v>
      </c>
      <c r="C452" t="s">
        <v>12</v>
      </c>
      <c r="D452" t="s">
        <v>18</v>
      </c>
      <c r="E452" t="s">
        <v>21</v>
      </c>
      <c r="F452">
        <v>11</v>
      </c>
      <c r="G452">
        <v>31793</v>
      </c>
      <c r="H452">
        <v>349723</v>
      </c>
      <c r="I452">
        <f t="shared" si="7"/>
        <v>349723</v>
      </c>
    </row>
    <row r="453" spans="1:9" x14ac:dyDescent="0.3">
      <c r="A453">
        <v>10452</v>
      </c>
      <c r="B453" s="2">
        <v>45149</v>
      </c>
      <c r="C453" t="s">
        <v>14</v>
      </c>
      <c r="D453" t="s">
        <v>15</v>
      </c>
      <c r="E453" t="s">
        <v>19</v>
      </c>
      <c r="F453">
        <v>20</v>
      </c>
      <c r="G453">
        <v>8581</v>
      </c>
      <c r="H453">
        <v>171620</v>
      </c>
      <c r="I453">
        <f t="shared" si="7"/>
        <v>171620</v>
      </c>
    </row>
    <row r="454" spans="1:9" x14ac:dyDescent="0.3">
      <c r="A454">
        <v>10453</v>
      </c>
      <c r="B454" s="2">
        <v>44999</v>
      </c>
      <c r="C454" t="s">
        <v>12</v>
      </c>
      <c r="D454" t="s">
        <v>15</v>
      </c>
      <c r="E454" t="s">
        <v>23</v>
      </c>
      <c r="F454">
        <v>20</v>
      </c>
      <c r="G454">
        <v>3783</v>
      </c>
      <c r="H454">
        <v>75660</v>
      </c>
      <c r="I454">
        <f t="shared" si="7"/>
        <v>75660</v>
      </c>
    </row>
    <row r="455" spans="1:9" x14ac:dyDescent="0.3">
      <c r="A455">
        <v>10454</v>
      </c>
      <c r="B455" s="2">
        <v>45038</v>
      </c>
      <c r="C455" t="s">
        <v>9</v>
      </c>
      <c r="D455" t="s">
        <v>17</v>
      </c>
      <c r="E455" t="s">
        <v>23</v>
      </c>
      <c r="F455">
        <v>2</v>
      </c>
      <c r="G455">
        <v>42723</v>
      </c>
      <c r="H455">
        <v>85446</v>
      </c>
      <c r="I455">
        <f t="shared" si="7"/>
        <v>85446</v>
      </c>
    </row>
    <row r="456" spans="1:9" x14ac:dyDescent="0.3">
      <c r="A456">
        <v>10455</v>
      </c>
      <c r="B456" s="2">
        <v>45082</v>
      </c>
      <c r="C456" t="s">
        <v>10</v>
      </c>
      <c r="D456" t="s">
        <v>18</v>
      </c>
      <c r="E456" t="s">
        <v>22</v>
      </c>
      <c r="F456">
        <v>20</v>
      </c>
      <c r="G456">
        <v>19493</v>
      </c>
      <c r="H456">
        <v>389860</v>
      </c>
      <c r="I456">
        <f t="shared" si="7"/>
        <v>389860</v>
      </c>
    </row>
    <row r="457" spans="1:9" x14ac:dyDescent="0.3">
      <c r="A457">
        <v>10456</v>
      </c>
      <c r="B457" s="2">
        <v>45233</v>
      </c>
      <c r="C457" t="s">
        <v>11</v>
      </c>
      <c r="D457" t="s">
        <v>16</v>
      </c>
      <c r="E457" t="s">
        <v>20</v>
      </c>
      <c r="F457">
        <v>13</v>
      </c>
      <c r="G457">
        <v>51457</v>
      </c>
      <c r="H457">
        <v>668941</v>
      </c>
      <c r="I457">
        <f t="shared" si="7"/>
        <v>668941</v>
      </c>
    </row>
    <row r="458" spans="1:9" x14ac:dyDescent="0.3">
      <c r="A458">
        <v>10457</v>
      </c>
      <c r="B458" s="2">
        <v>45208</v>
      </c>
      <c r="C458" t="s">
        <v>10</v>
      </c>
      <c r="D458" t="s">
        <v>15</v>
      </c>
      <c r="E458" t="s">
        <v>19</v>
      </c>
      <c r="F458">
        <v>7</v>
      </c>
      <c r="G458">
        <v>31193</v>
      </c>
      <c r="H458">
        <v>218351</v>
      </c>
      <c r="I458">
        <f t="shared" si="7"/>
        <v>218351</v>
      </c>
    </row>
    <row r="459" spans="1:9" x14ac:dyDescent="0.3">
      <c r="A459">
        <v>10458</v>
      </c>
      <c r="B459" s="2">
        <v>45138</v>
      </c>
      <c r="C459" t="s">
        <v>13</v>
      </c>
      <c r="D459" t="s">
        <v>18</v>
      </c>
      <c r="E459" t="s">
        <v>24</v>
      </c>
      <c r="F459">
        <v>8</v>
      </c>
      <c r="G459">
        <v>58679</v>
      </c>
      <c r="H459">
        <v>469432</v>
      </c>
      <c r="I459">
        <f t="shared" si="7"/>
        <v>469432</v>
      </c>
    </row>
    <row r="460" spans="1:9" x14ac:dyDescent="0.3">
      <c r="A460">
        <v>10459</v>
      </c>
      <c r="B460" s="2">
        <v>44964</v>
      </c>
      <c r="C460" t="s">
        <v>11</v>
      </c>
      <c r="D460" t="s">
        <v>15</v>
      </c>
      <c r="E460" t="s">
        <v>22</v>
      </c>
      <c r="F460">
        <v>2</v>
      </c>
      <c r="G460">
        <v>30421</v>
      </c>
      <c r="H460">
        <v>60842</v>
      </c>
      <c r="I460">
        <f t="shared" si="7"/>
        <v>60842</v>
      </c>
    </row>
    <row r="461" spans="1:9" x14ac:dyDescent="0.3">
      <c r="A461">
        <v>10460</v>
      </c>
      <c r="B461" s="2">
        <v>45009</v>
      </c>
      <c r="C461" t="s">
        <v>8</v>
      </c>
      <c r="D461" t="s">
        <v>18</v>
      </c>
      <c r="E461" t="s">
        <v>22</v>
      </c>
      <c r="F461">
        <v>6</v>
      </c>
      <c r="G461">
        <v>32693</v>
      </c>
      <c r="H461">
        <v>196158</v>
      </c>
      <c r="I461">
        <f t="shared" si="7"/>
        <v>196158</v>
      </c>
    </row>
    <row r="462" spans="1:9" x14ac:dyDescent="0.3">
      <c r="A462">
        <v>10461</v>
      </c>
      <c r="B462" s="2">
        <v>45069</v>
      </c>
      <c r="C462" t="s">
        <v>11</v>
      </c>
      <c r="D462" t="s">
        <v>17</v>
      </c>
      <c r="E462" t="s">
        <v>24</v>
      </c>
      <c r="F462">
        <v>19</v>
      </c>
      <c r="G462">
        <v>35847</v>
      </c>
      <c r="H462">
        <v>681093</v>
      </c>
      <c r="I462">
        <f t="shared" si="7"/>
        <v>681093</v>
      </c>
    </row>
    <row r="463" spans="1:9" x14ac:dyDescent="0.3">
      <c r="A463">
        <v>10462</v>
      </c>
      <c r="B463" s="2">
        <v>45098</v>
      </c>
      <c r="C463" t="s">
        <v>11</v>
      </c>
      <c r="D463" t="s">
        <v>18</v>
      </c>
      <c r="E463" t="s">
        <v>21</v>
      </c>
      <c r="F463">
        <v>14</v>
      </c>
      <c r="G463">
        <v>47804</v>
      </c>
      <c r="H463">
        <v>669256</v>
      </c>
      <c r="I463">
        <f t="shared" si="7"/>
        <v>669256</v>
      </c>
    </row>
    <row r="464" spans="1:9" x14ac:dyDescent="0.3">
      <c r="A464">
        <v>10463</v>
      </c>
      <c r="B464" s="2">
        <v>44946</v>
      </c>
      <c r="C464" t="s">
        <v>8</v>
      </c>
      <c r="D464" t="s">
        <v>16</v>
      </c>
      <c r="E464" t="s">
        <v>19</v>
      </c>
      <c r="F464">
        <v>18</v>
      </c>
      <c r="G464">
        <v>19397</v>
      </c>
      <c r="H464">
        <v>349146</v>
      </c>
      <c r="I464">
        <f t="shared" si="7"/>
        <v>349146</v>
      </c>
    </row>
    <row r="465" spans="1:9" x14ac:dyDescent="0.3">
      <c r="A465">
        <v>10464</v>
      </c>
      <c r="B465" s="2">
        <v>44993</v>
      </c>
      <c r="C465" t="s">
        <v>9</v>
      </c>
      <c r="D465" t="s">
        <v>18</v>
      </c>
      <c r="E465" t="s">
        <v>19</v>
      </c>
      <c r="F465">
        <v>10</v>
      </c>
      <c r="G465">
        <v>48669</v>
      </c>
      <c r="H465">
        <v>486690</v>
      </c>
      <c r="I465">
        <f t="shared" si="7"/>
        <v>486690</v>
      </c>
    </row>
    <row r="466" spans="1:9" x14ac:dyDescent="0.3">
      <c r="A466">
        <v>10465</v>
      </c>
      <c r="B466" s="2">
        <v>45198</v>
      </c>
      <c r="C466" t="s">
        <v>10</v>
      </c>
      <c r="D466" t="s">
        <v>16</v>
      </c>
      <c r="E466" t="s">
        <v>21</v>
      </c>
      <c r="F466">
        <v>18</v>
      </c>
      <c r="G466">
        <v>29970</v>
      </c>
      <c r="H466">
        <v>539460</v>
      </c>
      <c r="I466">
        <f t="shared" si="7"/>
        <v>539460</v>
      </c>
    </row>
    <row r="467" spans="1:9" x14ac:dyDescent="0.3">
      <c r="A467">
        <v>10466</v>
      </c>
      <c r="B467" s="2">
        <v>45106</v>
      </c>
      <c r="C467" t="s">
        <v>14</v>
      </c>
      <c r="D467" t="s">
        <v>17</v>
      </c>
      <c r="E467" t="s">
        <v>22</v>
      </c>
      <c r="F467">
        <v>13</v>
      </c>
      <c r="G467">
        <v>24698</v>
      </c>
      <c r="H467">
        <v>321074</v>
      </c>
      <c r="I467">
        <f t="shared" si="7"/>
        <v>321074</v>
      </c>
    </row>
    <row r="468" spans="1:9" x14ac:dyDescent="0.3">
      <c r="A468">
        <v>10467</v>
      </c>
      <c r="B468" s="2">
        <v>44958</v>
      </c>
      <c r="C468" t="s">
        <v>12</v>
      </c>
      <c r="D468" t="s">
        <v>17</v>
      </c>
      <c r="E468" t="s">
        <v>22</v>
      </c>
      <c r="F468">
        <v>5</v>
      </c>
      <c r="G468">
        <v>37459</v>
      </c>
      <c r="H468">
        <v>187295</v>
      </c>
      <c r="I468">
        <f t="shared" si="7"/>
        <v>187295</v>
      </c>
    </row>
    <row r="469" spans="1:9" x14ac:dyDescent="0.3">
      <c r="A469">
        <v>10468</v>
      </c>
      <c r="B469" s="2">
        <v>45189</v>
      </c>
      <c r="C469" t="s">
        <v>9</v>
      </c>
      <c r="D469" t="s">
        <v>18</v>
      </c>
      <c r="E469" t="s">
        <v>23</v>
      </c>
      <c r="F469">
        <v>12</v>
      </c>
      <c r="G469">
        <v>54732</v>
      </c>
      <c r="H469">
        <v>656784</v>
      </c>
      <c r="I469">
        <f t="shared" si="7"/>
        <v>656784</v>
      </c>
    </row>
    <row r="470" spans="1:9" x14ac:dyDescent="0.3">
      <c r="A470">
        <v>10469</v>
      </c>
      <c r="B470" s="2">
        <v>44963</v>
      </c>
      <c r="C470" t="s">
        <v>14</v>
      </c>
      <c r="D470" t="s">
        <v>15</v>
      </c>
      <c r="E470" t="s">
        <v>21</v>
      </c>
      <c r="F470">
        <v>1</v>
      </c>
      <c r="G470">
        <v>18798</v>
      </c>
      <c r="H470">
        <v>18798</v>
      </c>
      <c r="I470">
        <f t="shared" si="7"/>
        <v>18798</v>
      </c>
    </row>
    <row r="471" spans="1:9" x14ac:dyDescent="0.3">
      <c r="A471">
        <v>10470</v>
      </c>
      <c r="B471" s="2">
        <v>44960</v>
      </c>
      <c r="C471" t="s">
        <v>12</v>
      </c>
      <c r="D471" t="s">
        <v>15</v>
      </c>
      <c r="E471" t="s">
        <v>20</v>
      </c>
      <c r="F471">
        <v>14</v>
      </c>
      <c r="G471">
        <v>26755</v>
      </c>
      <c r="H471">
        <v>374570</v>
      </c>
      <c r="I471">
        <f t="shared" si="7"/>
        <v>374570</v>
      </c>
    </row>
    <row r="472" spans="1:9" x14ac:dyDescent="0.3">
      <c r="A472">
        <v>10471</v>
      </c>
      <c r="B472" s="2">
        <v>45202</v>
      </c>
      <c r="C472" t="s">
        <v>12</v>
      </c>
      <c r="D472" t="s">
        <v>18</v>
      </c>
      <c r="E472" t="s">
        <v>24</v>
      </c>
      <c r="F472">
        <v>10</v>
      </c>
      <c r="G472">
        <v>15774</v>
      </c>
      <c r="H472">
        <v>157740</v>
      </c>
      <c r="I472">
        <f t="shared" si="7"/>
        <v>157740</v>
      </c>
    </row>
    <row r="473" spans="1:9" x14ac:dyDescent="0.3">
      <c r="A473">
        <v>10472</v>
      </c>
      <c r="B473" s="2">
        <v>45131</v>
      </c>
      <c r="C473" t="s">
        <v>9</v>
      </c>
      <c r="D473" t="s">
        <v>16</v>
      </c>
      <c r="E473" t="s">
        <v>21</v>
      </c>
      <c r="F473">
        <v>3</v>
      </c>
      <c r="G473">
        <v>6604</v>
      </c>
      <c r="H473">
        <v>19812</v>
      </c>
      <c r="I473">
        <f t="shared" si="7"/>
        <v>19812</v>
      </c>
    </row>
    <row r="474" spans="1:9" x14ac:dyDescent="0.3">
      <c r="A474">
        <v>10473</v>
      </c>
      <c r="B474" s="2">
        <v>45252</v>
      </c>
      <c r="C474" t="s">
        <v>9</v>
      </c>
      <c r="D474" t="s">
        <v>18</v>
      </c>
      <c r="E474" t="s">
        <v>22</v>
      </c>
      <c r="F474">
        <v>10</v>
      </c>
      <c r="G474">
        <v>21766</v>
      </c>
      <c r="H474">
        <v>217660</v>
      </c>
      <c r="I474">
        <f t="shared" si="7"/>
        <v>217660</v>
      </c>
    </row>
    <row r="475" spans="1:9" x14ac:dyDescent="0.3">
      <c r="A475">
        <v>10474</v>
      </c>
      <c r="B475" s="2">
        <v>45130</v>
      </c>
      <c r="C475" t="s">
        <v>9</v>
      </c>
      <c r="D475" t="s">
        <v>17</v>
      </c>
      <c r="E475" t="s">
        <v>23</v>
      </c>
      <c r="F475">
        <v>15</v>
      </c>
      <c r="G475">
        <v>26991</v>
      </c>
      <c r="H475">
        <v>404865</v>
      </c>
      <c r="I475">
        <f t="shared" si="7"/>
        <v>404865</v>
      </c>
    </row>
    <row r="476" spans="1:9" x14ac:dyDescent="0.3">
      <c r="A476">
        <v>10475</v>
      </c>
      <c r="B476" s="2">
        <v>45251</v>
      </c>
      <c r="C476" t="s">
        <v>10</v>
      </c>
      <c r="D476" t="s">
        <v>18</v>
      </c>
      <c r="E476" t="s">
        <v>24</v>
      </c>
      <c r="F476">
        <v>4</v>
      </c>
      <c r="G476">
        <v>50221</v>
      </c>
      <c r="H476">
        <v>200884</v>
      </c>
      <c r="I476">
        <f t="shared" si="7"/>
        <v>200884</v>
      </c>
    </row>
    <row r="477" spans="1:9" x14ac:dyDescent="0.3">
      <c r="A477">
        <v>10476</v>
      </c>
      <c r="B477" s="2">
        <v>45031</v>
      </c>
      <c r="C477" t="s">
        <v>8</v>
      </c>
      <c r="D477" t="s">
        <v>18</v>
      </c>
      <c r="E477" t="s">
        <v>24</v>
      </c>
      <c r="F477">
        <v>14</v>
      </c>
      <c r="G477">
        <v>46053</v>
      </c>
      <c r="H477">
        <v>644742</v>
      </c>
      <c r="I477">
        <f t="shared" si="7"/>
        <v>644742</v>
      </c>
    </row>
    <row r="478" spans="1:9" x14ac:dyDescent="0.3">
      <c r="A478">
        <v>10477</v>
      </c>
      <c r="B478" s="2">
        <v>45037</v>
      </c>
      <c r="C478" t="s">
        <v>9</v>
      </c>
      <c r="D478" t="s">
        <v>18</v>
      </c>
      <c r="E478" t="s">
        <v>23</v>
      </c>
      <c r="F478">
        <v>14</v>
      </c>
      <c r="G478">
        <v>9129</v>
      </c>
      <c r="H478">
        <v>127806</v>
      </c>
      <c r="I478">
        <f t="shared" si="7"/>
        <v>127806</v>
      </c>
    </row>
    <row r="479" spans="1:9" x14ac:dyDescent="0.3">
      <c r="A479">
        <v>10478</v>
      </c>
      <c r="B479" s="2">
        <v>44928</v>
      </c>
      <c r="C479" t="s">
        <v>12</v>
      </c>
      <c r="D479" t="s">
        <v>18</v>
      </c>
      <c r="E479" t="s">
        <v>23</v>
      </c>
      <c r="F479">
        <v>7</v>
      </c>
      <c r="G479">
        <v>55113</v>
      </c>
      <c r="H479">
        <v>385791</v>
      </c>
      <c r="I479">
        <f t="shared" si="7"/>
        <v>385791</v>
      </c>
    </row>
    <row r="480" spans="1:9" x14ac:dyDescent="0.3">
      <c r="A480">
        <v>10479</v>
      </c>
      <c r="B480" s="2">
        <v>44994</v>
      </c>
      <c r="C480" t="s">
        <v>11</v>
      </c>
      <c r="D480" t="s">
        <v>18</v>
      </c>
      <c r="E480" t="s">
        <v>22</v>
      </c>
      <c r="F480">
        <v>2</v>
      </c>
      <c r="G480">
        <v>26912</v>
      </c>
      <c r="H480">
        <v>53824</v>
      </c>
      <c r="I480">
        <f t="shared" si="7"/>
        <v>53824</v>
      </c>
    </row>
    <row r="481" spans="1:9" x14ac:dyDescent="0.3">
      <c r="A481">
        <v>10480</v>
      </c>
      <c r="B481" s="2">
        <v>45246</v>
      </c>
      <c r="C481" t="s">
        <v>13</v>
      </c>
      <c r="D481" t="s">
        <v>16</v>
      </c>
      <c r="E481" t="s">
        <v>24</v>
      </c>
      <c r="F481">
        <v>20</v>
      </c>
      <c r="G481">
        <v>2897</v>
      </c>
      <c r="H481">
        <v>57940</v>
      </c>
      <c r="I481">
        <f t="shared" si="7"/>
        <v>57940</v>
      </c>
    </row>
    <row r="482" spans="1:9" x14ac:dyDescent="0.3">
      <c r="A482">
        <v>10481</v>
      </c>
      <c r="B482" s="2">
        <v>45106</v>
      </c>
      <c r="C482" t="s">
        <v>13</v>
      </c>
      <c r="D482" t="s">
        <v>15</v>
      </c>
      <c r="E482" t="s">
        <v>24</v>
      </c>
      <c r="F482">
        <v>16</v>
      </c>
      <c r="G482">
        <v>1842</v>
      </c>
      <c r="H482">
        <v>29472</v>
      </c>
      <c r="I482">
        <f t="shared" si="7"/>
        <v>29472</v>
      </c>
    </row>
    <row r="483" spans="1:9" x14ac:dyDescent="0.3">
      <c r="A483">
        <v>10482</v>
      </c>
      <c r="B483" s="2">
        <v>45045</v>
      </c>
      <c r="C483" t="s">
        <v>11</v>
      </c>
      <c r="D483" t="s">
        <v>18</v>
      </c>
      <c r="E483" t="s">
        <v>22</v>
      </c>
      <c r="F483">
        <v>19</v>
      </c>
      <c r="G483">
        <v>53334</v>
      </c>
      <c r="H483">
        <v>1013346</v>
      </c>
      <c r="I483">
        <f t="shared" si="7"/>
        <v>1013346</v>
      </c>
    </row>
    <row r="484" spans="1:9" x14ac:dyDescent="0.3">
      <c r="A484">
        <v>10483</v>
      </c>
      <c r="B484" s="2">
        <v>45243</v>
      </c>
      <c r="C484" t="s">
        <v>9</v>
      </c>
      <c r="D484" t="s">
        <v>15</v>
      </c>
      <c r="E484" t="s">
        <v>20</v>
      </c>
      <c r="F484">
        <v>19</v>
      </c>
      <c r="G484">
        <v>25622</v>
      </c>
      <c r="H484">
        <v>486818</v>
      </c>
      <c r="I484">
        <f t="shared" si="7"/>
        <v>486818</v>
      </c>
    </row>
    <row r="485" spans="1:9" x14ac:dyDescent="0.3">
      <c r="A485">
        <v>10484</v>
      </c>
      <c r="B485" s="2">
        <v>45166</v>
      </c>
      <c r="C485" t="s">
        <v>11</v>
      </c>
      <c r="D485" t="s">
        <v>16</v>
      </c>
      <c r="E485" t="s">
        <v>20</v>
      </c>
      <c r="F485">
        <v>19</v>
      </c>
      <c r="G485">
        <v>44652</v>
      </c>
      <c r="H485">
        <v>848388</v>
      </c>
      <c r="I485">
        <f t="shared" si="7"/>
        <v>848388</v>
      </c>
    </row>
    <row r="486" spans="1:9" x14ac:dyDescent="0.3">
      <c r="A486">
        <v>10485</v>
      </c>
      <c r="B486" s="2">
        <v>45130</v>
      </c>
      <c r="C486" t="s">
        <v>14</v>
      </c>
      <c r="D486" t="s">
        <v>18</v>
      </c>
      <c r="E486" t="s">
        <v>22</v>
      </c>
      <c r="F486">
        <v>8</v>
      </c>
      <c r="G486">
        <v>28363</v>
      </c>
      <c r="H486">
        <v>226904</v>
      </c>
      <c r="I486">
        <f t="shared" si="7"/>
        <v>226904</v>
      </c>
    </row>
    <row r="487" spans="1:9" x14ac:dyDescent="0.3">
      <c r="A487">
        <v>10486</v>
      </c>
      <c r="B487" s="2">
        <v>45159</v>
      </c>
      <c r="C487" t="s">
        <v>8</v>
      </c>
      <c r="D487" t="s">
        <v>18</v>
      </c>
      <c r="E487" t="s">
        <v>24</v>
      </c>
      <c r="F487">
        <v>2</v>
      </c>
      <c r="G487">
        <v>26310</v>
      </c>
      <c r="H487">
        <v>52620</v>
      </c>
      <c r="I487">
        <f t="shared" si="7"/>
        <v>52620</v>
      </c>
    </row>
    <row r="488" spans="1:9" x14ac:dyDescent="0.3">
      <c r="A488">
        <v>10487</v>
      </c>
      <c r="B488" s="2">
        <v>45069</v>
      </c>
      <c r="C488" t="s">
        <v>14</v>
      </c>
      <c r="D488" t="s">
        <v>15</v>
      </c>
      <c r="E488" t="s">
        <v>23</v>
      </c>
      <c r="F488">
        <v>19</v>
      </c>
      <c r="G488">
        <v>43744</v>
      </c>
      <c r="H488">
        <v>831136</v>
      </c>
      <c r="I488">
        <f t="shared" si="7"/>
        <v>831136</v>
      </c>
    </row>
    <row r="489" spans="1:9" x14ac:dyDescent="0.3">
      <c r="A489">
        <v>10488</v>
      </c>
      <c r="B489" s="2">
        <v>45030</v>
      </c>
      <c r="C489" t="s">
        <v>11</v>
      </c>
      <c r="D489" t="s">
        <v>15</v>
      </c>
      <c r="E489" t="s">
        <v>19</v>
      </c>
      <c r="F489">
        <v>6</v>
      </c>
      <c r="G489">
        <v>44569</v>
      </c>
      <c r="H489">
        <v>267414</v>
      </c>
      <c r="I489">
        <f t="shared" si="7"/>
        <v>267414</v>
      </c>
    </row>
    <row r="490" spans="1:9" x14ac:dyDescent="0.3">
      <c r="A490">
        <v>10489</v>
      </c>
      <c r="B490" s="2">
        <v>45011</v>
      </c>
      <c r="C490" t="s">
        <v>9</v>
      </c>
      <c r="D490" t="s">
        <v>17</v>
      </c>
      <c r="E490" t="s">
        <v>20</v>
      </c>
      <c r="F490">
        <v>15</v>
      </c>
      <c r="G490">
        <v>41302</v>
      </c>
      <c r="H490">
        <v>619530</v>
      </c>
      <c r="I490">
        <f t="shared" si="7"/>
        <v>619530</v>
      </c>
    </row>
    <row r="491" spans="1:9" x14ac:dyDescent="0.3">
      <c r="A491">
        <v>10490</v>
      </c>
      <c r="B491" s="2">
        <v>44959</v>
      </c>
      <c r="C491" t="s">
        <v>8</v>
      </c>
      <c r="D491" t="s">
        <v>15</v>
      </c>
      <c r="E491" t="s">
        <v>22</v>
      </c>
      <c r="F491">
        <v>19</v>
      </c>
      <c r="G491">
        <v>57611</v>
      </c>
      <c r="H491">
        <v>1094609</v>
      </c>
      <c r="I491">
        <f t="shared" si="7"/>
        <v>1094609</v>
      </c>
    </row>
    <row r="492" spans="1:9" x14ac:dyDescent="0.3">
      <c r="A492">
        <v>10491</v>
      </c>
      <c r="B492" s="2">
        <v>44981</v>
      </c>
      <c r="C492" t="s">
        <v>11</v>
      </c>
      <c r="D492" t="s">
        <v>15</v>
      </c>
      <c r="E492" t="s">
        <v>21</v>
      </c>
      <c r="F492">
        <v>13</v>
      </c>
      <c r="G492">
        <v>1254</v>
      </c>
      <c r="H492">
        <v>16302</v>
      </c>
      <c r="I492">
        <f t="shared" si="7"/>
        <v>16302</v>
      </c>
    </row>
    <row r="493" spans="1:9" x14ac:dyDescent="0.3">
      <c r="A493">
        <v>10492</v>
      </c>
      <c r="B493" s="2">
        <v>45124</v>
      </c>
      <c r="C493" t="s">
        <v>9</v>
      </c>
      <c r="D493" t="s">
        <v>17</v>
      </c>
      <c r="E493" t="s">
        <v>21</v>
      </c>
      <c r="F493">
        <v>10</v>
      </c>
      <c r="G493">
        <v>36245</v>
      </c>
      <c r="H493">
        <v>362450</v>
      </c>
      <c r="I493">
        <f t="shared" si="7"/>
        <v>362450</v>
      </c>
    </row>
    <row r="494" spans="1:9" x14ac:dyDescent="0.3">
      <c r="A494">
        <v>10493</v>
      </c>
      <c r="B494" s="2">
        <v>45131</v>
      </c>
      <c r="C494" t="s">
        <v>11</v>
      </c>
      <c r="D494" t="s">
        <v>16</v>
      </c>
      <c r="E494" t="s">
        <v>24</v>
      </c>
      <c r="F494">
        <v>14</v>
      </c>
      <c r="G494">
        <v>52706</v>
      </c>
      <c r="H494">
        <v>737884</v>
      </c>
      <c r="I494">
        <f t="shared" si="7"/>
        <v>737884</v>
      </c>
    </row>
    <row r="495" spans="1:9" x14ac:dyDescent="0.3">
      <c r="A495">
        <v>10494</v>
      </c>
      <c r="B495" s="2">
        <v>45160</v>
      </c>
      <c r="C495" t="s">
        <v>13</v>
      </c>
      <c r="D495" t="s">
        <v>16</v>
      </c>
      <c r="E495" t="s">
        <v>22</v>
      </c>
      <c r="F495">
        <v>2</v>
      </c>
      <c r="G495">
        <v>9248</v>
      </c>
      <c r="H495">
        <v>18496</v>
      </c>
      <c r="I495">
        <f t="shared" si="7"/>
        <v>18496</v>
      </c>
    </row>
    <row r="496" spans="1:9" x14ac:dyDescent="0.3">
      <c r="A496">
        <v>10495</v>
      </c>
      <c r="B496" s="2">
        <v>45139</v>
      </c>
      <c r="C496" t="s">
        <v>11</v>
      </c>
      <c r="D496" t="s">
        <v>15</v>
      </c>
      <c r="E496" t="s">
        <v>24</v>
      </c>
      <c r="F496">
        <v>10</v>
      </c>
      <c r="G496">
        <v>21786</v>
      </c>
      <c r="H496">
        <v>217860</v>
      </c>
      <c r="I496">
        <f t="shared" si="7"/>
        <v>217860</v>
      </c>
    </row>
    <row r="497" spans="1:9" x14ac:dyDescent="0.3">
      <c r="A497">
        <v>10496</v>
      </c>
      <c r="B497" s="2">
        <v>45001</v>
      </c>
      <c r="C497" t="s">
        <v>14</v>
      </c>
      <c r="D497" t="s">
        <v>15</v>
      </c>
      <c r="E497" t="s">
        <v>23</v>
      </c>
      <c r="F497">
        <v>13</v>
      </c>
      <c r="G497">
        <v>14845</v>
      </c>
      <c r="H497">
        <v>192985</v>
      </c>
      <c r="I497">
        <f t="shared" si="7"/>
        <v>192985</v>
      </c>
    </row>
    <row r="498" spans="1:9" x14ac:dyDescent="0.3">
      <c r="A498">
        <v>10497</v>
      </c>
      <c r="B498" s="2">
        <v>45194</v>
      </c>
      <c r="C498" t="s">
        <v>8</v>
      </c>
      <c r="D498" t="s">
        <v>16</v>
      </c>
      <c r="E498" t="s">
        <v>21</v>
      </c>
      <c r="F498">
        <v>13</v>
      </c>
      <c r="G498">
        <v>39379</v>
      </c>
      <c r="H498">
        <v>511927</v>
      </c>
      <c r="I498">
        <f t="shared" si="7"/>
        <v>511927</v>
      </c>
    </row>
    <row r="499" spans="1:9" x14ac:dyDescent="0.3">
      <c r="A499">
        <v>10498</v>
      </c>
      <c r="B499" s="2">
        <v>45253</v>
      </c>
      <c r="C499" t="s">
        <v>14</v>
      </c>
      <c r="D499" t="s">
        <v>17</v>
      </c>
      <c r="E499" t="s">
        <v>23</v>
      </c>
      <c r="F499">
        <v>19</v>
      </c>
      <c r="G499">
        <v>31148</v>
      </c>
      <c r="H499">
        <v>591812</v>
      </c>
      <c r="I499">
        <f t="shared" si="7"/>
        <v>591812</v>
      </c>
    </row>
    <row r="500" spans="1:9" x14ac:dyDescent="0.3">
      <c r="A500">
        <v>10499</v>
      </c>
      <c r="B500" s="2">
        <v>44973</v>
      </c>
      <c r="C500" t="s">
        <v>8</v>
      </c>
      <c r="D500" t="s">
        <v>17</v>
      </c>
      <c r="E500" t="s">
        <v>22</v>
      </c>
      <c r="F500">
        <v>13</v>
      </c>
      <c r="G500">
        <v>56414</v>
      </c>
      <c r="H500">
        <v>733382</v>
      </c>
      <c r="I500">
        <f t="shared" si="7"/>
        <v>733382</v>
      </c>
    </row>
    <row r="501" spans="1:9" x14ac:dyDescent="0.3">
      <c r="A501">
        <v>10500</v>
      </c>
      <c r="B501" s="2">
        <v>45084</v>
      </c>
      <c r="C501" t="s">
        <v>10</v>
      </c>
      <c r="D501" t="s">
        <v>17</v>
      </c>
      <c r="E501" t="s">
        <v>19</v>
      </c>
      <c r="F501">
        <v>3</v>
      </c>
      <c r="G501">
        <v>57031</v>
      </c>
      <c r="H501">
        <v>171093</v>
      </c>
      <c r="I501">
        <f t="shared" si="7"/>
        <v>171093</v>
      </c>
    </row>
    <row r="502" spans="1:9" x14ac:dyDescent="0.3">
      <c r="A502">
        <v>10501</v>
      </c>
      <c r="B502" s="2">
        <v>44981</v>
      </c>
      <c r="C502" t="s">
        <v>9</v>
      </c>
      <c r="D502" t="s">
        <v>16</v>
      </c>
      <c r="E502" t="s">
        <v>22</v>
      </c>
      <c r="F502">
        <v>9</v>
      </c>
      <c r="G502">
        <v>17059</v>
      </c>
      <c r="H502">
        <v>153531</v>
      </c>
      <c r="I502">
        <f t="shared" si="7"/>
        <v>153531</v>
      </c>
    </row>
    <row r="503" spans="1:9" x14ac:dyDescent="0.3">
      <c r="A503">
        <v>10502</v>
      </c>
      <c r="B503" s="2">
        <v>45280</v>
      </c>
      <c r="C503" t="s">
        <v>11</v>
      </c>
      <c r="D503" t="s">
        <v>15</v>
      </c>
      <c r="E503" t="s">
        <v>21</v>
      </c>
      <c r="F503">
        <v>10</v>
      </c>
      <c r="G503">
        <v>5634</v>
      </c>
      <c r="H503">
        <v>56340</v>
      </c>
      <c r="I503">
        <f t="shared" si="7"/>
        <v>56340</v>
      </c>
    </row>
    <row r="504" spans="1:9" x14ac:dyDescent="0.3">
      <c r="A504">
        <v>10503</v>
      </c>
      <c r="B504" s="2">
        <v>45115</v>
      </c>
      <c r="C504" t="s">
        <v>14</v>
      </c>
      <c r="D504" t="s">
        <v>18</v>
      </c>
      <c r="E504" t="s">
        <v>23</v>
      </c>
      <c r="F504">
        <v>11</v>
      </c>
      <c r="G504">
        <v>20320</v>
      </c>
      <c r="H504">
        <v>223520</v>
      </c>
      <c r="I504">
        <f t="shared" si="7"/>
        <v>223520</v>
      </c>
    </row>
    <row r="505" spans="1:9" x14ac:dyDescent="0.3">
      <c r="A505">
        <v>10504</v>
      </c>
      <c r="B505" s="2">
        <v>45272</v>
      </c>
      <c r="C505" t="s">
        <v>14</v>
      </c>
      <c r="D505" t="s">
        <v>17</v>
      </c>
      <c r="E505" t="s">
        <v>23</v>
      </c>
      <c r="F505">
        <v>15</v>
      </c>
      <c r="G505">
        <v>15314</v>
      </c>
      <c r="H505">
        <v>229710</v>
      </c>
      <c r="I505">
        <f t="shared" si="7"/>
        <v>229710</v>
      </c>
    </row>
    <row r="506" spans="1:9" x14ac:dyDescent="0.3">
      <c r="A506">
        <v>10505</v>
      </c>
      <c r="B506" s="2">
        <v>45214</v>
      </c>
      <c r="C506" t="s">
        <v>8</v>
      </c>
      <c r="D506" t="s">
        <v>17</v>
      </c>
      <c r="E506" t="s">
        <v>23</v>
      </c>
      <c r="F506">
        <v>2</v>
      </c>
      <c r="G506">
        <v>7625</v>
      </c>
      <c r="H506">
        <v>15250</v>
      </c>
      <c r="I506">
        <f t="shared" si="7"/>
        <v>15250</v>
      </c>
    </row>
    <row r="507" spans="1:9" x14ac:dyDescent="0.3">
      <c r="A507">
        <v>10506</v>
      </c>
      <c r="B507" s="2">
        <v>45184</v>
      </c>
      <c r="C507" t="s">
        <v>14</v>
      </c>
      <c r="D507" t="s">
        <v>16</v>
      </c>
      <c r="E507" t="s">
        <v>22</v>
      </c>
      <c r="F507">
        <v>10</v>
      </c>
      <c r="G507">
        <v>48688</v>
      </c>
      <c r="H507">
        <v>486880</v>
      </c>
      <c r="I507">
        <f t="shared" si="7"/>
        <v>486880</v>
      </c>
    </row>
    <row r="508" spans="1:9" x14ac:dyDescent="0.3">
      <c r="A508">
        <v>10507</v>
      </c>
      <c r="B508" s="2">
        <v>45256</v>
      </c>
      <c r="C508" t="s">
        <v>10</v>
      </c>
      <c r="D508" t="s">
        <v>16</v>
      </c>
      <c r="E508" t="s">
        <v>22</v>
      </c>
      <c r="F508">
        <v>17</v>
      </c>
      <c r="G508">
        <v>45849</v>
      </c>
      <c r="H508">
        <v>779433</v>
      </c>
      <c r="I508">
        <f t="shared" si="7"/>
        <v>779433</v>
      </c>
    </row>
    <row r="509" spans="1:9" x14ac:dyDescent="0.3">
      <c r="A509">
        <v>10508</v>
      </c>
      <c r="B509" s="2">
        <v>45124</v>
      </c>
      <c r="C509" t="s">
        <v>13</v>
      </c>
      <c r="D509" t="s">
        <v>15</v>
      </c>
      <c r="E509" t="s">
        <v>20</v>
      </c>
      <c r="F509">
        <v>9</v>
      </c>
      <c r="G509">
        <v>9986</v>
      </c>
      <c r="H509">
        <v>89874</v>
      </c>
      <c r="I509">
        <f t="shared" si="7"/>
        <v>89874</v>
      </c>
    </row>
    <row r="510" spans="1:9" x14ac:dyDescent="0.3">
      <c r="A510">
        <v>10509</v>
      </c>
      <c r="B510" s="2">
        <v>45060</v>
      </c>
      <c r="C510" t="s">
        <v>14</v>
      </c>
      <c r="D510" t="s">
        <v>18</v>
      </c>
      <c r="E510" t="s">
        <v>23</v>
      </c>
      <c r="F510">
        <v>1</v>
      </c>
      <c r="G510">
        <v>51250</v>
      </c>
      <c r="H510">
        <v>51250</v>
      </c>
      <c r="I510">
        <f t="shared" si="7"/>
        <v>51250</v>
      </c>
    </row>
    <row r="511" spans="1:9" x14ac:dyDescent="0.3">
      <c r="A511">
        <v>10510</v>
      </c>
      <c r="B511" s="2">
        <v>45244</v>
      </c>
      <c r="C511" t="s">
        <v>11</v>
      </c>
      <c r="D511" t="s">
        <v>18</v>
      </c>
      <c r="E511" t="s">
        <v>22</v>
      </c>
      <c r="F511">
        <v>12</v>
      </c>
      <c r="G511">
        <v>21831</v>
      </c>
      <c r="H511">
        <v>261972</v>
      </c>
      <c r="I511">
        <f t="shared" si="7"/>
        <v>261972</v>
      </c>
    </row>
    <row r="512" spans="1:9" x14ac:dyDescent="0.3">
      <c r="A512">
        <v>10511</v>
      </c>
      <c r="B512" s="2">
        <v>45210</v>
      </c>
      <c r="C512" t="s">
        <v>12</v>
      </c>
      <c r="D512" t="s">
        <v>17</v>
      </c>
      <c r="E512" t="s">
        <v>23</v>
      </c>
      <c r="F512">
        <v>14</v>
      </c>
      <c r="G512">
        <v>30709</v>
      </c>
      <c r="H512">
        <v>429926</v>
      </c>
      <c r="I512">
        <f t="shared" si="7"/>
        <v>429926</v>
      </c>
    </row>
    <row r="513" spans="1:9" x14ac:dyDescent="0.3">
      <c r="A513">
        <v>10512</v>
      </c>
      <c r="B513" s="2">
        <v>44942</v>
      </c>
      <c r="C513" t="s">
        <v>8</v>
      </c>
      <c r="D513" t="s">
        <v>17</v>
      </c>
      <c r="E513" t="s">
        <v>21</v>
      </c>
      <c r="F513">
        <v>13</v>
      </c>
      <c r="G513">
        <v>22750</v>
      </c>
      <c r="H513">
        <v>295750</v>
      </c>
      <c r="I513">
        <f t="shared" si="7"/>
        <v>295750</v>
      </c>
    </row>
    <row r="514" spans="1:9" x14ac:dyDescent="0.3">
      <c r="A514">
        <v>10513</v>
      </c>
      <c r="B514" s="2">
        <v>45025</v>
      </c>
      <c r="C514" t="s">
        <v>12</v>
      </c>
      <c r="D514" t="s">
        <v>18</v>
      </c>
      <c r="E514" t="s">
        <v>19</v>
      </c>
      <c r="F514">
        <v>5</v>
      </c>
      <c r="G514">
        <v>52033</v>
      </c>
      <c r="H514">
        <v>260165</v>
      </c>
      <c r="I514">
        <f t="shared" si="7"/>
        <v>260165</v>
      </c>
    </row>
    <row r="515" spans="1:9" x14ac:dyDescent="0.3">
      <c r="A515">
        <v>10514</v>
      </c>
      <c r="B515" s="2">
        <v>45177</v>
      </c>
      <c r="C515" t="s">
        <v>12</v>
      </c>
      <c r="D515" t="s">
        <v>18</v>
      </c>
      <c r="E515" t="s">
        <v>23</v>
      </c>
      <c r="F515">
        <v>17</v>
      </c>
      <c r="G515">
        <v>894</v>
      </c>
      <c r="H515">
        <v>15198</v>
      </c>
      <c r="I515">
        <f t="shared" ref="I515:I578" si="8">G515*F515</f>
        <v>15198</v>
      </c>
    </row>
    <row r="516" spans="1:9" x14ac:dyDescent="0.3">
      <c r="A516">
        <v>10515</v>
      </c>
      <c r="B516" s="2">
        <v>45069</v>
      </c>
      <c r="C516" t="s">
        <v>12</v>
      </c>
      <c r="D516" t="s">
        <v>16</v>
      </c>
      <c r="E516" t="s">
        <v>19</v>
      </c>
      <c r="F516">
        <v>17</v>
      </c>
      <c r="G516">
        <v>41073</v>
      </c>
      <c r="H516">
        <v>698241</v>
      </c>
      <c r="I516">
        <f t="shared" si="8"/>
        <v>698241</v>
      </c>
    </row>
    <row r="517" spans="1:9" x14ac:dyDescent="0.3">
      <c r="A517">
        <v>10516</v>
      </c>
      <c r="B517" s="2">
        <v>45134</v>
      </c>
      <c r="C517" t="s">
        <v>9</v>
      </c>
      <c r="D517" t="s">
        <v>15</v>
      </c>
      <c r="E517" t="s">
        <v>21</v>
      </c>
      <c r="F517">
        <v>18</v>
      </c>
      <c r="G517">
        <v>38908</v>
      </c>
      <c r="H517">
        <v>700344</v>
      </c>
      <c r="I517">
        <f t="shared" si="8"/>
        <v>700344</v>
      </c>
    </row>
    <row r="518" spans="1:9" x14ac:dyDescent="0.3">
      <c r="A518">
        <v>10517</v>
      </c>
      <c r="B518" s="2">
        <v>45040</v>
      </c>
      <c r="C518" t="s">
        <v>9</v>
      </c>
      <c r="D518" t="s">
        <v>16</v>
      </c>
      <c r="E518" t="s">
        <v>19</v>
      </c>
      <c r="F518">
        <v>16</v>
      </c>
      <c r="G518">
        <v>5390</v>
      </c>
      <c r="H518">
        <v>86240</v>
      </c>
      <c r="I518">
        <f t="shared" si="8"/>
        <v>86240</v>
      </c>
    </row>
    <row r="519" spans="1:9" x14ac:dyDescent="0.3">
      <c r="A519">
        <v>10518</v>
      </c>
      <c r="B519" s="2">
        <v>45272</v>
      </c>
      <c r="C519" t="s">
        <v>9</v>
      </c>
      <c r="D519" t="s">
        <v>18</v>
      </c>
      <c r="E519" t="s">
        <v>21</v>
      </c>
      <c r="F519">
        <v>7</v>
      </c>
      <c r="G519">
        <v>50531</v>
      </c>
      <c r="H519">
        <v>353717</v>
      </c>
      <c r="I519">
        <f t="shared" si="8"/>
        <v>353717</v>
      </c>
    </row>
    <row r="520" spans="1:9" x14ac:dyDescent="0.3">
      <c r="A520">
        <v>10519</v>
      </c>
      <c r="B520" s="2">
        <v>44940</v>
      </c>
      <c r="C520" t="s">
        <v>12</v>
      </c>
      <c r="D520" t="s">
        <v>17</v>
      </c>
      <c r="E520" t="s">
        <v>22</v>
      </c>
      <c r="F520">
        <v>16</v>
      </c>
      <c r="G520">
        <v>56343</v>
      </c>
      <c r="H520">
        <v>901488</v>
      </c>
      <c r="I520">
        <f t="shared" si="8"/>
        <v>901488</v>
      </c>
    </row>
    <row r="521" spans="1:9" x14ac:dyDescent="0.3">
      <c r="A521">
        <v>10520</v>
      </c>
      <c r="B521" s="2">
        <v>45149</v>
      </c>
      <c r="C521" t="s">
        <v>10</v>
      </c>
      <c r="D521" t="s">
        <v>16</v>
      </c>
      <c r="E521" t="s">
        <v>19</v>
      </c>
      <c r="F521">
        <v>5</v>
      </c>
      <c r="G521">
        <v>53206</v>
      </c>
      <c r="H521">
        <v>266030</v>
      </c>
      <c r="I521">
        <f t="shared" si="8"/>
        <v>266030</v>
      </c>
    </row>
    <row r="522" spans="1:9" x14ac:dyDescent="0.3">
      <c r="A522">
        <v>10521</v>
      </c>
      <c r="B522" s="2">
        <v>45025</v>
      </c>
      <c r="C522" t="s">
        <v>11</v>
      </c>
      <c r="D522" t="s">
        <v>15</v>
      </c>
      <c r="E522" t="s">
        <v>24</v>
      </c>
      <c r="F522">
        <v>20</v>
      </c>
      <c r="G522">
        <v>7082</v>
      </c>
      <c r="H522">
        <v>141640</v>
      </c>
      <c r="I522">
        <f t="shared" si="8"/>
        <v>141640</v>
      </c>
    </row>
    <row r="523" spans="1:9" x14ac:dyDescent="0.3">
      <c r="A523">
        <v>10522</v>
      </c>
      <c r="B523" s="2">
        <v>45079</v>
      </c>
      <c r="C523" t="s">
        <v>11</v>
      </c>
      <c r="D523" t="s">
        <v>17</v>
      </c>
      <c r="E523" t="s">
        <v>20</v>
      </c>
      <c r="F523">
        <v>4</v>
      </c>
      <c r="G523">
        <v>26212</v>
      </c>
      <c r="H523">
        <v>104848</v>
      </c>
      <c r="I523">
        <f t="shared" si="8"/>
        <v>104848</v>
      </c>
    </row>
    <row r="524" spans="1:9" x14ac:dyDescent="0.3">
      <c r="A524">
        <v>10523</v>
      </c>
      <c r="B524" s="2">
        <v>45014</v>
      </c>
      <c r="C524" t="s">
        <v>11</v>
      </c>
      <c r="D524" t="s">
        <v>15</v>
      </c>
      <c r="E524" t="s">
        <v>20</v>
      </c>
      <c r="F524">
        <v>18</v>
      </c>
      <c r="G524">
        <v>27818</v>
      </c>
      <c r="H524">
        <v>500724</v>
      </c>
      <c r="I524">
        <f t="shared" si="8"/>
        <v>500724</v>
      </c>
    </row>
    <row r="525" spans="1:9" x14ac:dyDescent="0.3">
      <c r="A525">
        <v>10524</v>
      </c>
      <c r="B525" s="2">
        <v>45119</v>
      </c>
      <c r="C525" t="s">
        <v>12</v>
      </c>
      <c r="D525" t="s">
        <v>17</v>
      </c>
      <c r="E525" t="s">
        <v>22</v>
      </c>
      <c r="F525">
        <v>6</v>
      </c>
      <c r="G525">
        <v>54999</v>
      </c>
      <c r="H525">
        <v>329994</v>
      </c>
      <c r="I525">
        <f t="shared" si="8"/>
        <v>329994</v>
      </c>
    </row>
    <row r="526" spans="1:9" x14ac:dyDescent="0.3">
      <c r="A526">
        <v>10525</v>
      </c>
      <c r="B526" s="2">
        <v>45122</v>
      </c>
      <c r="C526" t="s">
        <v>9</v>
      </c>
      <c r="D526" t="s">
        <v>15</v>
      </c>
      <c r="E526" t="s">
        <v>19</v>
      </c>
      <c r="F526">
        <v>3</v>
      </c>
      <c r="G526">
        <v>43302</v>
      </c>
      <c r="H526">
        <v>129906</v>
      </c>
      <c r="I526">
        <f t="shared" si="8"/>
        <v>129906</v>
      </c>
    </row>
    <row r="527" spans="1:9" x14ac:dyDescent="0.3">
      <c r="A527">
        <v>10526</v>
      </c>
      <c r="B527" s="2">
        <v>44979</v>
      </c>
      <c r="C527" t="s">
        <v>10</v>
      </c>
      <c r="D527" t="s">
        <v>17</v>
      </c>
      <c r="E527" t="s">
        <v>20</v>
      </c>
      <c r="F527">
        <v>13</v>
      </c>
      <c r="G527">
        <v>12607</v>
      </c>
      <c r="H527">
        <v>163891</v>
      </c>
      <c r="I527">
        <f t="shared" si="8"/>
        <v>163891</v>
      </c>
    </row>
    <row r="528" spans="1:9" x14ac:dyDescent="0.3">
      <c r="A528">
        <v>10527</v>
      </c>
      <c r="B528" s="2">
        <v>45200</v>
      </c>
      <c r="C528" t="s">
        <v>8</v>
      </c>
      <c r="D528" t="s">
        <v>18</v>
      </c>
      <c r="E528" t="s">
        <v>20</v>
      </c>
      <c r="F528">
        <v>13</v>
      </c>
      <c r="G528">
        <v>15565</v>
      </c>
      <c r="H528">
        <v>202345</v>
      </c>
      <c r="I528">
        <f t="shared" si="8"/>
        <v>202345</v>
      </c>
    </row>
    <row r="529" spans="1:9" x14ac:dyDescent="0.3">
      <c r="A529">
        <v>10528</v>
      </c>
      <c r="B529" s="2">
        <v>45050</v>
      </c>
      <c r="C529" t="s">
        <v>11</v>
      </c>
      <c r="D529" t="s">
        <v>16</v>
      </c>
      <c r="E529" t="s">
        <v>24</v>
      </c>
      <c r="F529">
        <v>17</v>
      </c>
      <c r="G529">
        <v>33369</v>
      </c>
      <c r="H529">
        <v>567273</v>
      </c>
      <c r="I529">
        <f t="shared" si="8"/>
        <v>567273</v>
      </c>
    </row>
    <row r="530" spans="1:9" x14ac:dyDescent="0.3">
      <c r="A530">
        <v>10529</v>
      </c>
      <c r="B530" s="2">
        <v>45109</v>
      </c>
      <c r="C530" t="s">
        <v>13</v>
      </c>
      <c r="D530" t="s">
        <v>17</v>
      </c>
      <c r="E530" t="s">
        <v>21</v>
      </c>
      <c r="F530">
        <v>3</v>
      </c>
      <c r="G530">
        <v>36482</v>
      </c>
      <c r="H530">
        <v>109446</v>
      </c>
      <c r="I530">
        <f t="shared" si="8"/>
        <v>109446</v>
      </c>
    </row>
    <row r="531" spans="1:9" x14ac:dyDescent="0.3">
      <c r="A531">
        <v>10530</v>
      </c>
      <c r="B531" s="2">
        <v>45258</v>
      </c>
      <c r="C531" t="s">
        <v>8</v>
      </c>
      <c r="D531" t="s">
        <v>17</v>
      </c>
      <c r="E531" t="s">
        <v>24</v>
      </c>
      <c r="F531">
        <v>18</v>
      </c>
      <c r="G531">
        <v>17639</v>
      </c>
      <c r="H531">
        <v>317502</v>
      </c>
      <c r="I531">
        <f t="shared" si="8"/>
        <v>317502</v>
      </c>
    </row>
    <row r="532" spans="1:9" x14ac:dyDescent="0.3">
      <c r="A532">
        <v>10531</v>
      </c>
      <c r="B532" s="2">
        <v>45041</v>
      </c>
      <c r="C532" t="s">
        <v>9</v>
      </c>
      <c r="D532" t="s">
        <v>16</v>
      </c>
      <c r="E532" t="s">
        <v>22</v>
      </c>
      <c r="F532">
        <v>20</v>
      </c>
      <c r="G532">
        <v>28813</v>
      </c>
      <c r="H532">
        <v>576260</v>
      </c>
      <c r="I532">
        <f t="shared" si="8"/>
        <v>576260</v>
      </c>
    </row>
    <row r="533" spans="1:9" x14ac:dyDescent="0.3">
      <c r="A533">
        <v>10532</v>
      </c>
      <c r="B533" s="2">
        <v>45258</v>
      </c>
      <c r="C533" t="s">
        <v>8</v>
      </c>
      <c r="D533" t="s">
        <v>17</v>
      </c>
      <c r="E533" t="s">
        <v>19</v>
      </c>
      <c r="F533">
        <v>4</v>
      </c>
      <c r="G533">
        <v>14894</v>
      </c>
      <c r="H533">
        <v>59576</v>
      </c>
      <c r="I533">
        <f t="shared" si="8"/>
        <v>59576</v>
      </c>
    </row>
    <row r="534" spans="1:9" x14ac:dyDescent="0.3">
      <c r="A534">
        <v>10533</v>
      </c>
      <c r="B534" s="2">
        <v>44959</v>
      </c>
      <c r="C534" t="s">
        <v>13</v>
      </c>
      <c r="D534" t="s">
        <v>15</v>
      </c>
      <c r="E534" t="s">
        <v>20</v>
      </c>
      <c r="F534">
        <v>3</v>
      </c>
      <c r="G534">
        <v>34128</v>
      </c>
      <c r="H534">
        <v>102384</v>
      </c>
      <c r="I534">
        <f t="shared" si="8"/>
        <v>102384</v>
      </c>
    </row>
    <row r="535" spans="1:9" x14ac:dyDescent="0.3">
      <c r="A535">
        <v>10534</v>
      </c>
      <c r="B535" s="2">
        <v>45204</v>
      </c>
      <c r="C535" t="s">
        <v>12</v>
      </c>
      <c r="D535" t="s">
        <v>16</v>
      </c>
      <c r="E535" t="s">
        <v>20</v>
      </c>
      <c r="F535">
        <v>19</v>
      </c>
      <c r="G535">
        <v>3407</v>
      </c>
      <c r="H535">
        <v>64733</v>
      </c>
      <c r="I535">
        <f t="shared" si="8"/>
        <v>64733</v>
      </c>
    </row>
    <row r="536" spans="1:9" x14ac:dyDescent="0.3">
      <c r="A536">
        <v>10535</v>
      </c>
      <c r="B536" s="2">
        <v>45042</v>
      </c>
      <c r="C536" t="s">
        <v>14</v>
      </c>
      <c r="D536" t="s">
        <v>17</v>
      </c>
      <c r="E536" t="s">
        <v>24</v>
      </c>
      <c r="F536">
        <v>7</v>
      </c>
      <c r="G536">
        <v>13164</v>
      </c>
      <c r="H536">
        <v>92148</v>
      </c>
      <c r="I536">
        <f t="shared" si="8"/>
        <v>92148</v>
      </c>
    </row>
    <row r="537" spans="1:9" x14ac:dyDescent="0.3">
      <c r="A537">
        <v>10536</v>
      </c>
      <c r="B537" s="2">
        <v>45098</v>
      </c>
      <c r="C537" t="s">
        <v>11</v>
      </c>
      <c r="D537" t="s">
        <v>17</v>
      </c>
      <c r="E537" t="s">
        <v>20</v>
      </c>
      <c r="F537">
        <v>17</v>
      </c>
      <c r="G537">
        <v>14677</v>
      </c>
      <c r="H537">
        <v>249509</v>
      </c>
      <c r="I537">
        <f t="shared" si="8"/>
        <v>249509</v>
      </c>
    </row>
    <row r="538" spans="1:9" x14ac:dyDescent="0.3">
      <c r="A538">
        <v>10537</v>
      </c>
      <c r="B538" s="2">
        <v>45085</v>
      </c>
      <c r="C538" t="s">
        <v>11</v>
      </c>
      <c r="D538" t="s">
        <v>16</v>
      </c>
      <c r="E538" t="s">
        <v>22</v>
      </c>
      <c r="F538">
        <v>10</v>
      </c>
      <c r="G538">
        <v>11433</v>
      </c>
      <c r="H538">
        <v>114330</v>
      </c>
      <c r="I538">
        <f t="shared" si="8"/>
        <v>114330</v>
      </c>
    </row>
    <row r="539" spans="1:9" x14ac:dyDescent="0.3">
      <c r="A539">
        <v>10538</v>
      </c>
      <c r="B539" s="2">
        <v>45075</v>
      </c>
      <c r="C539" t="s">
        <v>12</v>
      </c>
      <c r="D539" t="s">
        <v>18</v>
      </c>
      <c r="E539" t="s">
        <v>24</v>
      </c>
      <c r="F539">
        <v>14</v>
      </c>
      <c r="G539">
        <v>2407</v>
      </c>
      <c r="H539">
        <v>33698</v>
      </c>
      <c r="I539">
        <f t="shared" si="8"/>
        <v>33698</v>
      </c>
    </row>
    <row r="540" spans="1:9" x14ac:dyDescent="0.3">
      <c r="A540">
        <v>10539</v>
      </c>
      <c r="B540" s="2">
        <v>44968</v>
      </c>
      <c r="C540" t="s">
        <v>11</v>
      </c>
      <c r="D540" t="s">
        <v>16</v>
      </c>
      <c r="E540" t="s">
        <v>19</v>
      </c>
      <c r="F540">
        <v>18</v>
      </c>
      <c r="G540">
        <v>36698</v>
      </c>
      <c r="H540">
        <v>660564</v>
      </c>
      <c r="I540">
        <f t="shared" si="8"/>
        <v>660564</v>
      </c>
    </row>
    <row r="541" spans="1:9" x14ac:dyDescent="0.3">
      <c r="A541">
        <v>10540</v>
      </c>
      <c r="B541" s="2">
        <v>45189</v>
      </c>
      <c r="C541" t="s">
        <v>10</v>
      </c>
      <c r="D541" t="s">
        <v>17</v>
      </c>
      <c r="E541" t="s">
        <v>23</v>
      </c>
      <c r="F541">
        <v>2</v>
      </c>
      <c r="G541">
        <v>16224</v>
      </c>
      <c r="H541">
        <v>32448</v>
      </c>
      <c r="I541">
        <f t="shared" si="8"/>
        <v>32448</v>
      </c>
    </row>
    <row r="542" spans="1:9" x14ac:dyDescent="0.3">
      <c r="A542">
        <v>10541</v>
      </c>
      <c r="B542" s="2">
        <v>45099</v>
      </c>
      <c r="C542" t="s">
        <v>8</v>
      </c>
      <c r="D542" t="s">
        <v>18</v>
      </c>
      <c r="E542" t="s">
        <v>23</v>
      </c>
      <c r="F542">
        <v>1</v>
      </c>
      <c r="G542">
        <v>53653</v>
      </c>
      <c r="H542">
        <v>53653</v>
      </c>
      <c r="I542">
        <f t="shared" si="8"/>
        <v>53653</v>
      </c>
    </row>
    <row r="543" spans="1:9" x14ac:dyDescent="0.3">
      <c r="A543">
        <v>10542</v>
      </c>
      <c r="B543" s="2">
        <v>45288</v>
      </c>
      <c r="C543" t="s">
        <v>11</v>
      </c>
      <c r="D543" t="s">
        <v>18</v>
      </c>
      <c r="E543" t="s">
        <v>22</v>
      </c>
      <c r="F543">
        <v>14</v>
      </c>
      <c r="G543">
        <v>11546</v>
      </c>
      <c r="H543">
        <v>161644</v>
      </c>
      <c r="I543">
        <f t="shared" si="8"/>
        <v>161644</v>
      </c>
    </row>
    <row r="544" spans="1:9" x14ac:dyDescent="0.3">
      <c r="A544">
        <v>10543</v>
      </c>
      <c r="B544" s="2">
        <v>44989</v>
      </c>
      <c r="C544" t="s">
        <v>12</v>
      </c>
      <c r="D544" t="s">
        <v>16</v>
      </c>
      <c r="E544" t="s">
        <v>21</v>
      </c>
      <c r="F544">
        <v>7</v>
      </c>
      <c r="G544">
        <v>52933</v>
      </c>
      <c r="H544">
        <v>370531</v>
      </c>
      <c r="I544">
        <f t="shared" si="8"/>
        <v>370531</v>
      </c>
    </row>
    <row r="545" spans="1:9" x14ac:dyDescent="0.3">
      <c r="A545">
        <v>10544</v>
      </c>
      <c r="B545" s="2">
        <v>45263</v>
      </c>
      <c r="C545" t="s">
        <v>14</v>
      </c>
      <c r="D545" t="s">
        <v>17</v>
      </c>
      <c r="E545" t="s">
        <v>21</v>
      </c>
      <c r="F545">
        <v>15</v>
      </c>
      <c r="G545">
        <v>26350</v>
      </c>
      <c r="H545">
        <v>395250</v>
      </c>
      <c r="I545">
        <f t="shared" si="8"/>
        <v>395250</v>
      </c>
    </row>
    <row r="546" spans="1:9" x14ac:dyDescent="0.3">
      <c r="A546">
        <v>10545</v>
      </c>
      <c r="B546" s="2">
        <v>45068</v>
      </c>
      <c r="C546" t="s">
        <v>14</v>
      </c>
      <c r="D546" t="s">
        <v>18</v>
      </c>
      <c r="E546" t="s">
        <v>20</v>
      </c>
      <c r="F546">
        <v>16</v>
      </c>
      <c r="G546">
        <v>51128</v>
      </c>
      <c r="H546">
        <v>818048</v>
      </c>
      <c r="I546">
        <f t="shared" si="8"/>
        <v>818048</v>
      </c>
    </row>
    <row r="547" spans="1:9" x14ac:dyDescent="0.3">
      <c r="A547">
        <v>10546</v>
      </c>
      <c r="B547" s="2">
        <v>45253</v>
      </c>
      <c r="C547" t="s">
        <v>14</v>
      </c>
      <c r="D547" t="s">
        <v>15</v>
      </c>
      <c r="E547" t="s">
        <v>24</v>
      </c>
      <c r="F547">
        <v>15</v>
      </c>
      <c r="G547">
        <v>1140</v>
      </c>
      <c r="H547">
        <v>17100</v>
      </c>
      <c r="I547">
        <f t="shared" si="8"/>
        <v>17100</v>
      </c>
    </row>
    <row r="548" spans="1:9" x14ac:dyDescent="0.3">
      <c r="A548">
        <v>10547</v>
      </c>
      <c r="B548" s="2">
        <v>44977</v>
      </c>
      <c r="C548" t="s">
        <v>9</v>
      </c>
      <c r="D548" t="s">
        <v>16</v>
      </c>
      <c r="E548" t="s">
        <v>24</v>
      </c>
      <c r="F548">
        <v>17</v>
      </c>
      <c r="G548">
        <v>47818</v>
      </c>
      <c r="H548">
        <v>812906</v>
      </c>
      <c r="I548">
        <f t="shared" si="8"/>
        <v>812906</v>
      </c>
    </row>
    <row r="549" spans="1:9" x14ac:dyDescent="0.3">
      <c r="A549">
        <v>10548</v>
      </c>
      <c r="B549" s="2">
        <v>45204</v>
      </c>
      <c r="C549" t="s">
        <v>8</v>
      </c>
      <c r="D549" t="s">
        <v>17</v>
      </c>
      <c r="E549" t="s">
        <v>24</v>
      </c>
      <c r="F549">
        <v>12</v>
      </c>
      <c r="G549">
        <v>20923</v>
      </c>
      <c r="H549">
        <v>251076</v>
      </c>
      <c r="I549">
        <f t="shared" si="8"/>
        <v>251076</v>
      </c>
    </row>
    <row r="550" spans="1:9" x14ac:dyDescent="0.3">
      <c r="A550">
        <v>10549</v>
      </c>
      <c r="B550" s="2">
        <v>45241</v>
      </c>
      <c r="C550" t="s">
        <v>9</v>
      </c>
      <c r="D550" t="s">
        <v>15</v>
      </c>
      <c r="E550" t="s">
        <v>21</v>
      </c>
      <c r="F550">
        <v>8</v>
      </c>
      <c r="G550">
        <v>28180</v>
      </c>
      <c r="H550">
        <v>225440</v>
      </c>
      <c r="I550">
        <f t="shared" si="8"/>
        <v>225440</v>
      </c>
    </row>
    <row r="551" spans="1:9" x14ac:dyDescent="0.3">
      <c r="A551">
        <v>10550</v>
      </c>
      <c r="B551" s="2">
        <v>45257</v>
      </c>
      <c r="C551" t="s">
        <v>12</v>
      </c>
      <c r="D551" t="s">
        <v>16</v>
      </c>
      <c r="E551" t="s">
        <v>23</v>
      </c>
      <c r="F551">
        <v>6</v>
      </c>
      <c r="G551">
        <v>33868</v>
      </c>
      <c r="H551">
        <v>203208</v>
      </c>
      <c r="I551">
        <f t="shared" si="8"/>
        <v>203208</v>
      </c>
    </row>
    <row r="552" spans="1:9" x14ac:dyDescent="0.3">
      <c r="A552">
        <v>10551</v>
      </c>
      <c r="B552" s="2">
        <v>44960</v>
      </c>
      <c r="C552" t="s">
        <v>12</v>
      </c>
      <c r="D552" t="s">
        <v>15</v>
      </c>
      <c r="E552" t="s">
        <v>21</v>
      </c>
      <c r="F552">
        <v>16</v>
      </c>
      <c r="G552">
        <v>49412</v>
      </c>
      <c r="H552">
        <v>790592</v>
      </c>
      <c r="I552">
        <f t="shared" si="8"/>
        <v>790592</v>
      </c>
    </row>
    <row r="553" spans="1:9" x14ac:dyDescent="0.3">
      <c r="A553">
        <v>10552</v>
      </c>
      <c r="B553" s="2">
        <v>45255</v>
      </c>
      <c r="C553" t="s">
        <v>9</v>
      </c>
      <c r="D553" t="s">
        <v>17</v>
      </c>
      <c r="E553" t="s">
        <v>22</v>
      </c>
      <c r="F553">
        <v>20</v>
      </c>
      <c r="G553">
        <v>8196</v>
      </c>
      <c r="H553">
        <v>163920</v>
      </c>
      <c r="I553">
        <f t="shared" si="8"/>
        <v>163920</v>
      </c>
    </row>
    <row r="554" spans="1:9" x14ac:dyDescent="0.3">
      <c r="A554">
        <v>10553</v>
      </c>
      <c r="B554" s="2">
        <v>45219</v>
      </c>
      <c r="C554" t="s">
        <v>12</v>
      </c>
      <c r="D554" t="s">
        <v>18</v>
      </c>
      <c r="E554" t="s">
        <v>24</v>
      </c>
      <c r="F554">
        <v>4</v>
      </c>
      <c r="G554">
        <v>47173</v>
      </c>
      <c r="H554">
        <v>188692</v>
      </c>
      <c r="I554">
        <f t="shared" si="8"/>
        <v>188692</v>
      </c>
    </row>
    <row r="555" spans="1:9" x14ac:dyDescent="0.3">
      <c r="A555">
        <v>10554</v>
      </c>
      <c r="B555" s="2">
        <v>45169</v>
      </c>
      <c r="C555" t="s">
        <v>12</v>
      </c>
      <c r="D555" t="s">
        <v>16</v>
      </c>
      <c r="E555" t="s">
        <v>22</v>
      </c>
      <c r="F555">
        <v>18</v>
      </c>
      <c r="G555">
        <v>13459</v>
      </c>
      <c r="H555">
        <v>242262</v>
      </c>
      <c r="I555">
        <f t="shared" si="8"/>
        <v>242262</v>
      </c>
    </row>
    <row r="556" spans="1:9" x14ac:dyDescent="0.3">
      <c r="A556">
        <v>10555</v>
      </c>
      <c r="B556" s="2">
        <v>45266</v>
      </c>
      <c r="C556" t="s">
        <v>10</v>
      </c>
      <c r="D556" t="s">
        <v>16</v>
      </c>
      <c r="E556" t="s">
        <v>24</v>
      </c>
      <c r="F556">
        <v>16</v>
      </c>
      <c r="G556">
        <v>51402</v>
      </c>
      <c r="H556">
        <v>822432</v>
      </c>
      <c r="I556">
        <f t="shared" si="8"/>
        <v>822432</v>
      </c>
    </row>
    <row r="557" spans="1:9" x14ac:dyDescent="0.3">
      <c r="A557">
        <v>10556</v>
      </c>
      <c r="B557" s="2">
        <v>45149</v>
      </c>
      <c r="C557" t="s">
        <v>14</v>
      </c>
      <c r="D557" t="s">
        <v>18</v>
      </c>
      <c r="E557" t="s">
        <v>24</v>
      </c>
      <c r="F557">
        <v>11</v>
      </c>
      <c r="G557">
        <v>45794</v>
      </c>
      <c r="H557">
        <v>503734</v>
      </c>
      <c r="I557">
        <f t="shared" si="8"/>
        <v>503734</v>
      </c>
    </row>
    <row r="558" spans="1:9" x14ac:dyDescent="0.3">
      <c r="A558">
        <v>10557</v>
      </c>
      <c r="B558" s="2">
        <v>45139</v>
      </c>
      <c r="C558" t="s">
        <v>13</v>
      </c>
      <c r="D558" t="s">
        <v>15</v>
      </c>
      <c r="E558" t="s">
        <v>22</v>
      </c>
      <c r="F558">
        <v>16</v>
      </c>
      <c r="G558">
        <v>40706</v>
      </c>
      <c r="H558">
        <v>651296</v>
      </c>
      <c r="I558">
        <f t="shared" si="8"/>
        <v>651296</v>
      </c>
    </row>
    <row r="559" spans="1:9" x14ac:dyDescent="0.3">
      <c r="A559">
        <v>10558</v>
      </c>
      <c r="B559" s="2">
        <v>45112</v>
      </c>
      <c r="C559" t="s">
        <v>11</v>
      </c>
      <c r="D559" t="s">
        <v>18</v>
      </c>
      <c r="E559" t="s">
        <v>23</v>
      </c>
      <c r="F559">
        <v>13</v>
      </c>
      <c r="G559">
        <v>41579</v>
      </c>
      <c r="H559">
        <v>540527</v>
      </c>
      <c r="I559">
        <f t="shared" si="8"/>
        <v>540527</v>
      </c>
    </row>
    <row r="560" spans="1:9" x14ac:dyDescent="0.3">
      <c r="A560">
        <v>10559</v>
      </c>
      <c r="B560" s="2">
        <v>44948</v>
      </c>
      <c r="C560" t="s">
        <v>13</v>
      </c>
      <c r="D560" t="s">
        <v>16</v>
      </c>
      <c r="E560" t="s">
        <v>20</v>
      </c>
      <c r="F560">
        <v>2</v>
      </c>
      <c r="G560">
        <v>4545</v>
      </c>
      <c r="H560">
        <v>9090</v>
      </c>
      <c r="I560">
        <f t="shared" si="8"/>
        <v>9090</v>
      </c>
    </row>
    <row r="561" spans="1:9" x14ac:dyDescent="0.3">
      <c r="A561">
        <v>10560</v>
      </c>
      <c r="B561" s="2">
        <v>45210</v>
      </c>
      <c r="C561" t="s">
        <v>12</v>
      </c>
      <c r="D561" t="s">
        <v>16</v>
      </c>
      <c r="E561" t="s">
        <v>24</v>
      </c>
      <c r="F561">
        <v>8</v>
      </c>
      <c r="G561">
        <v>13079</v>
      </c>
      <c r="H561">
        <v>104632</v>
      </c>
      <c r="I561">
        <f t="shared" si="8"/>
        <v>104632</v>
      </c>
    </row>
    <row r="562" spans="1:9" x14ac:dyDescent="0.3">
      <c r="A562">
        <v>10561</v>
      </c>
      <c r="B562" s="2">
        <v>45119</v>
      </c>
      <c r="C562" t="s">
        <v>11</v>
      </c>
      <c r="D562" t="s">
        <v>17</v>
      </c>
      <c r="E562" t="s">
        <v>23</v>
      </c>
      <c r="F562">
        <v>17</v>
      </c>
      <c r="G562">
        <v>50264</v>
      </c>
      <c r="H562">
        <v>854488</v>
      </c>
      <c r="I562">
        <f t="shared" si="8"/>
        <v>854488</v>
      </c>
    </row>
    <row r="563" spans="1:9" x14ac:dyDescent="0.3">
      <c r="A563">
        <v>10562</v>
      </c>
      <c r="B563" s="2">
        <v>45181</v>
      </c>
      <c r="C563" t="s">
        <v>10</v>
      </c>
      <c r="D563" t="s">
        <v>16</v>
      </c>
      <c r="E563" t="s">
        <v>24</v>
      </c>
      <c r="F563">
        <v>14</v>
      </c>
      <c r="G563">
        <v>34179</v>
      </c>
      <c r="H563">
        <v>478506</v>
      </c>
      <c r="I563">
        <f t="shared" si="8"/>
        <v>478506</v>
      </c>
    </row>
    <row r="564" spans="1:9" x14ac:dyDescent="0.3">
      <c r="A564">
        <v>10563</v>
      </c>
      <c r="B564" s="2">
        <v>45119</v>
      </c>
      <c r="C564" t="s">
        <v>8</v>
      </c>
      <c r="D564" t="s">
        <v>18</v>
      </c>
      <c r="E564" t="s">
        <v>24</v>
      </c>
      <c r="F564">
        <v>2</v>
      </c>
      <c r="G564">
        <v>48423</v>
      </c>
      <c r="H564">
        <v>96846</v>
      </c>
      <c r="I564">
        <f t="shared" si="8"/>
        <v>96846</v>
      </c>
    </row>
    <row r="565" spans="1:9" x14ac:dyDescent="0.3">
      <c r="A565">
        <v>10564</v>
      </c>
      <c r="B565" s="2">
        <v>44938</v>
      </c>
      <c r="C565" t="s">
        <v>11</v>
      </c>
      <c r="D565" t="s">
        <v>17</v>
      </c>
      <c r="E565" t="s">
        <v>19</v>
      </c>
      <c r="F565">
        <v>18</v>
      </c>
      <c r="G565">
        <v>13322</v>
      </c>
      <c r="H565">
        <v>239796</v>
      </c>
      <c r="I565">
        <f t="shared" si="8"/>
        <v>239796</v>
      </c>
    </row>
    <row r="566" spans="1:9" x14ac:dyDescent="0.3">
      <c r="A566">
        <v>10565</v>
      </c>
      <c r="B566" s="2">
        <v>45101</v>
      </c>
      <c r="C566" t="s">
        <v>13</v>
      </c>
      <c r="D566" t="s">
        <v>16</v>
      </c>
      <c r="E566" t="s">
        <v>24</v>
      </c>
      <c r="F566">
        <v>11</v>
      </c>
      <c r="G566">
        <v>27979</v>
      </c>
      <c r="H566">
        <v>307769</v>
      </c>
      <c r="I566">
        <f t="shared" si="8"/>
        <v>307769</v>
      </c>
    </row>
    <row r="567" spans="1:9" x14ac:dyDescent="0.3">
      <c r="A567">
        <v>10566</v>
      </c>
      <c r="B567" s="2">
        <v>45019</v>
      </c>
      <c r="C567" t="s">
        <v>8</v>
      </c>
      <c r="D567" t="s">
        <v>15</v>
      </c>
      <c r="E567" t="s">
        <v>21</v>
      </c>
      <c r="F567">
        <v>2</v>
      </c>
      <c r="G567">
        <v>26662</v>
      </c>
      <c r="H567">
        <v>53324</v>
      </c>
      <c r="I567">
        <f t="shared" si="8"/>
        <v>53324</v>
      </c>
    </row>
    <row r="568" spans="1:9" x14ac:dyDescent="0.3">
      <c r="A568">
        <v>10567</v>
      </c>
      <c r="B568" s="2">
        <v>45148</v>
      </c>
      <c r="C568" t="s">
        <v>13</v>
      </c>
      <c r="D568" t="s">
        <v>16</v>
      </c>
      <c r="E568" t="s">
        <v>19</v>
      </c>
      <c r="F568">
        <v>4</v>
      </c>
      <c r="G568">
        <v>11602</v>
      </c>
      <c r="H568">
        <v>46408</v>
      </c>
      <c r="I568">
        <f t="shared" si="8"/>
        <v>46408</v>
      </c>
    </row>
    <row r="569" spans="1:9" x14ac:dyDescent="0.3">
      <c r="A569">
        <v>10568</v>
      </c>
      <c r="B569" s="2">
        <v>45098</v>
      </c>
      <c r="C569" t="s">
        <v>8</v>
      </c>
      <c r="D569" t="s">
        <v>17</v>
      </c>
      <c r="E569" t="s">
        <v>21</v>
      </c>
      <c r="F569">
        <v>9</v>
      </c>
      <c r="G569">
        <v>31457</v>
      </c>
      <c r="H569">
        <v>283113</v>
      </c>
      <c r="I569">
        <f t="shared" si="8"/>
        <v>283113</v>
      </c>
    </row>
    <row r="570" spans="1:9" x14ac:dyDescent="0.3">
      <c r="A570">
        <v>10569</v>
      </c>
      <c r="B570" s="2">
        <v>45210</v>
      </c>
      <c r="C570" t="s">
        <v>9</v>
      </c>
      <c r="D570" t="s">
        <v>18</v>
      </c>
      <c r="E570" t="s">
        <v>21</v>
      </c>
      <c r="F570">
        <v>2</v>
      </c>
      <c r="G570">
        <v>33384</v>
      </c>
      <c r="H570">
        <v>66768</v>
      </c>
      <c r="I570">
        <f t="shared" si="8"/>
        <v>66768</v>
      </c>
    </row>
    <row r="571" spans="1:9" x14ac:dyDescent="0.3">
      <c r="A571">
        <v>10570</v>
      </c>
      <c r="B571" s="2">
        <v>45157</v>
      </c>
      <c r="C571" t="s">
        <v>9</v>
      </c>
      <c r="D571" t="s">
        <v>17</v>
      </c>
      <c r="E571" t="s">
        <v>19</v>
      </c>
      <c r="F571">
        <v>17</v>
      </c>
      <c r="G571">
        <v>21947</v>
      </c>
      <c r="H571">
        <v>373099</v>
      </c>
      <c r="I571">
        <f t="shared" si="8"/>
        <v>373099</v>
      </c>
    </row>
    <row r="572" spans="1:9" x14ac:dyDescent="0.3">
      <c r="A572">
        <v>10571</v>
      </c>
      <c r="B572" s="2">
        <v>45290</v>
      </c>
      <c r="C572" t="s">
        <v>9</v>
      </c>
      <c r="D572" t="s">
        <v>17</v>
      </c>
      <c r="E572" t="s">
        <v>19</v>
      </c>
      <c r="F572">
        <v>11</v>
      </c>
      <c r="G572">
        <v>13499</v>
      </c>
      <c r="H572">
        <v>148489</v>
      </c>
      <c r="I572">
        <f t="shared" si="8"/>
        <v>148489</v>
      </c>
    </row>
    <row r="573" spans="1:9" x14ac:dyDescent="0.3">
      <c r="A573">
        <v>10572</v>
      </c>
      <c r="B573" s="2">
        <v>44947</v>
      </c>
      <c r="C573" t="s">
        <v>8</v>
      </c>
      <c r="D573" t="s">
        <v>15</v>
      </c>
      <c r="E573" t="s">
        <v>22</v>
      </c>
      <c r="F573">
        <v>8</v>
      </c>
      <c r="G573">
        <v>39611</v>
      </c>
      <c r="H573">
        <v>316888</v>
      </c>
      <c r="I573">
        <f t="shared" si="8"/>
        <v>316888</v>
      </c>
    </row>
    <row r="574" spans="1:9" x14ac:dyDescent="0.3">
      <c r="A574">
        <v>10573</v>
      </c>
      <c r="B574" s="2">
        <v>45285</v>
      </c>
      <c r="C574" t="s">
        <v>8</v>
      </c>
      <c r="D574" t="s">
        <v>17</v>
      </c>
      <c r="E574" t="s">
        <v>23</v>
      </c>
      <c r="F574">
        <v>16</v>
      </c>
      <c r="G574">
        <v>26393</v>
      </c>
      <c r="H574">
        <v>422288</v>
      </c>
      <c r="I574">
        <f t="shared" si="8"/>
        <v>422288</v>
      </c>
    </row>
    <row r="575" spans="1:9" x14ac:dyDescent="0.3">
      <c r="A575">
        <v>10574</v>
      </c>
      <c r="B575" s="2">
        <v>45211</v>
      </c>
      <c r="C575" t="s">
        <v>13</v>
      </c>
      <c r="D575" t="s">
        <v>17</v>
      </c>
      <c r="E575" t="s">
        <v>24</v>
      </c>
      <c r="F575">
        <v>5</v>
      </c>
      <c r="G575">
        <v>6479</v>
      </c>
      <c r="H575">
        <v>32395</v>
      </c>
      <c r="I575">
        <f t="shared" si="8"/>
        <v>32395</v>
      </c>
    </row>
    <row r="576" spans="1:9" x14ac:dyDescent="0.3">
      <c r="A576">
        <v>10575</v>
      </c>
      <c r="B576" s="2">
        <v>45241</v>
      </c>
      <c r="C576" t="s">
        <v>13</v>
      </c>
      <c r="D576" t="s">
        <v>15</v>
      </c>
      <c r="E576" t="s">
        <v>20</v>
      </c>
      <c r="F576">
        <v>16</v>
      </c>
      <c r="G576">
        <v>45831</v>
      </c>
      <c r="H576">
        <v>733296</v>
      </c>
      <c r="I576">
        <f t="shared" si="8"/>
        <v>733296</v>
      </c>
    </row>
    <row r="577" spans="1:9" x14ac:dyDescent="0.3">
      <c r="A577">
        <v>10576</v>
      </c>
      <c r="B577" s="2">
        <v>44970</v>
      </c>
      <c r="C577" t="s">
        <v>11</v>
      </c>
      <c r="D577" t="s">
        <v>15</v>
      </c>
      <c r="E577" t="s">
        <v>22</v>
      </c>
      <c r="F577">
        <v>17</v>
      </c>
      <c r="G577">
        <v>27192</v>
      </c>
      <c r="H577">
        <v>462264</v>
      </c>
      <c r="I577">
        <f t="shared" si="8"/>
        <v>462264</v>
      </c>
    </row>
    <row r="578" spans="1:9" x14ac:dyDescent="0.3">
      <c r="A578">
        <v>10577</v>
      </c>
      <c r="B578" s="2">
        <v>45056</v>
      </c>
      <c r="C578" t="s">
        <v>14</v>
      </c>
      <c r="D578" t="s">
        <v>17</v>
      </c>
      <c r="E578" t="s">
        <v>21</v>
      </c>
      <c r="F578">
        <v>4</v>
      </c>
      <c r="G578">
        <v>14854</v>
      </c>
      <c r="H578">
        <v>59416</v>
      </c>
      <c r="I578">
        <f t="shared" si="8"/>
        <v>59416</v>
      </c>
    </row>
    <row r="579" spans="1:9" x14ac:dyDescent="0.3">
      <c r="A579">
        <v>10578</v>
      </c>
      <c r="B579" s="2">
        <v>45229</v>
      </c>
      <c r="C579" t="s">
        <v>13</v>
      </c>
      <c r="D579" t="s">
        <v>17</v>
      </c>
      <c r="E579" t="s">
        <v>21</v>
      </c>
      <c r="F579">
        <v>12</v>
      </c>
      <c r="G579">
        <v>53539</v>
      </c>
      <c r="H579">
        <v>642468</v>
      </c>
      <c r="I579">
        <f t="shared" ref="I579:I642" si="9">G579*F579</f>
        <v>642468</v>
      </c>
    </row>
    <row r="580" spans="1:9" x14ac:dyDescent="0.3">
      <c r="A580">
        <v>10579</v>
      </c>
      <c r="B580" s="2">
        <v>45241</v>
      </c>
      <c r="C580" t="s">
        <v>12</v>
      </c>
      <c r="D580" t="s">
        <v>18</v>
      </c>
      <c r="E580" t="s">
        <v>24</v>
      </c>
      <c r="F580">
        <v>16</v>
      </c>
      <c r="G580">
        <v>27314</v>
      </c>
      <c r="H580">
        <v>437024</v>
      </c>
      <c r="I580">
        <f t="shared" si="9"/>
        <v>437024</v>
      </c>
    </row>
    <row r="581" spans="1:9" x14ac:dyDescent="0.3">
      <c r="A581">
        <v>10580</v>
      </c>
      <c r="B581" s="2">
        <v>45209</v>
      </c>
      <c r="C581" t="s">
        <v>13</v>
      </c>
      <c r="D581" t="s">
        <v>15</v>
      </c>
      <c r="E581" t="s">
        <v>21</v>
      </c>
      <c r="F581">
        <v>17</v>
      </c>
      <c r="G581">
        <v>29836</v>
      </c>
      <c r="H581">
        <v>507212</v>
      </c>
      <c r="I581">
        <f t="shared" si="9"/>
        <v>507212</v>
      </c>
    </row>
    <row r="582" spans="1:9" x14ac:dyDescent="0.3">
      <c r="A582">
        <v>10581</v>
      </c>
      <c r="B582" s="2">
        <v>45087</v>
      </c>
      <c r="C582" t="s">
        <v>10</v>
      </c>
      <c r="D582" t="s">
        <v>17</v>
      </c>
      <c r="E582" t="s">
        <v>20</v>
      </c>
      <c r="F582">
        <v>5</v>
      </c>
      <c r="G582">
        <v>18992</v>
      </c>
      <c r="H582">
        <v>94960</v>
      </c>
      <c r="I582">
        <f t="shared" si="9"/>
        <v>94960</v>
      </c>
    </row>
    <row r="583" spans="1:9" x14ac:dyDescent="0.3">
      <c r="A583">
        <v>10582</v>
      </c>
      <c r="B583" s="2">
        <v>45174</v>
      </c>
      <c r="C583" t="s">
        <v>10</v>
      </c>
      <c r="D583" t="s">
        <v>17</v>
      </c>
      <c r="E583" t="s">
        <v>19</v>
      </c>
      <c r="F583">
        <v>10</v>
      </c>
      <c r="G583">
        <v>24248</v>
      </c>
      <c r="H583">
        <v>242480</v>
      </c>
      <c r="I583">
        <f t="shared" si="9"/>
        <v>242480</v>
      </c>
    </row>
    <row r="584" spans="1:9" x14ac:dyDescent="0.3">
      <c r="A584">
        <v>10583</v>
      </c>
      <c r="B584" s="2">
        <v>45159</v>
      </c>
      <c r="C584" t="s">
        <v>12</v>
      </c>
      <c r="D584" t="s">
        <v>17</v>
      </c>
      <c r="E584" t="s">
        <v>19</v>
      </c>
      <c r="F584">
        <v>4</v>
      </c>
      <c r="G584">
        <v>33110</v>
      </c>
      <c r="H584">
        <v>132440</v>
      </c>
      <c r="I584">
        <f t="shared" si="9"/>
        <v>132440</v>
      </c>
    </row>
    <row r="585" spans="1:9" x14ac:dyDescent="0.3">
      <c r="A585">
        <v>10584</v>
      </c>
      <c r="B585" s="2">
        <v>45164</v>
      </c>
      <c r="C585" t="s">
        <v>12</v>
      </c>
      <c r="D585" t="s">
        <v>16</v>
      </c>
      <c r="E585" t="s">
        <v>22</v>
      </c>
      <c r="F585">
        <v>5</v>
      </c>
      <c r="G585">
        <v>8085</v>
      </c>
      <c r="H585">
        <v>40425</v>
      </c>
      <c r="I585">
        <f t="shared" si="9"/>
        <v>40425</v>
      </c>
    </row>
    <row r="586" spans="1:9" x14ac:dyDescent="0.3">
      <c r="A586">
        <v>10585</v>
      </c>
      <c r="B586" s="2">
        <v>45185</v>
      </c>
      <c r="C586" t="s">
        <v>14</v>
      </c>
      <c r="D586" t="s">
        <v>16</v>
      </c>
      <c r="E586" t="s">
        <v>19</v>
      </c>
      <c r="F586">
        <v>4</v>
      </c>
      <c r="G586">
        <v>56712</v>
      </c>
      <c r="H586">
        <v>226848</v>
      </c>
      <c r="I586">
        <f t="shared" si="9"/>
        <v>226848</v>
      </c>
    </row>
    <row r="587" spans="1:9" x14ac:dyDescent="0.3">
      <c r="A587">
        <v>10586</v>
      </c>
      <c r="B587" s="2">
        <v>45012</v>
      </c>
      <c r="C587" t="s">
        <v>10</v>
      </c>
      <c r="D587" t="s">
        <v>17</v>
      </c>
      <c r="E587" t="s">
        <v>21</v>
      </c>
      <c r="F587">
        <v>14</v>
      </c>
      <c r="G587">
        <v>12963</v>
      </c>
      <c r="H587">
        <v>181482</v>
      </c>
      <c r="I587">
        <f t="shared" si="9"/>
        <v>181482</v>
      </c>
    </row>
    <row r="588" spans="1:9" x14ac:dyDescent="0.3">
      <c r="A588">
        <v>10587</v>
      </c>
      <c r="B588" s="2">
        <v>44950</v>
      </c>
      <c r="C588" t="s">
        <v>12</v>
      </c>
      <c r="D588" t="s">
        <v>15</v>
      </c>
      <c r="E588" t="s">
        <v>20</v>
      </c>
      <c r="F588">
        <v>15</v>
      </c>
      <c r="G588">
        <v>55562</v>
      </c>
      <c r="H588">
        <v>833430</v>
      </c>
      <c r="I588">
        <f t="shared" si="9"/>
        <v>833430</v>
      </c>
    </row>
    <row r="589" spans="1:9" x14ac:dyDescent="0.3">
      <c r="A589">
        <v>10588</v>
      </c>
      <c r="B589" s="2">
        <v>45198</v>
      </c>
      <c r="C589" t="s">
        <v>9</v>
      </c>
      <c r="D589" t="s">
        <v>17</v>
      </c>
      <c r="E589" t="s">
        <v>21</v>
      </c>
      <c r="F589">
        <v>20</v>
      </c>
      <c r="G589">
        <v>6038</v>
      </c>
      <c r="H589">
        <v>120760</v>
      </c>
      <c r="I589">
        <f t="shared" si="9"/>
        <v>120760</v>
      </c>
    </row>
    <row r="590" spans="1:9" x14ac:dyDescent="0.3">
      <c r="A590">
        <v>10589</v>
      </c>
      <c r="B590" s="2">
        <v>45215</v>
      </c>
      <c r="C590" t="s">
        <v>12</v>
      </c>
      <c r="D590" t="s">
        <v>18</v>
      </c>
      <c r="E590" t="s">
        <v>20</v>
      </c>
      <c r="F590">
        <v>13</v>
      </c>
      <c r="G590">
        <v>4272</v>
      </c>
      <c r="H590">
        <v>55536</v>
      </c>
      <c r="I590">
        <f t="shared" si="9"/>
        <v>55536</v>
      </c>
    </row>
    <row r="591" spans="1:9" x14ac:dyDescent="0.3">
      <c r="A591">
        <v>10590</v>
      </c>
      <c r="B591" s="2">
        <v>45052</v>
      </c>
      <c r="C591" t="s">
        <v>12</v>
      </c>
      <c r="D591" t="s">
        <v>18</v>
      </c>
      <c r="E591" t="s">
        <v>22</v>
      </c>
      <c r="F591">
        <v>15</v>
      </c>
      <c r="G591">
        <v>35737</v>
      </c>
      <c r="H591">
        <v>536055</v>
      </c>
      <c r="I591">
        <f t="shared" si="9"/>
        <v>536055</v>
      </c>
    </row>
    <row r="592" spans="1:9" x14ac:dyDescent="0.3">
      <c r="A592">
        <v>10591</v>
      </c>
      <c r="B592" s="2">
        <v>44960</v>
      </c>
      <c r="C592" t="s">
        <v>9</v>
      </c>
      <c r="D592" t="s">
        <v>15</v>
      </c>
      <c r="E592" t="s">
        <v>21</v>
      </c>
      <c r="F592">
        <v>1</v>
      </c>
      <c r="G592">
        <v>32032</v>
      </c>
      <c r="H592">
        <v>32032</v>
      </c>
      <c r="I592">
        <f t="shared" si="9"/>
        <v>32032</v>
      </c>
    </row>
    <row r="593" spans="1:9" x14ac:dyDescent="0.3">
      <c r="A593">
        <v>10592</v>
      </c>
      <c r="B593" s="2">
        <v>45076</v>
      </c>
      <c r="C593" t="s">
        <v>11</v>
      </c>
      <c r="D593" t="s">
        <v>16</v>
      </c>
      <c r="E593" t="s">
        <v>22</v>
      </c>
      <c r="F593">
        <v>13</v>
      </c>
      <c r="G593">
        <v>41161</v>
      </c>
      <c r="H593">
        <v>535093</v>
      </c>
      <c r="I593">
        <f t="shared" si="9"/>
        <v>535093</v>
      </c>
    </row>
    <row r="594" spans="1:9" x14ac:dyDescent="0.3">
      <c r="A594">
        <v>10593</v>
      </c>
      <c r="B594" s="2">
        <v>44975</v>
      </c>
      <c r="C594" t="s">
        <v>12</v>
      </c>
      <c r="D594" t="s">
        <v>16</v>
      </c>
      <c r="E594" t="s">
        <v>23</v>
      </c>
      <c r="F594">
        <v>8</v>
      </c>
      <c r="G594">
        <v>51066</v>
      </c>
      <c r="H594">
        <v>408528</v>
      </c>
      <c r="I594">
        <f t="shared" si="9"/>
        <v>408528</v>
      </c>
    </row>
    <row r="595" spans="1:9" x14ac:dyDescent="0.3">
      <c r="A595">
        <v>10594</v>
      </c>
      <c r="B595" s="2">
        <v>45189</v>
      </c>
      <c r="C595" t="s">
        <v>10</v>
      </c>
      <c r="D595" t="s">
        <v>17</v>
      </c>
      <c r="E595" t="s">
        <v>22</v>
      </c>
      <c r="F595">
        <v>17</v>
      </c>
      <c r="G595">
        <v>22323</v>
      </c>
      <c r="H595">
        <v>379491</v>
      </c>
      <c r="I595">
        <f t="shared" si="9"/>
        <v>379491</v>
      </c>
    </row>
    <row r="596" spans="1:9" x14ac:dyDescent="0.3">
      <c r="A596">
        <v>10595</v>
      </c>
      <c r="B596" s="2">
        <v>45002</v>
      </c>
      <c r="C596" t="s">
        <v>10</v>
      </c>
      <c r="D596" t="s">
        <v>16</v>
      </c>
      <c r="E596" t="s">
        <v>19</v>
      </c>
      <c r="F596">
        <v>16</v>
      </c>
      <c r="G596">
        <v>17477</v>
      </c>
      <c r="H596">
        <v>279632</v>
      </c>
      <c r="I596">
        <f t="shared" si="9"/>
        <v>279632</v>
      </c>
    </row>
    <row r="597" spans="1:9" x14ac:dyDescent="0.3">
      <c r="A597">
        <v>10596</v>
      </c>
      <c r="B597" s="2">
        <v>45035</v>
      </c>
      <c r="C597" t="s">
        <v>14</v>
      </c>
      <c r="D597" t="s">
        <v>15</v>
      </c>
      <c r="E597" t="s">
        <v>23</v>
      </c>
      <c r="F597">
        <v>13</v>
      </c>
      <c r="G597">
        <v>7843</v>
      </c>
      <c r="H597">
        <v>101959</v>
      </c>
      <c r="I597">
        <f t="shared" si="9"/>
        <v>101959</v>
      </c>
    </row>
    <row r="598" spans="1:9" x14ac:dyDescent="0.3">
      <c r="A598">
        <v>10597</v>
      </c>
      <c r="B598" s="2">
        <v>44983</v>
      </c>
      <c r="C598" t="s">
        <v>13</v>
      </c>
      <c r="D598" t="s">
        <v>15</v>
      </c>
      <c r="E598" t="s">
        <v>21</v>
      </c>
      <c r="F598">
        <v>11</v>
      </c>
      <c r="G598">
        <v>34800</v>
      </c>
      <c r="H598">
        <v>382800</v>
      </c>
      <c r="I598">
        <f t="shared" si="9"/>
        <v>382800</v>
      </c>
    </row>
    <row r="599" spans="1:9" x14ac:dyDescent="0.3">
      <c r="A599">
        <v>10598</v>
      </c>
      <c r="B599" s="2">
        <v>45212</v>
      </c>
      <c r="C599" t="s">
        <v>12</v>
      </c>
      <c r="D599" t="s">
        <v>15</v>
      </c>
      <c r="E599" t="s">
        <v>21</v>
      </c>
      <c r="F599">
        <v>14</v>
      </c>
      <c r="G599">
        <v>59539</v>
      </c>
      <c r="H599">
        <v>833546</v>
      </c>
      <c r="I599">
        <f t="shared" si="9"/>
        <v>833546</v>
      </c>
    </row>
    <row r="600" spans="1:9" x14ac:dyDescent="0.3">
      <c r="A600">
        <v>10599</v>
      </c>
      <c r="B600" s="2">
        <v>45155</v>
      </c>
      <c r="C600" t="s">
        <v>12</v>
      </c>
      <c r="D600" t="s">
        <v>18</v>
      </c>
      <c r="E600" t="s">
        <v>20</v>
      </c>
      <c r="F600">
        <v>18</v>
      </c>
      <c r="G600">
        <v>4079</v>
      </c>
      <c r="H600">
        <v>73422</v>
      </c>
      <c r="I600">
        <f t="shared" si="9"/>
        <v>73422</v>
      </c>
    </row>
    <row r="601" spans="1:9" x14ac:dyDescent="0.3">
      <c r="A601">
        <v>10600</v>
      </c>
      <c r="B601" s="2">
        <v>44995</v>
      </c>
      <c r="C601" t="s">
        <v>12</v>
      </c>
      <c r="D601" t="s">
        <v>15</v>
      </c>
      <c r="E601" t="s">
        <v>21</v>
      </c>
      <c r="F601">
        <v>11</v>
      </c>
      <c r="G601">
        <v>54328</v>
      </c>
      <c r="H601">
        <v>597608</v>
      </c>
      <c r="I601">
        <f t="shared" si="9"/>
        <v>597608</v>
      </c>
    </row>
    <row r="602" spans="1:9" x14ac:dyDescent="0.3">
      <c r="A602">
        <v>10601</v>
      </c>
      <c r="B602" s="2">
        <v>45053</v>
      </c>
      <c r="C602" t="s">
        <v>9</v>
      </c>
      <c r="D602" t="s">
        <v>15</v>
      </c>
      <c r="E602" t="s">
        <v>22</v>
      </c>
      <c r="F602">
        <v>18</v>
      </c>
      <c r="G602">
        <v>45915</v>
      </c>
      <c r="H602">
        <v>826470</v>
      </c>
      <c r="I602">
        <f t="shared" si="9"/>
        <v>826470</v>
      </c>
    </row>
    <row r="603" spans="1:9" x14ac:dyDescent="0.3">
      <c r="A603">
        <v>10602</v>
      </c>
      <c r="B603" s="2">
        <v>45247</v>
      </c>
      <c r="C603" t="s">
        <v>9</v>
      </c>
      <c r="D603" t="s">
        <v>16</v>
      </c>
      <c r="E603" t="s">
        <v>24</v>
      </c>
      <c r="F603">
        <v>1</v>
      </c>
      <c r="G603">
        <v>31208</v>
      </c>
      <c r="H603">
        <v>31208</v>
      </c>
      <c r="I603">
        <f t="shared" si="9"/>
        <v>31208</v>
      </c>
    </row>
    <row r="604" spans="1:9" x14ac:dyDescent="0.3">
      <c r="A604">
        <v>10603</v>
      </c>
      <c r="B604" s="2">
        <v>45251</v>
      </c>
      <c r="C604" t="s">
        <v>12</v>
      </c>
      <c r="D604" t="s">
        <v>17</v>
      </c>
      <c r="E604" t="s">
        <v>21</v>
      </c>
      <c r="F604">
        <v>14</v>
      </c>
      <c r="G604">
        <v>25065</v>
      </c>
      <c r="H604">
        <v>350910</v>
      </c>
      <c r="I604">
        <f t="shared" si="9"/>
        <v>350910</v>
      </c>
    </row>
    <row r="605" spans="1:9" x14ac:dyDescent="0.3">
      <c r="A605">
        <v>10604</v>
      </c>
      <c r="B605" s="2">
        <v>45015</v>
      </c>
      <c r="C605" t="s">
        <v>14</v>
      </c>
      <c r="D605" t="s">
        <v>18</v>
      </c>
      <c r="E605" t="s">
        <v>22</v>
      </c>
      <c r="F605">
        <v>14</v>
      </c>
      <c r="G605">
        <v>46407</v>
      </c>
      <c r="H605">
        <v>649698</v>
      </c>
      <c r="I605">
        <f t="shared" si="9"/>
        <v>649698</v>
      </c>
    </row>
    <row r="606" spans="1:9" x14ac:dyDescent="0.3">
      <c r="A606">
        <v>10605</v>
      </c>
      <c r="B606" s="2">
        <v>45153</v>
      </c>
      <c r="C606" t="s">
        <v>12</v>
      </c>
      <c r="D606" t="s">
        <v>15</v>
      </c>
      <c r="E606" t="s">
        <v>22</v>
      </c>
      <c r="F606">
        <v>10</v>
      </c>
      <c r="G606">
        <v>32457</v>
      </c>
      <c r="H606">
        <v>324570</v>
      </c>
      <c r="I606">
        <f t="shared" si="9"/>
        <v>324570</v>
      </c>
    </row>
    <row r="607" spans="1:9" x14ac:dyDescent="0.3">
      <c r="A607">
        <v>10606</v>
      </c>
      <c r="B607" s="2">
        <v>44953</v>
      </c>
      <c r="C607" t="s">
        <v>11</v>
      </c>
      <c r="D607" t="s">
        <v>15</v>
      </c>
      <c r="E607" t="s">
        <v>20</v>
      </c>
      <c r="F607">
        <v>8</v>
      </c>
      <c r="G607">
        <v>2626</v>
      </c>
      <c r="H607">
        <v>21008</v>
      </c>
      <c r="I607">
        <f t="shared" si="9"/>
        <v>21008</v>
      </c>
    </row>
    <row r="608" spans="1:9" x14ac:dyDescent="0.3">
      <c r="A608">
        <v>10607</v>
      </c>
      <c r="B608" s="2">
        <v>45087</v>
      </c>
      <c r="C608" t="s">
        <v>10</v>
      </c>
      <c r="D608" t="s">
        <v>16</v>
      </c>
      <c r="E608" t="s">
        <v>23</v>
      </c>
      <c r="F608">
        <v>5</v>
      </c>
      <c r="G608">
        <v>19829</v>
      </c>
      <c r="H608">
        <v>99145</v>
      </c>
      <c r="I608">
        <f t="shared" si="9"/>
        <v>99145</v>
      </c>
    </row>
    <row r="609" spans="1:9" x14ac:dyDescent="0.3">
      <c r="A609">
        <v>10608</v>
      </c>
      <c r="B609" s="2">
        <v>45149</v>
      </c>
      <c r="C609" t="s">
        <v>9</v>
      </c>
      <c r="D609" t="s">
        <v>15</v>
      </c>
      <c r="E609" t="s">
        <v>20</v>
      </c>
      <c r="F609">
        <v>6</v>
      </c>
      <c r="G609">
        <v>57877</v>
      </c>
      <c r="H609">
        <v>347262</v>
      </c>
      <c r="I609">
        <f t="shared" si="9"/>
        <v>347262</v>
      </c>
    </row>
    <row r="610" spans="1:9" x14ac:dyDescent="0.3">
      <c r="A610">
        <v>10609</v>
      </c>
      <c r="B610" s="2">
        <v>45071</v>
      </c>
      <c r="C610" t="s">
        <v>10</v>
      </c>
      <c r="D610" t="s">
        <v>17</v>
      </c>
      <c r="E610" t="s">
        <v>23</v>
      </c>
      <c r="F610">
        <v>13</v>
      </c>
      <c r="G610">
        <v>45145</v>
      </c>
      <c r="H610">
        <v>586885</v>
      </c>
      <c r="I610">
        <f t="shared" si="9"/>
        <v>586885</v>
      </c>
    </row>
    <row r="611" spans="1:9" x14ac:dyDescent="0.3">
      <c r="A611">
        <v>10610</v>
      </c>
      <c r="B611" s="2">
        <v>45202</v>
      </c>
      <c r="C611" t="s">
        <v>11</v>
      </c>
      <c r="D611" t="s">
        <v>18</v>
      </c>
      <c r="E611" t="s">
        <v>23</v>
      </c>
      <c r="F611">
        <v>10</v>
      </c>
      <c r="G611">
        <v>7982</v>
      </c>
      <c r="H611">
        <v>79820</v>
      </c>
      <c r="I611">
        <f t="shared" si="9"/>
        <v>79820</v>
      </c>
    </row>
    <row r="612" spans="1:9" x14ac:dyDescent="0.3">
      <c r="A612">
        <v>10611</v>
      </c>
      <c r="B612" s="2">
        <v>44949</v>
      </c>
      <c r="C612" t="s">
        <v>10</v>
      </c>
      <c r="D612" t="s">
        <v>18</v>
      </c>
      <c r="E612" t="s">
        <v>20</v>
      </c>
      <c r="F612">
        <v>12</v>
      </c>
      <c r="G612">
        <v>11082</v>
      </c>
      <c r="H612">
        <v>132984</v>
      </c>
      <c r="I612">
        <f t="shared" si="9"/>
        <v>132984</v>
      </c>
    </row>
    <row r="613" spans="1:9" x14ac:dyDescent="0.3">
      <c r="A613">
        <v>10612</v>
      </c>
      <c r="B613" s="2">
        <v>45047</v>
      </c>
      <c r="C613" t="s">
        <v>8</v>
      </c>
      <c r="D613" t="s">
        <v>18</v>
      </c>
      <c r="E613" t="s">
        <v>20</v>
      </c>
      <c r="F613">
        <v>15</v>
      </c>
      <c r="G613">
        <v>47366</v>
      </c>
      <c r="H613">
        <v>710490</v>
      </c>
      <c r="I613">
        <f t="shared" si="9"/>
        <v>710490</v>
      </c>
    </row>
    <row r="614" spans="1:9" x14ac:dyDescent="0.3">
      <c r="A614">
        <v>10613</v>
      </c>
      <c r="B614" s="2">
        <v>45273</v>
      </c>
      <c r="C614" t="s">
        <v>9</v>
      </c>
      <c r="D614" t="s">
        <v>16</v>
      </c>
      <c r="E614" t="s">
        <v>20</v>
      </c>
      <c r="F614">
        <v>19</v>
      </c>
      <c r="G614">
        <v>55364</v>
      </c>
      <c r="H614">
        <v>1051916</v>
      </c>
      <c r="I614">
        <f t="shared" si="9"/>
        <v>1051916</v>
      </c>
    </row>
    <row r="615" spans="1:9" x14ac:dyDescent="0.3">
      <c r="A615">
        <v>10614</v>
      </c>
      <c r="B615" s="2">
        <v>44937</v>
      </c>
      <c r="C615" t="s">
        <v>12</v>
      </c>
      <c r="D615" t="s">
        <v>16</v>
      </c>
      <c r="E615" t="s">
        <v>23</v>
      </c>
      <c r="F615">
        <v>20</v>
      </c>
      <c r="G615">
        <v>32453</v>
      </c>
      <c r="H615">
        <v>649060</v>
      </c>
      <c r="I615">
        <f t="shared" si="9"/>
        <v>649060</v>
      </c>
    </row>
    <row r="616" spans="1:9" x14ac:dyDescent="0.3">
      <c r="A616">
        <v>10615</v>
      </c>
      <c r="B616" s="2">
        <v>44945</v>
      </c>
      <c r="C616" t="s">
        <v>10</v>
      </c>
      <c r="D616" t="s">
        <v>15</v>
      </c>
      <c r="E616" t="s">
        <v>24</v>
      </c>
      <c r="F616">
        <v>12</v>
      </c>
      <c r="G616">
        <v>57059</v>
      </c>
      <c r="H616">
        <v>684708</v>
      </c>
      <c r="I616">
        <f t="shared" si="9"/>
        <v>684708</v>
      </c>
    </row>
    <row r="617" spans="1:9" x14ac:dyDescent="0.3">
      <c r="A617">
        <v>10616</v>
      </c>
      <c r="B617" s="2">
        <v>45187</v>
      </c>
      <c r="C617" t="s">
        <v>13</v>
      </c>
      <c r="D617" t="s">
        <v>15</v>
      </c>
      <c r="E617" t="s">
        <v>19</v>
      </c>
      <c r="F617">
        <v>11</v>
      </c>
      <c r="G617">
        <v>30026</v>
      </c>
      <c r="H617">
        <v>330286</v>
      </c>
      <c r="I617">
        <f t="shared" si="9"/>
        <v>330286</v>
      </c>
    </row>
    <row r="618" spans="1:9" x14ac:dyDescent="0.3">
      <c r="A618">
        <v>10617</v>
      </c>
      <c r="B618" s="2">
        <v>45212</v>
      </c>
      <c r="C618" t="s">
        <v>11</v>
      </c>
      <c r="D618" t="s">
        <v>17</v>
      </c>
      <c r="E618" t="s">
        <v>19</v>
      </c>
      <c r="F618">
        <v>12</v>
      </c>
      <c r="G618">
        <v>8729</v>
      </c>
      <c r="H618">
        <v>104748</v>
      </c>
      <c r="I618">
        <f t="shared" si="9"/>
        <v>104748</v>
      </c>
    </row>
    <row r="619" spans="1:9" x14ac:dyDescent="0.3">
      <c r="A619">
        <v>10618</v>
      </c>
      <c r="B619" s="2">
        <v>45224</v>
      </c>
      <c r="C619" t="s">
        <v>13</v>
      </c>
      <c r="D619" t="s">
        <v>18</v>
      </c>
      <c r="E619" t="s">
        <v>23</v>
      </c>
      <c r="F619">
        <v>7</v>
      </c>
      <c r="G619">
        <v>52084</v>
      </c>
      <c r="H619">
        <v>364588</v>
      </c>
      <c r="I619">
        <f t="shared" si="9"/>
        <v>364588</v>
      </c>
    </row>
    <row r="620" spans="1:9" x14ac:dyDescent="0.3">
      <c r="A620">
        <v>10619</v>
      </c>
      <c r="B620" s="2">
        <v>44979</v>
      </c>
      <c r="C620" t="s">
        <v>13</v>
      </c>
      <c r="D620" t="s">
        <v>15</v>
      </c>
      <c r="E620" t="s">
        <v>20</v>
      </c>
      <c r="F620">
        <v>7</v>
      </c>
      <c r="G620">
        <v>33354</v>
      </c>
      <c r="H620">
        <v>233478</v>
      </c>
      <c r="I620">
        <f t="shared" si="9"/>
        <v>233478</v>
      </c>
    </row>
    <row r="621" spans="1:9" x14ac:dyDescent="0.3">
      <c r="A621">
        <v>10620</v>
      </c>
      <c r="B621" s="2">
        <v>45239</v>
      </c>
      <c r="C621" t="s">
        <v>10</v>
      </c>
      <c r="D621" t="s">
        <v>15</v>
      </c>
      <c r="E621" t="s">
        <v>22</v>
      </c>
      <c r="F621">
        <v>4</v>
      </c>
      <c r="G621">
        <v>52303</v>
      </c>
      <c r="H621">
        <v>209212</v>
      </c>
      <c r="I621">
        <f t="shared" si="9"/>
        <v>209212</v>
      </c>
    </row>
    <row r="622" spans="1:9" x14ac:dyDescent="0.3">
      <c r="A622">
        <v>10621</v>
      </c>
      <c r="B622" s="2">
        <v>45005</v>
      </c>
      <c r="C622" t="s">
        <v>8</v>
      </c>
      <c r="D622" t="s">
        <v>17</v>
      </c>
      <c r="E622" t="s">
        <v>19</v>
      </c>
      <c r="F622">
        <v>12</v>
      </c>
      <c r="G622">
        <v>5108</v>
      </c>
      <c r="H622">
        <v>61296</v>
      </c>
      <c r="I622">
        <f t="shared" si="9"/>
        <v>61296</v>
      </c>
    </row>
    <row r="623" spans="1:9" x14ac:dyDescent="0.3">
      <c r="A623">
        <v>10622</v>
      </c>
      <c r="B623" s="2">
        <v>44993</v>
      </c>
      <c r="C623" t="s">
        <v>8</v>
      </c>
      <c r="D623" t="s">
        <v>17</v>
      </c>
      <c r="E623" t="s">
        <v>23</v>
      </c>
      <c r="F623">
        <v>18</v>
      </c>
      <c r="G623">
        <v>38694</v>
      </c>
      <c r="H623">
        <v>696492</v>
      </c>
      <c r="I623">
        <f t="shared" si="9"/>
        <v>696492</v>
      </c>
    </row>
    <row r="624" spans="1:9" x14ac:dyDescent="0.3">
      <c r="A624">
        <v>10623</v>
      </c>
      <c r="B624" s="2">
        <v>45024</v>
      </c>
      <c r="C624" t="s">
        <v>9</v>
      </c>
      <c r="D624" t="s">
        <v>16</v>
      </c>
      <c r="E624" t="s">
        <v>24</v>
      </c>
      <c r="F624">
        <v>4</v>
      </c>
      <c r="G624">
        <v>3732</v>
      </c>
      <c r="H624">
        <v>14928</v>
      </c>
      <c r="I624">
        <f t="shared" si="9"/>
        <v>14928</v>
      </c>
    </row>
    <row r="625" spans="1:9" x14ac:dyDescent="0.3">
      <c r="A625">
        <v>10624</v>
      </c>
      <c r="B625" s="2">
        <v>45154</v>
      </c>
      <c r="C625" t="s">
        <v>9</v>
      </c>
      <c r="D625" t="s">
        <v>18</v>
      </c>
      <c r="E625" t="s">
        <v>19</v>
      </c>
      <c r="F625">
        <v>20</v>
      </c>
      <c r="G625">
        <v>58506</v>
      </c>
      <c r="H625">
        <v>1170120</v>
      </c>
      <c r="I625">
        <f t="shared" si="9"/>
        <v>1170120</v>
      </c>
    </row>
    <row r="626" spans="1:9" x14ac:dyDescent="0.3">
      <c r="A626">
        <v>10625</v>
      </c>
      <c r="B626" s="2">
        <v>44941</v>
      </c>
      <c r="C626" t="s">
        <v>9</v>
      </c>
      <c r="D626" t="s">
        <v>16</v>
      </c>
      <c r="E626" t="s">
        <v>20</v>
      </c>
      <c r="F626">
        <v>13</v>
      </c>
      <c r="G626">
        <v>43043</v>
      </c>
      <c r="H626">
        <v>559559</v>
      </c>
      <c r="I626">
        <f t="shared" si="9"/>
        <v>559559</v>
      </c>
    </row>
    <row r="627" spans="1:9" x14ac:dyDescent="0.3">
      <c r="A627">
        <v>10626</v>
      </c>
      <c r="B627" s="2">
        <v>44970</v>
      </c>
      <c r="C627" t="s">
        <v>12</v>
      </c>
      <c r="D627" t="s">
        <v>17</v>
      </c>
      <c r="E627" t="s">
        <v>19</v>
      </c>
      <c r="F627">
        <v>10</v>
      </c>
      <c r="G627">
        <v>28085</v>
      </c>
      <c r="H627">
        <v>280850</v>
      </c>
      <c r="I627">
        <f t="shared" si="9"/>
        <v>280850</v>
      </c>
    </row>
    <row r="628" spans="1:9" x14ac:dyDescent="0.3">
      <c r="A628">
        <v>10627</v>
      </c>
      <c r="B628" s="2">
        <v>45252</v>
      </c>
      <c r="C628" t="s">
        <v>14</v>
      </c>
      <c r="D628" t="s">
        <v>17</v>
      </c>
      <c r="E628" t="s">
        <v>23</v>
      </c>
      <c r="F628">
        <v>4</v>
      </c>
      <c r="G628">
        <v>56150</v>
      </c>
      <c r="H628">
        <v>224600</v>
      </c>
      <c r="I628">
        <f t="shared" si="9"/>
        <v>224600</v>
      </c>
    </row>
    <row r="629" spans="1:9" x14ac:dyDescent="0.3">
      <c r="A629">
        <v>10628</v>
      </c>
      <c r="B629" s="2">
        <v>45290</v>
      </c>
      <c r="C629" t="s">
        <v>12</v>
      </c>
      <c r="D629" t="s">
        <v>17</v>
      </c>
      <c r="E629" t="s">
        <v>23</v>
      </c>
      <c r="F629">
        <v>17</v>
      </c>
      <c r="G629">
        <v>20203</v>
      </c>
      <c r="H629">
        <v>343451</v>
      </c>
      <c r="I629">
        <f t="shared" si="9"/>
        <v>343451</v>
      </c>
    </row>
    <row r="630" spans="1:9" x14ac:dyDescent="0.3">
      <c r="A630">
        <v>10629</v>
      </c>
      <c r="B630" s="2">
        <v>45178</v>
      </c>
      <c r="C630" t="s">
        <v>10</v>
      </c>
      <c r="D630" t="s">
        <v>18</v>
      </c>
      <c r="E630" t="s">
        <v>23</v>
      </c>
      <c r="F630">
        <v>11</v>
      </c>
      <c r="G630">
        <v>49016</v>
      </c>
      <c r="H630">
        <v>539176</v>
      </c>
      <c r="I630">
        <f t="shared" si="9"/>
        <v>539176</v>
      </c>
    </row>
    <row r="631" spans="1:9" x14ac:dyDescent="0.3">
      <c r="A631">
        <v>10630</v>
      </c>
      <c r="B631" s="2">
        <v>44986</v>
      </c>
      <c r="C631" t="s">
        <v>11</v>
      </c>
      <c r="D631" t="s">
        <v>17</v>
      </c>
      <c r="E631" t="s">
        <v>24</v>
      </c>
      <c r="F631">
        <v>7</v>
      </c>
      <c r="G631">
        <v>6418</v>
      </c>
      <c r="H631">
        <v>44926</v>
      </c>
      <c r="I631">
        <f t="shared" si="9"/>
        <v>44926</v>
      </c>
    </row>
    <row r="632" spans="1:9" x14ac:dyDescent="0.3">
      <c r="A632">
        <v>10631</v>
      </c>
      <c r="B632" s="2">
        <v>45032</v>
      </c>
      <c r="C632" t="s">
        <v>10</v>
      </c>
      <c r="D632" t="s">
        <v>15</v>
      </c>
      <c r="E632" t="s">
        <v>24</v>
      </c>
      <c r="F632">
        <v>15</v>
      </c>
      <c r="G632">
        <v>57206</v>
      </c>
      <c r="H632">
        <v>858090</v>
      </c>
      <c r="I632">
        <f t="shared" si="9"/>
        <v>858090</v>
      </c>
    </row>
    <row r="633" spans="1:9" x14ac:dyDescent="0.3">
      <c r="A633">
        <v>10632</v>
      </c>
      <c r="B633" s="2">
        <v>45269</v>
      </c>
      <c r="C633" t="s">
        <v>14</v>
      </c>
      <c r="D633" t="s">
        <v>16</v>
      </c>
      <c r="E633" t="s">
        <v>21</v>
      </c>
      <c r="F633">
        <v>10</v>
      </c>
      <c r="G633">
        <v>49528</v>
      </c>
      <c r="H633">
        <v>495280</v>
      </c>
      <c r="I633">
        <f t="shared" si="9"/>
        <v>495280</v>
      </c>
    </row>
    <row r="634" spans="1:9" x14ac:dyDescent="0.3">
      <c r="A634">
        <v>10633</v>
      </c>
      <c r="B634" s="2">
        <v>45094</v>
      </c>
      <c r="C634" t="s">
        <v>9</v>
      </c>
      <c r="D634" t="s">
        <v>17</v>
      </c>
      <c r="E634" t="s">
        <v>20</v>
      </c>
      <c r="F634">
        <v>13</v>
      </c>
      <c r="G634">
        <v>34773</v>
      </c>
      <c r="H634">
        <v>452049</v>
      </c>
      <c r="I634">
        <f t="shared" si="9"/>
        <v>452049</v>
      </c>
    </row>
    <row r="635" spans="1:9" x14ac:dyDescent="0.3">
      <c r="A635">
        <v>10634</v>
      </c>
      <c r="B635" s="2">
        <v>45081</v>
      </c>
      <c r="C635" t="s">
        <v>11</v>
      </c>
      <c r="D635" t="s">
        <v>15</v>
      </c>
      <c r="E635" t="s">
        <v>24</v>
      </c>
      <c r="F635">
        <v>3</v>
      </c>
      <c r="G635">
        <v>5358</v>
      </c>
      <c r="H635">
        <v>16074</v>
      </c>
      <c r="I635">
        <f t="shared" si="9"/>
        <v>16074</v>
      </c>
    </row>
    <row r="636" spans="1:9" x14ac:dyDescent="0.3">
      <c r="A636">
        <v>10635</v>
      </c>
      <c r="B636" s="2">
        <v>45075</v>
      </c>
      <c r="C636" t="s">
        <v>11</v>
      </c>
      <c r="D636" t="s">
        <v>15</v>
      </c>
      <c r="E636" t="s">
        <v>22</v>
      </c>
      <c r="F636">
        <v>19</v>
      </c>
      <c r="G636">
        <v>25152</v>
      </c>
      <c r="H636">
        <v>477888</v>
      </c>
      <c r="I636">
        <f t="shared" si="9"/>
        <v>477888</v>
      </c>
    </row>
    <row r="637" spans="1:9" x14ac:dyDescent="0.3">
      <c r="A637">
        <v>10636</v>
      </c>
      <c r="B637" s="2">
        <v>45049</v>
      </c>
      <c r="C637" t="s">
        <v>13</v>
      </c>
      <c r="D637" t="s">
        <v>15</v>
      </c>
      <c r="E637" t="s">
        <v>22</v>
      </c>
      <c r="F637">
        <v>11</v>
      </c>
      <c r="G637">
        <v>39510</v>
      </c>
      <c r="H637">
        <v>434610</v>
      </c>
      <c r="I637">
        <f t="shared" si="9"/>
        <v>434610</v>
      </c>
    </row>
    <row r="638" spans="1:9" x14ac:dyDescent="0.3">
      <c r="A638">
        <v>10637</v>
      </c>
      <c r="B638" s="2">
        <v>44927</v>
      </c>
      <c r="C638" t="s">
        <v>12</v>
      </c>
      <c r="D638" t="s">
        <v>18</v>
      </c>
      <c r="E638" t="s">
        <v>19</v>
      </c>
      <c r="F638">
        <v>9</v>
      </c>
      <c r="G638">
        <v>17984</v>
      </c>
      <c r="H638">
        <v>161856</v>
      </c>
      <c r="I638">
        <f t="shared" si="9"/>
        <v>161856</v>
      </c>
    </row>
    <row r="639" spans="1:9" x14ac:dyDescent="0.3">
      <c r="A639">
        <v>10638</v>
      </c>
      <c r="B639" s="2">
        <v>45146</v>
      </c>
      <c r="C639" t="s">
        <v>9</v>
      </c>
      <c r="D639" t="s">
        <v>15</v>
      </c>
      <c r="E639" t="s">
        <v>19</v>
      </c>
      <c r="F639">
        <v>10</v>
      </c>
      <c r="G639">
        <v>15130</v>
      </c>
      <c r="H639">
        <v>151300</v>
      </c>
      <c r="I639">
        <f t="shared" si="9"/>
        <v>151300</v>
      </c>
    </row>
    <row r="640" spans="1:9" x14ac:dyDescent="0.3">
      <c r="A640">
        <v>10639</v>
      </c>
      <c r="B640" s="2">
        <v>45178</v>
      </c>
      <c r="C640" t="s">
        <v>11</v>
      </c>
      <c r="D640" t="s">
        <v>15</v>
      </c>
      <c r="E640" t="s">
        <v>21</v>
      </c>
      <c r="F640">
        <v>8</v>
      </c>
      <c r="G640">
        <v>50153</v>
      </c>
      <c r="H640">
        <v>401224</v>
      </c>
      <c r="I640">
        <f t="shared" si="9"/>
        <v>401224</v>
      </c>
    </row>
    <row r="641" spans="1:9" x14ac:dyDescent="0.3">
      <c r="A641">
        <v>10640</v>
      </c>
      <c r="B641" s="2">
        <v>44945</v>
      </c>
      <c r="C641" t="s">
        <v>11</v>
      </c>
      <c r="D641" t="s">
        <v>15</v>
      </c>
      <c r="E641" t="s">
        <v>23</v>
      </c>
      <c r="F641">
        <v>9</v>
      </c>
      <c r="G641">
        <v>28663</v>
      </c>
      <c r="H641">
        <v>257967</v>
      </c>
      <c r="I641">
        <f t="shared" si="9"/>
        <v>257967</v>
      </c>
    </row>
    <row r="642" spans="1:9" x14ac:dyDescent="0.3">
      <c r="A642">
        <v>10641</v>
      </c>
      <c r="B642" s="2">
        <v>45072</v>
      </c>
      <c r="C642" t="s">
        <v>13</v>
      </c>
      <c r="D642" t="s">
        <v>16</v>
      </c>
      <c r="E642" t="s">
        <v>21</v>
      </c>
      <c r="F642">
        <v>14</v>
      </c>
      <c r="G642">
        <v>39062</v>
      </c>
      <c r="H642">
        <v>546868</v>
      </c>
      <c r="I642">
        <f t="shared" si="9"/>
        <v>546868</v>
      </c>
    </row>
    <row r="643" spans="1:9" x14ac:dyDescent="0.3">
      <c r="A643">
        <v>10642</v>
      </c>
      <c r="B643" s="2">
        <v>45133</v>
      </c>
      <c r="C643" t="s">
        <v>11</v>
      </c>
      <c r="D643" t="s">
        <v>18</v>
      </c>
      <c r="E643" t="s">
        <v>20</v>
      </c>
      <c r="F643">
        <v>6</v>
      </c>
      <c r="G643">
        <v>17001</v>
      </c>
      <c r="H643">
        <v>102006</v>
      </c>
      <c r="I643">
        <f t="shared" ref="I643:I706" si="10">G643*F643</f>
        <v>102006</v>
      </c>
    </row>
    <row r="644" spans="1:9" x14ac:dyDescent="0.3">
      <c r="A644">
        <v>10643</v>
      </c>
      <c r="B644" s="2">
        <v>45117</v>
      </c>
      <c r="C644" t="s">
        <v>14</v>
      </c>
      <c r="D644" t="s">
        <v>15</v>
      </c>
      <c r="E644" t="s">
        <v>21</v>
      </c>
      <c r="F644">
        <v>8</v>
      </c>
      <c r="G644">
        <v>25860</v>
      </c>
      <c r="H644">
        <v>206880</v>
      </c>
      <c r="I644">
        <f t="shared" si="10"/>
        <v>206880</v>
      </c>
    </row>
    <row r="645" spans="1:9" x14ac:dyDescent="0.3">
      <c r="A645">
        <v>10644</v>
      </c>
      <c r="B645" s="2">
        <v>45188</v>
      </c>
      <c r="C645" t="s">
        <v>9</v>
      </c>
      <c r="D645" t="s">
        <v>16</v>
      </c>
      <c r="E645" t="s">
        <v>24</v>
      </c>
      <c r="F645">
        <v>1</v>
      </c>
      <c r="G645">
        <v>43892</v>
      </c>
      <c r="H645">
        <v>43892</v>
      </c>
      <c r="I645">
        <f t="shared" si="10"/>
        <v>43892</v>
      </c>
    </row>
    <row r="646" spans="1:9" x14ac:dyDescent="0.3">
      <c r="A646">
        <v>10645</v>
      </c>
      <c r="B646" s="2">
        <v>45053</v>
      </c>
      <c r="C646" t="s">
        <v>10</v>
      </c>
      <c r="D646" t="s">
        <v>16</v>
      </c>
      <c r="E646" t="s">
        <v>24</v>
      </c>
      <c r="F646">
        <v>10</v>
      </c>
      <c r="G646">
        <v>39869</v>
      </c>
      <c r="H646">
        <v>398690</v>
      </c>
      <c r="I646">
        <f t="shared" si="10"/>
        <v>398690</v>
      </c>
    </row>
    <row r="647" spans="1:9" x14ac:dyDescent="0.3">
      <c r="A647">
        <v>10646</v>
      </c>
      <c r="B647" s="2">
        <v>45055</v>
      </c>
      <c r="C647" t="s">
        <v>13</v>
      </c>
      <c r="D647" t="s">
        <v>17</v>
      </c>
      <c r="E647" t="s">
        <v>24</v>
      </c>
      <c r="F647">
        <v>9</v>
      </c>
      <c r="G647">
        <v>24552</v>
      </c>
      <c r="H647">
        <v>220968</v>
      </c>
      <c r="I647">
        <f t="shared" si="10"/>
        <v>220968</v>
      </c>
    </row>
    <row r="648" spans="1:9" x14ac:dyDescent="0.3">
      <c r="A648">
        <v>10647</v>
      </c>
      <c r="B648" s="2">
        <v>45179</v>
      </c>
      <c r="C648" t="s">
        <v>13</v>
      </c>
      <c r="D648" t="s">
        <v>15</v>
      </c>
      <c r="E648" t="s">
        <v>24</v>
      </c>
      <c r="F648">
        <v>2</v>
      </c>
      <c r="G648">
        <v>11437</v>
      </c>
      <c r="H648">
        <v>22874</v>
      </c>
      <c r="I648">
        <f t="shared" si="10"/>
        <v>22874</v>
      </c>
    </row>
    <row r="649" spans="1:9" x14ac:dyDescent="0.3">
      <c r="A649">
        <v>10648</v>
      </c>
      <c r="B649" s="2">
        <v>44952</v>
      </c>
      <c r="C649" t="s">
        <v>14</v>
      </c>
      <c r="D649" t="s">
        <v>17</v>
      </c>
      <c r="E649" t="s">
        <v>23</v>
      </c>
      <c r="F649">
        <v>2</v>
      </c>
      <c r="G649">
        <v>7029</v>
      </c>
      <c r="H649">
        <v>14058</v>
      </c>
      <c r="I649">
        <f t="shared" si="10"/>
        <v>14058</v>
      </c>
    </row>
    <row r="650" spans="1:9" x14ac:dyDescent="0.3">
      <c r="A650">
        <v>10649</v>
      </c>
      <c r="B650" s="2">
        <v>44985</v>
      </c>
      <c r="C650" t="s">
        <v>9</v>
      </c>
      <c r="D650" t="s">
        <v>16</v>
      </c>
      <c r="E650" t="s">
        <v>21</v>
      </c>
      <c r="F650">
        <v>18</v>
      </c>
      <c r="G650">
        <v>39225</v>
      </c>
      <c r="H650">
        <v>706050</v>
      </c>
      <c r="I650">
        <f t="shared" si="10"/>
        <v>706050</v>
      </c>
    </row>
    <row r="651" spans="1:9" x14ac:dyDescent="0.3">
      <c r="A651">
        <v>10650</v>
      </c>
      <c r="B651" s="2">
        <v>44974</v>
      </c>
      <c r="C651" t="s">
        <v>11</v>
      </c>
      <c r="D651" t="s">
        <v>18</v>
      </c>
      <c r="E651" t="s">
        <v>24</v>
      </c>
      <c r="F651">
        <v>5</v>
      </c>
      <c r="G651">
        <v>28995</v>
      </c>
      <c r="H651">
        <v>144975</v>
      </c>
      <c r="I651">
        <f t="shared" si="10"/>
        <v>144975</v>
      </c>
    </row>
    <row r="652" spans="1:9" x14ac:dyDescent="0.3">
      <c r="A652">
        <v>10651</v>
      </c>
      <c r="B652" s="2">
        <v>45160</v>
      </c>
      <c r="C652" t="s">
        <v>13</v>
      </c>
      <c r="D652" t="s">
        <v>17</v>
      </c>
      <c r="E652" t="s">
        <v>24</v>
      </c>
      <c r="F652">
        <v>16</v>
      </c>
      <c r="G652">
        <v>42446</v>
      </c>
      <c r="H652">
        <v>679136</v>
      </c>
      <c r="I652">
        <f t="shared" si="10"/>
        <v>679136</v>
      </c>
    </row>
    <row r="653" spans="1:9" x14ac:dyDescent="0.3">
      <c r="A653">
        <v>10652</v>
      </c>
      <c r="B653" s="2">
        <v>45178</v>
      </c>
      <c r="C653" t="s">
        <v>9</v>
      </c>
      <c r="D653" t="s">
        <v>18</v>
      </c>
      <c r="E653" t="s">
        <v>23</v>
      </c>
      <c r="F653">
        <v>1</v>
      </c>
      <c r="G653">
        <v>42799</v>
      </c>
      <c r="H653">
        <v>42799</v>
      </c>
      <c r="I653">
        <f t="shared" si="10"/>
        <v>42799</v>
      </c>
    </row>
    <row r="654" spans="1:9" x14ac:dyDescent="0.3">
      <c r="A654">
        <v>10653</v>
      </c>
      <c r="B654" s="2">
        <v>45090</v>
      </c>
      <c r="C654" t="s">
        <v>10</v>
      </c>
      <c r="D654" t="s">
        <v>18</v>
      </c>
      <c r="E654" t="s">
        <v>21</v>
      </c>
      <c r="F654">
        <v>16</v>
      </c>
      <c r="G654">
        <v>37076</v>
      </c>
      <c r="H654">
        <v>593216</v>
      </c>
      <c r="I654">
        <f t="shared" si="10"/>
        <v>593216</v>
      </c>
    </row>
    <row r="655" spans="1:9" x14ac:dyDescent="0.3">
      <c r="A655">
        <v>10654</v>
      </c>
      <c r="B655" s="2">
        <v>45257</v>
      </c>
      <c r="C655" t="s">
        <v>14</v>
      </c>
      <c r="D655" t="s">
        <v>16</v>
      </c>
      <c r="E655" t="s">
        <v>20</v>
      </c>
      <c r="F655">
        <v>12</v>
      </c>
      <c r="G655">
        <v>25126</v>
      </c>
      <c r="H655">
        <v>301512</v>
      </c>
      <c r="I655">
        <f t="shared" si="10"/>
        <v>301512</v>
      </c>
    </row>
    <row r="656" spans="1:9" x14ac:dyDescent="0.3">
      <c r="A656">
        <v>10655</v>
      </c>
      <c r="B656" s="2">
        <v>44976</v>
      </c>
      <c r="C656" t="s">
        <v>9</v>
      </c>
      <c r="D656" t="s">
        <v>16</v>
      </c>
      <c r="E656" t="s">
        <v>24</v>
      </c>
      <c r="F656">
        <v>10</v>
      </c>
      <c r="G656">
        <v>34866</v>
      </c>
      <c r="H656">
        <v>348660</v>
      </c>
      <c r="I656">
        <f t="shared" si="10"/>
        <v>348660</v>
      </c>
    </row>
    <row r="657" spans="1:9" x14ac:dyDescent="0.3">
      <c r="A657">
        <v>10656</v>
      </c>
      <c r="B657" s="2">
        <v>44983</v>
      </c>
      <c r="C657" t="s">
        <v>14</v>
      </c>
      <c r="D657" t="s">
        <v>18</v>
      </c>
      <c r="E657" t="s">
        <v>22</v>
      </c>
      <c r="F657">
        <v>6</v>
      </c>
      <c r="G657">
        <v>30703</v>
      </c>
      <c r="H657">
        <v>184218</v>
      </c>
      <c r="I657">
        <f t="shared" si="10"/>
        <v>184218</v>
      </c>
    </row>
    <row r="658" spans="1:9" x14ac:dyDescent="0.3">
      <c r="A658">
        <v>10657</v>
      </c>
      <c r="B658" s="2">
        <v>45194</v>
      </c>
      <c r="C658" t="s">
        <v>12</v>
      </c>
      <c r="D658" t="s">
        <v>16</v>
      </c>
      <c r="E658" t="s">
        <v>24</v>
      </c>
      <c r="F658">
        <v>7</v>
      </c>
      <c r="G658">
        <v>10211</v>
      </c>
      <c r="H658">
        <v>71477</v>
      </c>
      <c r="I658">
        <f t="shared" si="10"/>
        <v>71477</v>
      </c>
    </row>
    <row r="659" spans="1:9" x14ac:dyDescent="0.3">
      <c r="A659">
        <v>10658</v>
      </c>
      <c r="B659" s="2">
        <v>44951</v>
      </c>
      <c r="C659" t="s">
        <v>8</v>
      </c>
      <c r="D659" t="s">
        <v>15</v>
      </c>
      <c r="E659" t="s">
        <v>19</v>
      </c>
      <c r="F659">
        <v>6</v>
      </c>
      <c r="G659">
        <v>38011</v>
      </c>
      <c r="H659">
        <v>228066</v>
      </c>
      <c r="I659">
        <f t="shared" si="10"/>
        <v>228066</v>
      </c>
    </row>
    <row r="660" spans="1:9" x14ac:dyDescent="0.3">
      <c r="A660">
        <v>10659</v>
      </c>
      <c r="B660" s="2">
        <v>44968</v>
      </c>
      <c r="C660" t="s">
        <v>13</v>
      </c>
      <c r="D660" t="s">
        <v>17</v>
      </c>
      <c r="E660" t="s">
        <v>20</v>
      </c>
      <c r="F660">
        <v>17</v>
      </c>
      <c r="G660">
        <v>16638</v>
      </c>
      <c r="H660">
        <v>282846</v>
      </c>
      <c r="I660">
        <f t="shared" si="10"/>
        <v>282846</v>
      </c>
    </row>
    <row r="661" spans="1:9" x14ac:dyDescent="0.3">
      <c r="A661">
        <v>10660</v>
      </c>
      <c r="B661" s="2">
        <v>45154</v>
      </c>
      <c r="C661" t="s">
        <v>9</v>
      </c>
      <c r="D661" t="s">
        <v>16</v>
      </c>
      <c r="E661" t="s">
        <v>23</v>
      </c>
      <c r="F661">
        <v>7</v>
      </c>
      <c r="G661">
        <v>36448</v>
      </c>
      <c r="H661">
        <v>255136</v>
      </c>
      <c r="I661">
        <f t="shared" si="10"/>
        <v>255136</v>
      </c>
    </row>
    <row r="662" spans="1:9" x14ac:dyDescent="0.3">
      <c r="A662">
        <v>10661</v>
      </c>
      <c r="B662" s="2">
        <v>44932</v>
      </c>
      <c r="C662" t="s">
        <v>8</v>
      </c>
      <c r="D662" t="s">
        <v>16</v>
      </c>
      <c r="E662" t="s">
        <v>22</v>
      </c>
      <c r="F662">
        <v>5</v>
      </c>
      <c r="G662">
        <v>31220</v>
      </c>
      <c r="H662">
        <v>156100</v>
      </c>
      <c r="I662">
        <f t="shared" si="10"/>
        <v>156100</v>
      </c>
    </row>
    <row r="663" spans="1:9" x14ac:dyDescent="0.3">
      <c r="A663">
        <v>10662</v>
      </c>
      <c r="B663" s="2">
        <v>45168</v>
      </c>
      <c r="C663" t="s">
        <v>12</v>
      </c>
      <c r="D663" t="s">
        <v>15</v>
      </c>
      <c r="E663" t="s">
        <v>23</v>
      </c>
      <c r="F663">
        <v>10</v>
      </c>
      <c r="G663">
        <v>52330</v>
      </c>
      <c r="H663">
        <v>523300</v>
      </c>
      <c r="I663">
        <f t="shared" si="10"/>
        <v>523300</v>
      </c>
    </row>
    <row r="664" spans="1:9" x14ac:dyDescent="0.3">
      <c r="A664">
        <v>10663</v>
      </c>
      <c r="B664" s="2">
        <v>45248</v>
      </c>
      <c r="C664" t="s">
        <v>9</v>
      </c>
      <c r="D664" t="s">
        <v>15</v>
      </c>
      <c r="E664" t="s">
        <v>22</v>
      </c>
      <c r="F664">
        <v>2</v>
      </c>
      <c r="G664">
        <v>58446</v>
      </c>
      <c r="H664">
        <v>116892</v>
      </c>
      <c r="I664">
        <f t="shared" si="10"/>
        <v>116892</v>
      </c>
    </row>
    <row r="665" spans="1:9" x14ac:dyDescent="0.3">
      <c r="A665">
        <v>10664</v>
      </c>
      <c r="B665" s="2">
        <v>45051</v>
      </c>
      <c r="C665" t="s">
        <v>8</v>
      </c>
      <c r="D665" t="s">
        <v>15</v>
      </c>
      <c r="E665" t="s">
        <v>20</v>
      </c>
      <c r="F665">
        <v>7</v>
      </c>
      <c r="G665">
        <v>55522</v>
      </c>
      <c r="H665">
        <v>388654</v>
      </c>
      <c r="I665">
        <f t="shared" si="10"/>
        <v>388654</v>
      </c>
    </row>
    <row r="666" spans="1:9" x14ac:dyDescent="0.3">
      <c r="A666">
        <v>10665</v>
      </c>
      <c r="B666" s="2">
        <v>45147</v>
      </c>
      <c r="C666" t="s">
        <v>10</v>
      </c>
      <c r="D666" t="s">
        <v>18</v>
      </c>
      <c r="E666" t="s">
        <v>22</v>
      </c>
      <c r="F666">
        <v>15</v>
      </c>
      <c r="G666">
        <v>32783</v>
      </c>
      <c r="H666">
        <v>491745</v>
      </c>
      <c r="I666">
        <f t="shared" si="10"/>
        <v>491745</v>
      </c>
    </row>
    <row r="667" spans="1:9" x14ac:dyDescent="0.3">
      <c r="A667">
        <v>10666</v>
      </c>
      <c r="B667" s="2">
        <v>45012</v>
      </c>
      <c r="C667" t="s">
        <v>11</v>
      </c>
      <c r="D667" t="s">
        <v>18</v>
      </c>
      <c r="E667" t="s">
        <v>20</v>
      </c>
      <c r="F667">
        <v>12</v>
      </c>
      <c r="G667">
        <v>6002</v>
      </c>
      <c r="H667">
        <v>72024</v>
      </c>
      <c r="I667">
        <f t="shared" si="10"/>
        <v>72024</v>
      </c>
    </row>
    <row r="668" spans="1:9" x14ac:dyDescent="0.3">
      <c r="A668">
        <v>10667</v>
      </c>
      <c r="B668" s="2">
        <v>45001</v>
      </c>
      <c r="C668" t="s">
        <v>14</v>
      </c>
      <c r="D668" t="s">
        <v>17</v>
      </c>
      <c r="E668" t="s">
        <v>24</v>
      </c>
      <c r="F668">
        <v>15</v>
      </c>
      <c r="G668">
        <v>5534</v>
      </c>
      <c r="H668">
        <v>83010</v>
      </c>
      <c r="I668">
        <f t="shared" si="10"/>
        <v>83010</v>
      </c>
    </row>
    <row r="669" spans="1:9" x14ac:dyDescent="0.3">
      <c r="A669">
        <v>10668</v>
      </c>
      <c r="B669" s="2">
        <v>45109</v>
      </c>
      <c r="C669" t="s">
        <v>8</v>
      </c>
      <c r="D669" t="s">
        <v>17</v>
      </c>
      <c r="E669" t="s">
        <v>22</v>
      </c>
      <c r="F669">
        <v>7</v>
      </c>
      <c r="G669">
        <v>42921</v>
      </c>
      <c r="H669">
        <v>300447</v>
      </c>
      <c r="I669">
        <f t="shared" si="10"/>
        <v>300447</v>
      </c>
    </row>
    <row r="670" spans="1:9" x14ac:dyDescent="0.3">
      <c r="A670">
        <v>10669</v>
      </c>
      <c r="B670" s="2">
        <v>45286</v>
      </c>
      <c r="C670" t="s">
        <v>9</v>
      </c>
      <c r="D670" t="s">
        <v>18</v>
      </c>
      <c r="E670" t="s">
        <v>23</v>
      </c>
      <c r="F670">
        <v>20</v>
      </c>
      <c r="G670">
        <v>53157</v>
      </c>
      <c r="H670">
        <v>1063140</v>
      </c>
      <c r="I670">
        <f t="shared" si="10"/>
        <v>1063140</v>
      </c>
    </row>
    <row r="671" spans="1:9" x14ac:dyDescent="0.3">
      <c r="A671">
        <v>10670</v>
      </c>
      <c r="B671" s="2">
        <v>44963</v>
      </c>
      <c r="C671" t="s">
        <v>9</v>
      </c>
      <c r="D671" t="s">
        <v>16</v>
      </c>
      <c r="E671" t="s">
        <v>24</v>
      </c>
      <c r="F671">
        <v>18</v>
      </c>
      <c r="G671">
        <v>29077</v>
      </c>
      <c r="H671">
        <v>523386</v>
      </c>
      <c r="I671">
        <f t="shared" si="10"/>
        <v>523386</v>
      </c>
    </row>
    <row r="672" spans="1:9" x14ac:dyDescent="0.3">
      <c r="A672">
        <v>10671</v>
      </c>
      <c r="B672" s="2">
        <v>45052</v>
      </c>
      <c r="C672" t="s">
        <v>8</v>
      </c>
      <c r="D672" t="s">
        <v>15</v>
      </c>
      <c r="E672" t="s">
        <v>22</v>
      </c>
      <c r="F672">
        <v>14</v>
      </c>
      <c r="G672">
        <v>21970</v>
      </c>
      <c r="H672">
        <v>307580</v>
      </c>
      <c r="I672">
        <f t="shared" si="10"/>
        <v>307580</v>
      </c>
    </row>
    <row r="673" spans="1:9" x14ac:dyDescent="0.3">
      <c r="A673">
        <v>10672</v>
      </c>
      <c r="B673" s="2">
        <v>45116</v>
      </c>
      <c r="C673" t="s">
        <v>8</v>
      </c>
      <c r="D673" t="s">
        <v>17</v>
      </c>
      <c r="E673" t="s">
        <v>23</v>
      </c>
      <c r="F673">
        <v>18</v>
      </c>
      <c r="G673">
        <v>4586</v>
      </c>
      <c r="H673">
        <v>82548</v>
      </c>
      <c r="I673">
        <f t="shared" si="10"/>
        <v>82548</v>
      </c>
    </row>
    <row r="674" spans="1:9" x14ac:dyDescent="0.3">
      <c r="A674">
        <v>10673</v>
      </c>
      <c r="B674" s="2">
        <v>45219</v>
      </c>
      <c r="C674" t="s">
        <v>8</v>
      </c>
      <c r="D674" t="s">
        <v>15</v>
      </c>
      <c r="E674" t="s">
        <v>20</v>
      </c>
      <c r="F674">
        <v>7</v>
      </c>
      <c r="G674">
        <v>50003</v>
      </c>
      <c r="H674">
        <v>350021</v>
      </c>
      <c r="I674">
        <f t="shared" si="10"/>
        <v>350021</v>
      </c>
    </row>
    <row r="675" spans="1:9" x14ac:dyDescent="0.3">
      <c r="A675">
        <v>10674</v>
      </c>
      <c r="B675" s="2">
        <v>45166</v>
      </c>
      <c r="C675" t="s">
        <v>8</v>
      </c>
      <c r="D675" t="s">
        <v>18</v>
      </c>
      <c r="E675" t="s">
        <v>21</v>
      </c>
      <c r="F675">
        <v>2</v>
      </c>
      <c r="G675">
        <v>7417</v>
      </c>
      <c r="H675">
        <v>14834</v>
      </c>
      <c r="I675">
        <f t="shared" si="10"/>
        <v>14834</v>
      </c>
    </row>
    <row r="676" spans="1:9" x14ac:dyDescent="0.3">
      <c r="A676">
        <v>10675</v>
      </c>
      <c r="B676" s="2">
        <v>45289</v>
      </c>
      <c r="C676" t="s">
        <v>14</v>
      </c>
      <c r="D676" t="s">
        <v>15</v>
      </c>
      <c r="E676" t="s">
        <v>22</v>
      </c>
      <c r="F676">
        <v>18</v>
      </c>
      <c r="G676">
        <v>54003</v>
      </c>
      <c r="H676">
        <v>972054</v>
      </c>
      <c r="I676">
        <f t="shared" si="10"/>
        <v>972054</v>
      </c>
    </row>
    <row r="677" spans="1:9" x14ac:dyDescent="0.3">
      <c r="A677">
        <v>10676</v>
      </c>
      <c r="B677" s="2">
        <v>44996</v>
      </c>
      <c r="C677" t="s">
        <v>12</v>
      </c>
      <c r="D677" t="s">
        <v>17</v>
      </c>
      <c r="E677" t="s">
        <v>19</v>
      </c>
      <c r="F677">
        <v>3</v>
      </c>
      <c r="G677">
        <v>34690</v>
      </c>
      <c r="H677">
        <v>104070</v>
      </c>
      <c r="I677">
        <f t="shared" si="10"/>
        <v>104070</v>
      </c>
    </row>
    <row r="678" spans="1:9" x14ac:dyDescent="0.3">
      <c r="A678">
        <v>10677</v>
      </c>
      <c r="B678" s="2">
        <v>45172</v>
      </c>
      <c r="C678" t="s">
        <v>14</v>
      </c>
      <c r="D678" t="s">
        <v>16</v>
      </c>
      <c r="E678" t="s">
        <v>23</v>
      </c>
      <c r="F678">
        <v>6</v>
      </c>
      <c r="G678">
        <v>16573</v>
      </c>
      <c r="H678">
        <v>99438</v>
      </c>
      <c r="I678">
        <f t="shared" si="10"/>
        <v>99438</v>
      </c>
    </row>
    <row r="679" spans="1:9" x14ac:dyDescent="0.3">
      <c r="A679">
        <v>10678</v>
      </c>
      <c r="B679" s="2">
        <v>45010</v>
      </c>
      <c r="C679" t="s">
        <v>11</v>
      </c>
      <c r="D679" t="s">
        <v>18</v>
      </c>
      <c r="E679" t="s">
        <v>24</v>
      </c>
      <c r="F679">
        <v>7</v>
      </c>
      <c r="G679">
        <v>12654</v>
      </c>
      <c r="H679">
        <v>88578</v>
      </c>
      <c r="I679">
        <f t="shared" si="10"/>
        <v>88578</v>
      </c>
    </row>
    <row r="680" spans="1:9" x14ac:dyDescent="0.3">
      <c r="A680">
        <v>10679</v>
      </c>
      <c r="B680" s="2">
        <v>45063</v>
      </c>
      <c r="C680" t="s">
        <v>13</v>
      </c>
      <c r="D680" t="s">
        <v>16</v>
      </c>
      <c r="E680" t="s">
        <v>19</v>
      </c>
      <c r="F680">
        <v>18</v>
      </c>
      <c r="G680">
        <v>12916</v>
      </c>
      <c r="H680">
        <v>232488</v>
      </c>
      <c r="I680">
        <f t="shared" si="10"/>
        <v>232488</v>
      </c>
    </row>
    <row r="681" spans="1:9" x14ac:dyDescent="0.3">
      <c r="A681">
        <v>10680</v>
      </c>
      <c r="B681" s="2">
        <v>45278</v>
      </c>
      <c r="C681" t="s">
        <v>13</v>
      </c>
      <c r="D681" t="s">
        <v>15</v>
      </c>
      <c r="E681" t="s">
        <v>22</v>
      </c>
      <c r="F681">
        <v>10</v>
      </c>
      <c r="G681">
        <v>16887</v>
      </c>
      <c r="H681">
        <v>168870</v>
      </c>
      <c r="I681">
        <f t="shared" si="10"/>
        <v>168870</v>
      </c>
    </row>
    <row r="682" spans="1:9" x14ac:dyDescent="0.3">
      <c r="A682">
        <v>10681</v>
      </c>
      <c r="B682" s="2">
        <v>45177</v>
      </c>
      <c r="C682" t="s">
        <v>8</v>
      </c>
      <c r="D682" t="s">
        <v>15</v>
      </c>
      <c r="E682" t="s">
        <v>23</v>
      </c>
      <c r="F682">
        <v>15</v>
      </c>
      <c r="G682">
        <v>38615</v>
      </c>
      <c r="H682">
        <v>579225</v>
      </c>
      <c r="I682">
        <f t="shared" si="10"/>
        <v>579225</v>
      </c>
    </row>
    <row r="683" spans="1:9" x14ac:dyDescent="0.3">
      <c r="A683">
        <v>10682</v>
      </c>
      <c r="B683" s="2">
        <v>45283</v>
      </c>
      <c r="C683" t="s">
        <v>10</v>
      </c>
      <c r="D683" t="s">
        <v>15</v>
      </c>
      <c r="E683" t="s">
        <v>21</v>
      </c>
      <c r="F683">
        <v>14</v>
      </c>
      <c r="G683">
        <v>38925</v>
      </c>
      <c r="H683">
        <v>544950</v>
      </c>
      <c r="I683">
        <f t="shared" si="10"/>
        <v>544950</v>
      </c>
    </row>
    <row r="684" spans="1:9" x14ac:dyDescent="0.3">
      <c r="A684">
        <v>10683</v>
      </c>
      <c r="B684" s="2">
        <v>44963</v>
      </c>
      <c r="C684" t="s">
        <v>14</v>
      </c>
      <c r="D684" t="s">
        <v>17</v>
      </c>
      <c r="E684" t="s">
        <v>22</v>
      </c>
      <c r="F684">
        <v>9</v>
      </c>
      <c r="G684">
        <v>32774</v>
      </c>
      <c r="H684">
        <v>294966</v>
      </c>
      <c r="I684">
        <f t="shared" si="10"/>
        <v>294966</v>
      </c>
    </row>
    <row r="685" spans="1:9" x14ac:dyDescent="0.3">
      <c r="A685">
        <v>10684</v>
      </c>
      <c r="B685" s="2">
        <v>44962</v>
      </c>
      <c r="C685" t="s">
        <v>9</v>
      </c>
      <c r="D685" t="s">
        <v>16</v>
      </c>
      <c r="E685" t="s">
        <v>22</v>
      </c>
      <c r="F685">
        <v>14</v>
      </c>
      <c r="G685">
        <v>20750</v>
      </c>
      <c r="H685">
        <v>290500</v>
      </c>
      <c r="I685">
        <f t="shared" si="10"/>
        <v>290500</v>
      </c>
    </row>
    <row r="686" spans="1:9" x14ac:dyDescent="0.3">
      <c r="A686">
        <v>10685</v>
      </c>
      <c r="B686" s="2">
        <v>45037</v>
      </c>
      <c r="C686" t="s">
        <v>14</v>
      </c>
      <c r="D686" t="s">
        <v>16</v>
      </c>
      <c r="E686" t="s">
        <v>24</v>
      </c>
      <c r="F686">
        <v>12</v>
      </c>
      <c r="G686">
        <v>36444</v>
      </c>
      <c r="H686">
        <v>437328</v>
      </c>
      <c r="I686">
        <f t="shared" si="10"/>
        <v>437328</v>
      </c>
    </row>
    <row r="687" spans="1:9" x14ac:dyDescent="0.3">
      <c r="A687">
        <v>10686</v>
      </c>
      <c r="B687" s="2">
        <v>45231</v>
      </c>
      <c r="C687" t="s">
        <v>10</v>
      </c>
      <c r="D687" t="s">
        <v>16</v>
      </c>
      <c r="E687" t="s">
        <v>23</v>
      </c>
      <c r="F687">
        <v>12</v>
      </c>
      <c r="G687">
        <v>11989</v>
      </c>
      <c r="H687">
        <v>143868</v>
      </c>
      <c r="I687">
        <f t="shared" si="10"/>
        <v>143868</v>
      </c>
    </row>
    <row r="688" spans="1:9" x14ac:dyDescent="0.3">
      <c r="A688">
        <v>10687</v>
      </c>
      <c r="B688" s="2">
        <v>44965</v>
      </c>
      <c r="C688" t="s">
        <v>9</v>
      </c>
      <c r="D688" t="s">
        <v>17</v>
      </c>
      <c r="E688" t="s">
        <v>22</v>
      </c>
      <c r="F688">
        <v>6</v>
      </c>
      <c r="G688">
        <v>19391</v>
      </c>
      <c r="H688">
        <v>116346</v>
      </c>
      <c r="I688">
        <f t="shared" si="10"/>
        <v>116346</v>
      </c>
    </row>
    <row r="689" spans="1:9" x14ac:dyDescent="0.3">
      <c r="A689">
        <v>10688</v>
      </c>
      <c r="B689" s="2">
        <v>45026</v>
      </c>
      <c r="C689" t="s">
        <v>11</v>
      </c>
      <c r="D689" t="s">
        <v>17</v>
      </c>
      <c r="E689" t="s">
        <v>20</v>
      </c>
      <c r="F689">
        <v>10</v>
      </c>
      <c r="G689">
        <v>53370</v>
      </c>
      <c r="H689">
        <v>533700</v>
      </c>
      <c r="I689">
        <f t="shared" si="10"/>
        <v>533700</v>
      </c>
    </row>
    <row r="690" spans="1:9" x14ac:dyDescent="0.3">
      <c r="A690">
        <v>10689</v>
      </c>
      <c r="B690" s="2">
        <v>45269</v>
      </c>
      <c r="C690" t="s">
        <v>11</v>
      </c>
      <c r="D690" t="s">
        <v>16</v>
      </c>
      <c r="E690" t="s">
        <v>22</v>
      </c>
      <c r="F690">
        <v>7</v>
      </c>
      <c r="G690">
        <v>52161</v>
      </c>
      <c r="H690">
        <v>365127</v>
      </c>
      <c r="I690">
        <f t="shared" si="10"/>
        <v>365127</v>
      </c>
    </row>
    <row r="691" spans="1:9" x14ac:dyDescent="0.3">
      <c r="A691">
        <v>10690</v>
      </c>
      <c r="B691" s="2">
        <v>45100</v>
      </c>
      <c r="C691" t="s">
        <v>10</v>
      </c>
      <c r="D691" t="s">
        <v>18</v>
      </c>
      <c r="E691" t="s">
        <v>23</v>
      </c>
      <c r="F691">
        <v>6</v>
      </c>
      <c r="G691">
        <v>14908</v>
      </c>
      <c r="H691">
        <v>89448</v>
      </c>
      <c r="I691">
        <f t="shared" si="10"/>
        <v>89448</v>
      </c>
    </row>
    <row r="692" spans="1:9" x14ac:dyDescent="0.3">
      <c r="A692">
        <v>10691</v>
      </c>
      <c r="B692" s="2">
        <v>44960</v>
      </c>
      <c r="C692" t="s">
        <v>13</v>
      </c>
      <c r="D692" t="s">
        <v>16</v>
      </c>
      <c r="E692" t="s">
        <v>23</v>
      </c>
      <c r="F692">
        <v>4</v>
      </c>
      <c r="G692">
        <v>6855</v>
      </c>
      <c r="H692">
        <v>27420</v>
      </c>
      <c r="I692">
        <f t="shared" si="10"/>
        <v>27420</v>
      </c>
    </row>
    <row r="693" spans="1:9" x14ac:dyDescent="0.3">
      <c r="A693">
        <v>10692</v>
      </c>
      <c r="B693" s="2">
        <v>44983</v>
      </c>
      <c r="C693" t="s">
        <v>8</v>
      </c>
      <c r="D693" t="s">
        <v>17</v>
      </c>
      <c r="E693" t="s">
        <v>23</v>
      </c>
      <c r="F693">
        <v>2</v>
      </c>
      <c r="G693">
        <v>22095</v>
      </c>
      <c r="H693">
        <v>44190</v>
      </c>
      <c r="I693">
        <f t="shared" si="10"/>
        <v>44190</v>
      </c>
    </row>
    <row r="694" spans="1:9" x14ac:dyDescent="0.3">
      <c r="A694">
        <v>10693</v>
      </c>
      <c r="B694" s="2">
        <v>45018</v>
      </c>
      <c r="C694" t="s">
        <v>11</v>
      </c>
      <c r="D694" t="s">
        <v>18</v>
      </c>
      <c r="E694" t="s">
        <v>23</v>
      </c>
      <c r="F694">
        <v>18</v>
      </c>
      <c r="G694">
        <v>56763</v>
      </c>
      <c r="H694">
        <v>1021734</v>
      </c>
      <c r="I694">
        <f t="shared" si="10"/>
        <v>1021734</v>
      </c>
    </row>
    <row r="695" spans="1:9" x14ac:dyDescent="0.3">
      <c r="A695">
        <v>10694</v>
      </c>
      <c r="B695" s="2">
        <v>44963</v>
      </c>
      <c r="C695" t="s">
        <v>9</v>
      </c>
      <c r="D695" t="s">
        <v>17</v>
      </c>
      <c r="E695" t="s">
        <v>20</v>
      </c>
      <c r="F695">
        <v>12</v>
      </c>
      <c r="G695">
        <v>17566</v>
      </c>
      <c r="H695">
        <v>210792</v>
      </c>
      <c r="I695">
        <f t="shared" si="10"/>
        <v>210792</v>
      </c>
    </row>
    <row r="696" spans="1:9" x14ac:dyDescent="0.3">
      <c r="A696">
        <v>10695</v>
      </c>
      <c r="B696" s="2">
        <v>44976</v>
      </c>
      <c r="C696" t="s">
        <v>13</v>
      </c>
      <c r="D696" t="s">
        <v>17</v>
      </c>
      <c r="E696" t="s">
        <v>22</v>
      </c>
      <c r="F696">
        <v>11</v>
      </c>
      <c r="G696">
        <v>50725</v>
      </c>
      <c r="H696">
        <v>557975</v>
      </c>
      <c r="I696">
        <f t="shared" si="10"/>
        <v>557975</v>
      </c>
    </row>
    <row r="697" spans="1:9" x14ac:dyDescent="0.3">
      <c r="A697">
        <v>10696</v>
      </c>
      <c r="B697" s="2">
        <v>45097</v>
      </c>
      <c r="C697" t="s">
        <v>9</v>
      </c>
      <c r="D697" t="s">
        <v>15</v>
      </c>
      <c r="E697" t="s">
        <v>21</v>
      </c>
      <c r="F697">
        <v>19</v>
      </c>
      <c r="G697">
        <v>55889</v>
      </c>
      <c r="H697">
        <v>1061891</v>
      </c>
      <c r="I697">
        <f t="shared" si="10"/>
        <v>1061891</v>
      </c>
    </row>
    <row r="698" spans="1:9" x14ac:dyDescent="0.3">
      <c r="A698">
        <v>10697</v>
      </c>
      <c r="B698" s="2">
        <v>45186</v>
      </c>
      <c r="C698" t="s">
        <v>13</v>
      </c>
      <c r="D698" t="s">
        <v>15</v>
      </c>
      <c r="E698" t="s">
        <v>21</v>
      </c>
      <c r="F698">
        <v>5</v>
      </c>
      <c r="G698">
        <v>38453</v>
      </c>
      <c r="H698">
        <v>192265</v>
      </c>
      <c r="I698">
        <f t="shared" si="10"/>
        <v>192265</v>
      </c>
    </row>
    <row r="699" spans="1:9" x14ac:dyDescent="0.3">
      <c r="A699">
        <v>10698</v>
      </c>
      <c r="B699" s="2">
        <v>45279</v>
      </c>
      <c r="C699" t="s">
        <v>8</v>
      </c>
      <c r="D699" t="s">
        <v>18</v>
      </c>
      <c r="E699" t="s">
        <v>23</v>
      </c>
      <c r="F699">
        <v>11</v>
      </c>
      <c r="G699">
        <v>45131</v>
      </c>
      <c r="H699">
        <v>496441</v>
      </c>
      <c r="I699">
        <f t="shared" si="10"/>
        <v>496441</v>
      </c>
    </row>
    <row r="700" spans="1:9" x14ac:dyDescent="0.3">
      <c r="A700">
        <v>10699</v>
      </c>
      <c r="B700" s="2">
        <v>44928</v>
      </c>
      <c r="C700" t="s">
        <v>13</v>
      </c>
      <c r="D700" t="s">
        <v>16</v>
      </c>
      <c r="E700" t="s">
        <v>20</v>
      </c>
      <c r="F700">
        <v>10</v>
      </c>
      <c r="G700">
        <v>14006</v>
      </c>
      <c r="H700">
        <v>140060</v>
      </c>
      <c r="I700">
        <f t="shared" si="10"/>
        <v>140060</v>
      </c>
    </row>
    <row r="701" spans="1:9" x14ac:dyDescent="0.3">
      <c r="A701">
        <v>10700</v>
      </c>
      <c r="B701" s="2">
        <v>45188</v>
      </c>
      <c r="C701" t="s">
        <v>12</v>
      </c>
      <c r="D701" t="s">
        <v>18</v>
      </c>
      <c r="E701" t="s">
        <v>23</v>
      </c>
      <c r="F701">
        <v>7</v>
      </c>
      <c r="G701">
        <v>26998</v>
      </c>
      <c r="H701">
        <v>188986</v>
      </c>
      <c r="I701">
        <f t="shared" si="10"/>
        <v>188986</v>
      </c>
    </row>
    <row r="702" spans="1:9" x14ac:dyDescent="0.3">
      <c r="A702">
        <v>10701</v>
      </c>
      <c r="B702" s="2">
        <v>45184</v>
      </c>
      <c r="C702" t="s">
        <v>8</v>
      </c>
      <c r="D702" t="s">
        <v>18</v>
      </c>
      <c r="E702" t="s">
        <v>22</v>
      </c>
      <c r="F702">
        <v>19</v>
      </c>
      <c r="G702">
        <v>58230</v>
      </c>
      <c r="H702">
        <v>1106370</v>
      </c>
      <c r="I702">
        <f t="shared" si="10"/>
        <v>1106370</v>
      </c>
    </row>
    <row r="703" spans="1:9" x14ac:dyDescent="0.3">
      <c r="A703">
        <v>10702</v>
      </c>
      <c r="B703" s="2">
        <v>45035</v>
      </c>
      <c r="C703" t="s">
        <v>13</v>
      </c>
      <c r="D703" t="s">
        <v>15</v>
      </c>
      <c r="E703" t="s">
        <v>24</v>
      </c>
      <c r="F703">
        <v>17</v>
      </c>
      <c r="G703">
        <v>45278</v>
      </c>
      <c r="H703">
        <v>769726</v>
      </c>
      <c r="I703">
        <f t="shared" si="10"/>
        <v>769726</v>
      </c>
    </row>
    <row r="704" spans="1:9" x14ac:dyDescent="0.3">
      <c r="A704">
        <v>10703</v>
      </c>
      <c r="B704" s="2">
        <v>45213</v>
      </c>
      <c r="C704" t="s">
        <v>11</v>
      </c>
      <c r="D704" t="s">
        <v>18</v>
      </c>
      <c r="E704" t="s">
        <v>20</v>
      </c>
      <c r="F704">
        <v>6</v>
      </c>
      <c r="G704">
        <v>48620</v>
      </c>
      <c r="H704">
        <v>291720</v>
      </c>
      <c r="I704">
        <f t="shared" si="10"/>
        <v>291720</v>
      </c>
    </row>
    <row r="705" spans="1:9" x14ac:dyDescent="0.3">
      <c r="A705">
        <v>10704</v>
      </c>
      <c r="B705" s="2">
        <v>44957</v>
      </c>
      <c r="C705" t="s">
        <v>10</v>
      </c>
      <c r="D705" t="s">
        <v>15</v>
      </c>
      <c r="E705" t="s">
        <v>23</v>
      </c>
      <c r="F705">
        <v>18</v>
      </c>
      <c r="G705">
        <v>30351</v>
      </c>
      <c r="H705">
        <v>546318</v>
      </c>
      <c r="I705">
        <f t="shared" si="10"/>
        <v>546318</v>
      </c>
    </row>
    <row r="706" spans="1:9" x14ac:dyDescent="0.3">
      <c r="A706">
        <v>10705</v>
      </c>
      <c r="B706" s="2">
        <v>45204</v>
      </c>
      <c r="C706" t="s">
        <v>12</v>
      </c>
      <c r="D706" t="s">
        <v>15</v>
      </c>
      <c r="E706" t="s">
        <v>19</v>
      </c>
      <c r="F706">
        <v>9</v>
      </c>
      <c r="G706">
        <v>39525</v>
      </c>
      <c r="H706">
        <v>355725</v>
      </c>
      <c r="I706">
        <f t="shared" si="10"/>
        <v>355725</v>
      </c>
    </row>
    <row r="707" spans="1:9" x14ac:dyDescent="0.3">
      <c r="A707">
        <v>10706</v>
      </c>
      <c r="B707" s="2">
        <v>45037</v>
      </c>
      <c r="C707" t="s">
        <v>11</v>
      </c>
      <c r="D707" t="s">
        <v>15</v>
      </c>
      <c r="E707" t="s">
        <v>22</v>
      </c>
      <c r="F707">
        <v>11</v>
      </c>
      <c r="G707">
        <v>53104</v>
      </c>
      <c r="H707">
        <v>584144</v>
      </c>
      <c r="I707">
        <f t="shared" ref="I707:I770" si="11">G707*F707</f>
        <v>584144</v>
      </c>
    </row>
    <row r="708" spans="1:9" x14ac:dyDescent="0.3">
      <c r="A708">
        <v>10707</v>
      </c>
      <c r="B708" s="2">
        <v>45137</v>
      </c>
      <c r="C708" t="s">
        <v>11</v>
      </c>
      <c r="D708" t="s">
        <v>15</v>
      </c>
      <c r="E708" t="s">
        <v>24</v>
      </c>
      <c r="F708">
        <v>14</v>
      </c>
      <c r="G708">
        <v>53315</v>
      </c>
      <c r="H708">
        <v>746410</v>
      </c>
      <c r="I708">
        <f t="shared" si="11"/>
        <v>746410</v>
      </c>
    </row>
    <row r="709" spans="1:9" x14ac:dyDescent="0.3">
      <c r="A709">
        <v>10708</v>
      </c>
      <c r="B709" s="2">
        <v>45042</v>
      </c>
      <c r="C709" t="s">
        <v>12</v>
      </c>
      <c r="D709" t="s">
        <v>15</v>
      </c>
      <c r="E709" t="s">
        <v>24</v>
      </c>
      <c r="F709">
        <v>13</v>
      </c>
      <c r="G709">
        <v>7673</v>
      </c>
      <c r="H709">
        <v>99749</v>
      </c>
      <c r="I709">
        <f t="shared" si="11"/>
        <v>99749</v>
      </c>
    </row>
    <row r="710" spans="1:9" x14ac:dyDescent="0.3">
      <c r="A710">
        <v>10709</v>
      </c>
      <c r="B710" s="2">
        <v>45019</v>
      </c>
      <c r="C710" t="s">
        <v>11</v>
      </c>
      <c r="D710" t="s">
        <v>16</v>
      </c>
      <c r="E710" t="s">
        <v>23</v>
      </c>
      <c r="F710">
        <v>5</v>
      </c>
      <c r="G710">
        <v>26633</v>
      </c>
      <c r="H710">
        <v>133165</v>
      </c>
      <c r="I710">
        <f t="shared" si="11"/>
        <v>133165</v>
      </c>
    </row>
    <row r="711" spans="1:9" x14ac:dyDescent="0.3">
      <c r="A711">
        <v>10710</v>
      </c>
      <c r="B711" s="2">
        <v>44983</v>
      </c>
      <c r="C711" t="s">
        <v>10</v>
      </c>
      <c r="D711" t="s">
        <v>15</v>
      </c>
      <c r="E711" t="s">
        <v>19</v>
      </c>
      <c r="F711">
        <v>7</v>
      </c>
      <c r="G711">
        <v>13422</v>
      </c>
      <c r="H711">
        <v>93954</v>
      </c>
      <c r="I711">
        <f t="shared" si="11"/>
        <v>93954</v>
      </c>
    </row>
    <row r="712" spans="1:9" x14ac:dyDescent="0.3">
      <c r="A712">
        <v>10711</v>
      </c>
      <c r="B712" s="2">
        <v>45125</v>
      </c>
      <c r="C712" t="s">
        <v>13</v>
      </c>
      <c r="D712" t="s">
        <v>18</v>
      </c>
      <c r="E712" t="s">
        <v>19</v>
      </c>
      <c r="F712">
        <v>10</v>
      </c>
      <c r="G712">
        <v>3221</v>
      </c>
      <c r="H712">
        <v>32210</v>
      </c>
      <c r="I712">
        <f t="shared" si="11"/>
        <v>32210</v>
      </c>
    </row>
    <row r="713" spans="1:9" x14ac:dyDescent="0.3">
      <c r="A713">
        <v>10712</v>
      </c>
      <c r="B713" s="2">
        <v>45073</v>
      </c>
      <c r="C713" t="s">
        <v>12</v>
      </c>
      <c r="D713" t="s">
        <v>15</v>
      </c>
      <c r="E713" t="s">
        <v>23</v>
      </c>
      <c r="F713">
        <v>9</v>
      </c>
      <c r="G713">
        <v>25994</v>
      </c>
      <c r="H713">
        <v>233946</v>
      </c>
      <c r="I713">
        <f t="shared" si="11"/>
        <v>233946</v>
      </c>
    </row>
    <row r="714" spans="1:9" x14ac:dyDescent="0.3">
      <c r="A714">
        <v>10713</v>
      </c>
      <c r="B714" s="2">
        <v>45101</v>
      </c>
      <c r="C714" t="s">
        <v>13</v>
      </c>
      <c r="D714" t="s">
        <v>16</v>
      </c>
      <c r="E714" t="s">
        <v>23</v>
      </c>
      <c r="F714">
        <v>4</v>
      </c>
      <c r="G714">
        <v>9833</v>
      </c>
      <c r="H714">
        <v>39332</v>
      </c>
      <c r="I714">
        <f t="shared" si="11"/>
        <v>39332</v>
      </c>
    </row>
    <row r="715" spans="1:9" x14ac:dyDescent="0.3">
      <c r="A715">
        <v>10714</v>
      </c>
      <c r="B715" s="2">
        <v>45034</v>
      </c>
      <c r="C715" t="s">
        <v>8</v>
      </c>
      <c r="D715" t="s">
        <v>17</v>
      </c>
      <c r="E715" t="s">
        <v>21</v>
      </c>
      <c r="F715">
        <v>19</v>
      </c>
      <c r="G715">
        <v>8508</v>
      </c>
      <c r="H715">
        <v>161652</v>
      </c>
      <c r="I715">
        <f t="shared" si="11"/>
        <v>161652</v>
      </c>
    </row>
    <row r="716" spans="1:9" x14ac:dyDescent="0.3">
      <c r="A716">
        <v>10715</v>
      </c>
      <c r="B716" s="2">
        <v>44973</v>
      </c>
      <c r="C716" t="s">
        <v>10</v>
      </c>
      <c r="D716" t="s">
        <v>17</v>
      </c>
      <c r="E716" t="s">
        <v>20</v>
      </c>
      <c r="F716">
        <v>14</v>
      </c>
      <c r="G716">
        <v>36936</v>
      </c>
      <c r="H716">
        <v>517104</v>
      </c>
      <c r="I716">
        <f t="shared" si="11"/>
        <v>517104</v>
      </c>
    </row>
    <row r="717" spans="1:9" x14ac:dyDescent="0.3">
      <c r="A717">
        <v>10716</v>
      </c>
      <c r="B717" s="2">
        <v>45248</v>
      </c>
      <c r="C717" t="s">
        <v>14</v>
      </c>
      <c r="D717" t="s">
        <v>18</v>
      </c>
      <c r="E717" t="s">
        <v>24</v>
      </c>
      <c r="F717">
        <v>8</v>
      </c>
      <c r="G717">
        <v>41910</v>
      </c>
      <c r="H717">
        <v>335280</v>
      </c>
      <c r="I717">
        <f t="shared" si="11"/>
        <v>335280</v>
      </c>
    </row>
    <row r="718" spans="1:9" x14ac:dyDescent="0.3">
      <c r="A718">
        <v>10717</v>
      </c>
      <c r="B718" s="2">
        <v>44935</v>
      </c>
      <c r="C718" t="s">
        <v>13</v>
      </c>
      <c r="D718" t="s">
        <v>17</v>
      </c>
      <c r="E718" t="s">
        <v>19</v>
      </c>
      <c r="F718">
        <v>5</v>
      </c>
      <c r="G718">
        <v>45420</v>
      </c>
      <c r="H718">
        <v>227100</v>
      </c>
      <c r="I718">
        <f t="shared" si="11"/>
        <v>227100</v>
      </c>
    </row>
    <row r="719" spans="1:9" x14ac:dyDescent="0.3">
      <c r="A719">
        <v>10718</v>
      </c>
      <c r="B719" s="2">
        <v>44986</v>
      </c>
      <c r="C719" t="s">
        <v>13</v>
      </c>
      <c r="D719" t="s">
        <v>16</v>
      </c>
      <c r="E719" t="s">
        <v>22</v>
      </c>
      <c r="F719">
        <v>14</v>
      </c>
      <c r="G719">
        <v>36554</v>
      </c>
      <c r="H719">
        <v>511756</v>
      </c>
      <c r="I719">
        <f t="shared" si="11"/>
        <v>511756</v>
      </c>
    </row>
    <row r="720" spans="1:9" x14ac:dyDescent="0.3">
      <c r="A720">
        <v>10719</v>
      </c>
      <c r="B720" s="2">
        <v>45211</v>
      </c>
      <c r="C720" t="s">
        <v>13</v>
      </c>
      <c r="D720" t="s">
        <v>18</v>
      </c>
      <c r="E720" t="s">
        <v>21</v>
      </c>
      <c r="F720">
        <v>10</v>
      </c>
      <c r="G720">
        <v>21848</v>
      </c>
      <c r="H720">
        <v>218480</v>
      </c>
      <c r="I720">
        <f t="shared" si="11"/>
        <v>218480</v>
      </c>
    </row>
    <row r="721" spans="1:9" x14ac:dyDescent="0.3">
      <c r="A721">
        <v>10720</v>
      </c>
      <c r="B721" s="2">
        <v>45222</v>
      </c>
      <c r="C721" t="s">
        <v>8</v>
      </c>
      <c r="D721" t="s">
        <v>16</v>
      </c>
      <c r="E721" t="s">
        <v>22</v>
      </c>
      <c r="F721">
        <v>2</v>
      </c>
      <c r="G721">
        <v>50474</v>
      </c>
      <c r="H721">
        <v>100948</v>
      </c>
      <c r="I721">
        <f t="shared" si="11"/>
        <v>100948</v>
      </c>
    </row>
    <row r="722" spans="1:9" x14ac:dyDescent="0.3">
      <c r="A722">
        <v>10721</v>
      </c>
      <c r="B722" s="2">
        <v>44995</v>
      </c>
      <c r="C722" t="s">
        <v>9</v>
      </c>
      <c r="D722" t="s">
        <v>17</v>
      </c>
      <c r="E722" t="s">
        <v>21</v>
      </c>
      <c r="F722">
        <v>17</v>
      </c>
      <c r="G722">
        <v>27897</v>
      </c>
      <c r="H722">
        <v>474249</v>
      </c>
      <c r="I722">
        <f t="shared" si="11"/>
        <v>474249</v>
      </c>
    </row>
    <row r="723" spans="1:9" x14ac:dyDescent="0.3">
      <c r="A723">
        <v>10722</v>
      </c>
      <c r="B723" s="2">
        <v>45059</v>
      </c>
      <c r="C723" t="s">
        <v>13</v>
      </c>
      <c r="D723" t="s">
        <v>15</v>
      </c>
      <c r="E723" t="s">
        <v>22</v>
      </c>
      <c r="F723">
        <v>1</v>
      </c>
      <c r="G723">
        <v>52224</v>
      </c>
      <c r="H723">
        <v>52224</v>
      </c>
      <c r="I723">
        <f t="shared" si="11"/>
        <v>52224</v>
      </c>
    </row>
    <row r="724" spans="1:9" x14ac:dyDescent="0.3">
      <c r="A724">
        <v>10723</v>
      </c>
      <c r="B724" s="2">
        <v>44952</v>
      </c>
      <c r="C724" t="s">
        <v>14</v>
      </c>
      <c r="D724" t="s">
        <v>16</v>
      </c>
      <c r="E724" t="s">
        <v>21</v>
      </c>
      <c r="F724">
        <v>11</v>
      </c>
      <c r="G724">
        <v>15800</v>
      </c>
      <c r="H724">
        <v>173800</v>
      </c>
      <c r="I724">
        <f t="shared" si="11"/>
        <v>173800</v>
      </c>
    </row>
    <row r="725" spans="1:9" x14ac:dyDescent="0.3">
      <c r="A725">
        <v>10724</v>
      </c>
      <c r="B725" s="2">
        <v>44980</v>
      </c>
      <c r="C725" t="s">
        <v>14</v>
      </c>
      <c r="D725" t="s">
        <v>17</v>
      </c>
      <c r="E725" t="s">
        <v>21</v>
      </c>
      <c r="F725">
        <v>15</v>
      </c>
      <c r="G725">
        <v>21839</v>
      </c>
      <c r="H725">
        <v>327585</v>
      </c>
      <c r="I725">
        <f t="shared" si="11"/>
        <v>327585</v>
      </c>
    </row>
    <row r="726" spans="1:9" x14ac:dyDescent="0.3">
      <c r="A726">
        <v>10725</v>
      </c>
      <c r="B726" s="2">
        <v>44945</v>
      </c>
      <c r="C726" t="s">
        <v>12</v>
      </c>
      <c r="D726" t="s">
        <v>16</v>
      </c>
      <c r="E726" t="s">
        <v>22</v>
      </c>
      <c r="F726">
        <v>3</v>
      </c>
      <c r="G726">
        <v>24295</v>
      </c>
      <c r="H726">
        <v>72885</v>
      </c>
      <c r="I726">
        <f t="shared" si="11"/>
        <v>72885</v>
      </c>
    </row>
    <row r="727" spans="1:9" x14ac:dyDescent="0.3">
      <c r="A727">
        <v>10726</v>
      </c>
      <c r="B727" s="2">
        <v>45132</v>
      </c>
      <c r="C727" t="s">
        <v>13</v>
      </c>
      <c r="D727" t="s">
        <v>17</v>
      </c>
      <c r="E727" t="s">
        <v>20</v>
      </c>
      <c r="F727">
        <v>19</v>
      </c>
      <c r="G727">
        <v>55093</v>
      </c>
      <c r="H727">
        <v>1046767</v>
      </c>
      <c r="I727">
        <f t="shared" si="11"/>
        <v>1046767</v>
      </c>
    </row>
    <row r="728" spans="1:9" x14ac:dyDescent="0.3">
      <c r="A728">
        <v>10727</v>
      </c>
      <c r="B728" s="2">
        <v>45227</v>
      </c>
      <c r="C728" t="s">
        <v>10</v>
      </c>
      <c r="D728" t="s">
        <v>16</v>
      </c>
      <c r="E728" t="s">
        <v>20</v>
      </c>
      <c r="F728">
        <v>13</v>
      </c>
      <c r="G728">
        <v>23962</v>
      </c>
      <c r="H728">
        <v>311506</v>
      </c>
      <c r="I728">
        <f t="shared" si="11"/>
        <v>311506</v>
      </c>
    </row>
    <row r="729" spans="1:9" x14ac:dyDescent="0.3">
      <c r="A729">
        <v>10728</v>
      </c>
      <c r="B729" s="2">
        <v>44983</v>
      </c>
      <c r="C729" t="s">
        <v>8</v>
      </c>
      <c r="D729" t="s">
        <v>16</v>
      </c>
      <c r="E729" t="s">
        <v>19</v>
      </c>
      <c r="F729">
        <v>19</v>
      </c>
      <c r="G729">
        <v>19846</v>
      </c>
      <c r="H729">
        <v>377074</v>
      </c>
      <c r="I729">
        <f t="shared" si="11"/>
        <v>377074</v>
      </c>
    </row>
    <row r="730" spans="1:9" x14ac:dyDescent="0.3">
      <c r="A730">
        <v>10729</v>
      </c>
      <c r="B730" s="2">
        <v>45215</v>
      </c>
      <c r="C730" t="s">
        <v>10</v>
      </c>
      <c r="D730" t="s">
        <v>17</v>
      </c>
      <c r="E730" t="s">
        <v>20</v>
      </c>
      <c r="F730">
        <v>8</v>
      </c>
      <c r="G730">
        <v>25722</v>
      </c>
      <c r="H730">
        <v>205776</v>
      </c>
      <c r="I730">
        <f t="shared" si="11"/>
        <v>205776</v>
      </c>
    </row>
    <row r="731" spans="1:9" x14ac:dyDescent="0.3">
      <c r="A731">
        <v>10730</v>
      </c>
      <c r="B731" s="2">
        <v>45075</v>
      </c>
      <c r="C731" t="s">
        <v>13</v>
      </c>
      <c r="D731" t="s">
        <v>15</v>
      </c>
      <c r="E731" t="s">
        <v>24</v>
      </c>
      <c r="F731">
        <v>1</v>
      </c>
      <c r="G731">
        <v>49061</v>
      </c>
      <c r="H731">
        <v>49061</v>
      </c>
      <c r="I731">
        <f t="shared" si="11"/>
        <v>49061</v>
      </c>
    </row>
    <row r="732" spans="1:9" x14ac:dyDescent="0.3">
      <c r="A732">
        <v>10731</v>
      </c>
      <c r="B732" s="2">
        <v>45259</v>
      </c>
      <c r="C732" t="s">
        <v>9</v>
      </c>
      <c r="D732" t="s">
        <v>17</v>
      </c>
      <c r="E732" t="s">
        <v>19</v>
      </c>
      <c r="F732">
        <v>15</v>
      </c>
      <c r="G732">
        <v>1033</v>
      </c>
      <c r="H732">
        <v>15495</v>
      </c>
      <c r="I732">
        <f t="shared" si="11"/>
        <v>15495</v>
      </c>
    </row>
    <row r="733" spans="1:9" x14ac:dyDescent="0.3">
      <c r="A733">
        <v>10732</v>
      </c>
      <c r="B733" s="2">
        <v>45253</v>
      </c>
      <c r="C733" t="s">
        <v>8</v>
      </c>
      <c r="D733" t="s">
        <v>15</v>
      </c>
      <c r="E733" t="s">
        <v>22</v>
      </c>
      <c r="F733">
        <v>20</v>
      </c>
      <c r="G733">
        <v>48839</v>
      </c>
      <c r="H733">
        <v>976780</v>
      </c>
      <c r="I733">
        <f t="shared" si="11"/>
        <v>976780</v>
      </c>
    </row>
    <row r="734" spans="1:9" x14ac:dyDescent="0.3">
      <c r="A734">
        <v>10733</v>
      </c>
      <c r="B734" s="2">
        <v>45256</v>
      </c>
      <c r="C734" t="s">
        <v>9</v>
      </c>
      <c r="D734" t="s">
        <v>17</v>
      </c>
      <c r="E734" t="s">
        <v>20</v>
      </c>
      <c r="F734">
        <v>13</v>
      </c>
      <c r="G734">
        <v>28172</v>
      </c>
      <c r="H734">
        <v>366236</v>
      </c>
      <c r="I734">
        <f t="shared" si="11"/>
        <v>366236</v>
      </c>
    </row>
    <row r="735" spans="1:9" x14ac:dyDescent="0.3">
      <c r="A735">
        <v>10734</v>
      </c>
      <c r="B735" s="2">
        <v>45111</v>
      </c>
      <c r="C735" t="s">
        <v>9</v>
      </c>
      <c r="D735" t="s">
        <v>15</v>
      </c>
      <c r="E735" t="s">
        <v>24</v>
      </c>
      <c r="F735">
        <v>15</v>
      </c>
      <c r="G735">
        <v>30820</v>
      </c>
      <c r="H735">
        <v>462300</v>
      </c>
      <c r="I735">
        <f t="shared" si="11"/>
        <v>462300</v>
      </c>
    </row>
    <row r="736" spans="1:9" x14ac:dyDescent="0.3">
      <c r="A736">
        <v>10735</v>
      </c>
      <c r="B736" s="2">
        <v>45286</v>
      </c>
      <c r="C736" t="s">
        <v>9</v>
      </c>
      <c r="D736" t="s">
        <v>15</v>
      </c>
      <c r="E736" t="s">
        <v>20</v>
      </c>
      <c r="F736">
        <v>19</v>
      </c>
      <c r="G736">
        <v>16592</v>
      </c>
      <c r="H736">
        <v>315248</v>
      </c>
      <c r="I736">
        <f t="shared" si="11"/>
        <v>315248</v>
      </c>
    </row>
    <row r="737" spans="1:9" x14ac:dyDescent="0.3">
      <c r="A737">
        <v>10736</v>
      </c>
      <c r="B737" s="2">
        <v>44929</v>
      </c>
      <c r="C737" t="s">
        <v>8</v>
      </c>
      <c r="D737" t="s">
        <v>16</v>
      </c>
      <c r="E737" t="s">
        <v>23</v>
      </c>
      <c r="F737">
        <v>11</v>
      </c>
      <c r="G737">
        <v>14473</v>
      </c>
      <c r="H737">
        <v>159203</v>
      </c>
      <c r="I737">
        <f t="shared" si="11"/>
        <v>159203</v>
      </c>
    </row>
    <row r="738" spans="1:9" x14ac:dyDescent="0.3">
      <c r="A738">
        <v>10737</v>
      </c>
      <c r="B738" s="2">
        <v>45030</v>
      </c>
      <c r="C738" t="s">
        <v>12</v>
      </c>
      <c r="D738" t="s">
        <v>18</v>
      </c>
      <c r="E738" t="s">
        <v>24</v>
      </c>
      <c r="F738">
        <v>19</v>
      </c>
      <c r="G738">
        <v>47061</v>
      </c>
      <c r="H738">
        <v>894159</v>
      </c>
      <c r="I738">
        <f t="shared" si="11"/>
        <v>894159</v>
      </c>
    </row>
    <row r="739" spans="1:9" x14ac:dyDescent="0.3">
      <c r="A739">
        <v>10738</v>
      </c>
      <c r="B739" s="2">
        <v>45145</v>
      </c>
      <c r="C739" t="s">
        <v>14</v>
      </c>
      <c r="D739" t="s">
        <v>15</v>
      </c>
      <c r="E739" t="s">
        <v>22</v>
      </c>
      <c r="F739">
        <v>18</v>
      </c>
      <c r="G739">
        <v>20486</v>
      </c>
      <c r="H739">
        <v>368748</v>
      </c>
      <c r="I739">
        <f t="shared" si="11"/>
        <v>368748</v>
      </c>
    </row>
    <row r="740" spans="1:9" x14ac:dyDescent="0.3">
      <c r="A740">
        <v>10739</v>
      </c>
      <c r="B740" s="2">
        <v>45116</v>
      </c>
      <c r="C740" t="s">
        <v>10</v>
      </c>
      <c r="D740" t="s">
        <v>18</v>
      </c>
      <c r="E740" t="s">
        <v>24</v>
      </c>
      <c r="F740">
        <v>11</v>
      </c>
      <c r="G740">
        <v>53077</v>
      </c>
      <c r="H740">
        <v>583847</v>
      </c>
      <c r="I740">
        <f t="shared" si="11"/>
        <v>583847</v>
      </c>
    </row>
    <row r="741" spans="1:9" x14ac:dyDescent="0.3">
      <c r="A741">
        <v>10740</v>
      </c>
      <c r="B741" s="2">
        <v>45062</v>
      </c>
      <c r="C741" t="s">
        <v>8</v>
      </c>
      <c r="D741" t="s">
        <v>17</v>
      </c>
      <c r="E741" t="s">
        <v>22</v>
      </c>
      <c r="F741">
        <v>18</v>
      </c>
      <c r="G741">
        <v>22911</v>
      </c>
      <c r="H741">
        <v>412398</v>
      </c>
      <c r="I741">
        <f t="shared" si="11"/>
        <v>412398</v>
      </c>
    </row>
    <row r="742" spans="1:9" x14ac:dyDescent="0.3">
      <c r="A742">
        <v>10741</v>
      </c>
      <c r="B742" s="2">
        <v>45252</v>
      </c>
      <c r="C742" t="s">
        <v>11</v>
      </c>
      <c r="D742" t="s">
        <v>16</v>
      </c>
      <c r="E742" t="s">
        <v>24</v>
      </c>
      <c r="F742">
        <v>2</v>
      </c>
      <c r="G742">
        <v>24675</v>
      </c>
      <c r="H742">
        <v>49350</v>
      </c>
      <c r="I742">
        <f t="shared" si="11"/>
        <v>49350</v>
      </c>
    </row>
    <row r="743" spans="1:9" x14ac:dyDescent="0.3">
      <c r="A743">
        <v>10742</v>
      </c>
      <c r="B743" s="2">
        <v>45172</v>
      </c>
      <c r="C743" t="s">
        <v>10</v>
      </c>
      <c r="D743" t="s">
        <v>16</v>
      </c>
      <c r="E743" t="s">
        <v>22</v>
      </c>
      <c r="F743">
        <v>16</v>
      </c>
      <c r="G743">
        <v>18793</v>
      </c>
      <c r="H743">
        <v>300688</v>
      </c>
      <c r="I743">
        <f t="shared" si="11"/>
        <v>300688</v>
      </c>
    </row>
    <row r="744" spans="1:9" x14ac:dyDescent="0.3">
      <c r="A744">
        <v>10743</v>
      </c>
      <c r="B744" s="2">
        <v>45128</v>
      </c>
      <c r="C744" t="s">
        <v>14</v>
      </c>
      <c r="D744" t="s">
        <v>18</v>
      </c>
      <c r="E744" t="s">
        <v>21</v>
      </c>
      <c r="F744">
        <v>1</v>
      </c>
      <c r="G744">
        <v>17825</v>
      </c>
      <c r="H744">
        <v>17825</v>
      </c>
      <c r="I744">
        <f t="shared" si="11"/>
        <v>17825</v>
      </c>
    </row>
    <row r="745" spans="1:9" x14ac:dyDescent="0.3">
      <c r="A745">
        <v>10744</v>
      </c>
      <c r="B745" s="2">
        <v>45110</v>
      </c>
      <c r="C745" t="s">
        <v>8</v>
      </c>
      <c r="D745" t="s">
        <v>15</v>
      </c>
      <c r="E745" t="s">
        <v>21</v>
      </c>
      <c r="F745">
        <v>1</v>
      </c>
      <c r="G745">
        <v>5082</v>
      </c>
      <c r="H745">
        <v>5082</v>
      </c>
      <c r="I745">
        <f t="shared" si="11"/>
        <v>5082</v>
      </c>
    </row>
    <row r="746" spans="1:9" x14ac:dyDescent="0.3">
      <c r="A746">
        <v>10745</v>
      </c>
      <c r="B746" s="2">
        <v>44966</v>
      </c>
      <c r="C746" t="s">
        <v>10</v>
      </c>
      <c r="D746" t="s">
        <v>17</v>
      </c>
      <c r="E746" t="s">
        <v>21</v>
      </c>
      <c r="F746">
        <v>4</v>
      </c>
      <c r="G746">
        <v>16295</v>
      </c>
      <c r="H746">
        <v>65180</v>
      </c>
      <c r="I746">
        <f t="shared" si="11"/>
        <v>65180</v>
      </c>
    </row>
    <row r="747" spans="1:9" x14ac:dyDescent="0.3">
      <c r="A747">
        <v>10746</v>
      </c>
      <c r="B747" s="2">
        <v>44945</v>
      </c>
      <c r="C747" t="s">
        <v>9</v>
      </c>
      <c r="D747" t="s">
        <v>18</v>
      </c>
      <c r="E747" t="s">
        <v>20</v>
      </c>
      <c r="F747">
        <v>3</v>
      </c>
      <c r="G747">
        <v>54179</v>
      </c>
      <c r="H747">
        <v>162537</v>
      </c>
      <c r="I747">
        <f t="shared" si="11"/>
        <v>162537</v>
      </c>
    </row>
    <row r="748" spans="1:9" x14ac:dyDescent="0.3">
      <c r="A748">
        <v>10747</v>
      </c>
      <c r="B748" s="2">
        <v>45016</v>
      </c>
      <c r="C748" t="s">
        <v>13</v>
      </c>
      <c r="D748" t="s">
        <v>17</v>
      </c>
      <c r="E748" t="s">
        <v>23</v>
      </c>
      <c r="F748">
        <v>6</v>
      </c>
      <c r="G748">
        <v>19509</v>
      </c>
      <c r="H748">
        <v>117054</v>
      </c>
      <c r="I748">
        <f t="shared" si="11"/>
        <v>117054</v>
      </c>
    </row>
    <row r="749" spans="1:9" x14ac:dyDescent="0.3">
      <c r="A749">
        <v>10748</v>
      </c>
      <c r="B749" s="2">
        <v>45055</v>
      </c>
      <c r="C749" t="s">
        <v>14</v>
      </c>
      <c r="D749" t="s">
        <v>18</v>
      </c>
      <c r="E749" t="s">
        <v>20</v>
      </c>
      <c r="F749">
        <v>12</v>
      </c>
      <c r="G749">
        <v>41501</v>
      </c>
      <c r="H749">
        <v>498012</v>
      </c>
      <c r="I749">
        <f t="shared" si="11"/>
        <v>498012</v>
      </c>
    </row>
    <row r="750" spans="1:9" x14ac:dyDescent="0.3">
      <c r="A750">
        <v>10749</v>
      </c>
      <c r="B750" s="2">
        <v>45266</v>
      </c>
      <c r="C750" t="s">
        <v>12</v>
      </c>
      <c r="D750" t="s">
        <v>16</v>
      </c>
      <c r="E750" t="s">
        <v>24</v>
      </c>
      <c r="F750">
        <v>12</v>
      </c>
      <c r="G750">
        <v>10939</v>
      </c>
      <c r="H750">
        <v>131268</v>
      </c>
      <c r="I750">
        <f t="shared" si="11"/>
        <v>131268</v>
      </c>
    </row>
    <row r="751" spans="1:9" x14ac:dyDescent="0.3">
      <c r="A751">
        <v>10750</v>
      </c>
      <c r="B751" s="2">
        <v>45025</v>
      </c>
      <c r="C751" t="s">
        <v>13</v>
      </c>
      <c r="D751" t="s">
        <v>16</v>
      </c>
      <c r="E751" t="s">
        <v>19</v>
      </c>
      <c r="F751">
        <v>14</v>
      </c>
      <c r="G751">
        <v>16138</v>
      </c>
      <c r="H751">
        <v>225932</v>
      </c>
      <c r="I751">
        <f t="shared" si="11"/>
        <v>225932</v>
      </c>
    </row>
    <row r="752" spans="1:9" x14ac:dyDescent="0.3">
      <c r="A752">
        <v>10751</v>
      </c>
      <c r="B752" s="2">
        <v>45012</v>
      </c>
      <c r="C752" t="s">
        <v>14</v>
      </c>
      <c r="D752" t="s">
        <v>15</v>
      </c>
      <c r="E752" t="s">
        <v>21</v>
      </c>
      <c r="F752">
        <v>9</v>
      </c>
      <c r="G752">
        <v>16104</v>
      </c>
      <c r="H752">
        <v>144936</v>
      </c>
      <c r="I752">
        <f t="shared" si="11"/>
        <v>144936</v>
      </c>
    </row>
    <row r="753" spans="1:9" x14ac:dyDescent="0.3">
      <c r="A753">
        <v>10752</v>
      </c>
      <c r="B753" s="2">
        <v>45049</v>
      </c>
      <c r="C753" t="s">
        <v>12</v>
      </c>
      <c r="D753" t="s">
        <v>18</v>
      </c>
      <c r="E753" t="s">
        <v>20</v>
      </c>
      <c r="F753">
        <v>11</v>
      </c>
      <c r="G753">
        <v>23714</v>
      </c>
      <c r="H753">
        <v>260854</v>
      </c>
      <c r="I753">
        <f t="shared" si="11"/>
        <v>260854</v>
      </c>
    </row>
    <row r="754" spans="1:9" x14ac:dyDescent="0.3">
      <c r="A754">
        <v>10753</v>
      </c>
      <c r="B754" s="2">
        <v>45286</v>
      </c>
      <c r="C754" t="s">
        <v>11</v>
      </c>
      <c r="D754" t="s">
        <v>16</v>
      </c>
      <c r="E754" t="s">
        <v>19</v>
      </c>
      <c r="F754">
        <v>1</v>
      </c>
      <c r="G754">
        <v>46665</v>
      </c>
      <c r="H754">
        <v>46665</v>
      </c>
      <c r="I754">
        <f t="shared" si="11"/>
        <v>46665</v>
      </c>
    </row>
    <row r="755" spans="1:9" x14ac:dyDescent="0.3">
      <c r="A755">
        <v>10754</v>
      </c>
      <c r="B755" s="2">
        <v>44940</v>
      </c>
      <c r="C755" t="s">
        <v>14</v>
      </c>
      <c r="D755" t="s">
        <v>17</v>
      </c>
      <c r="E755" t="s">
        <v>23</v>
      </c>
      <c r="F755">
        <v>15</v>
      </c>
      <c r="G755">
        <v>8143</v>
      </c>
      <c r="H755">
        <v>122145</v>
      </c>
      <c r="I755">
        <f t="shared" si="11"/>
        <v>122145</v>
      </c>
    </row>
    <row r="756" spans="1:9" x14ac:dyDescent="0.3">
      <c r="A756">
        <v>10755</v>
      </c>
      <c r="B756" s="2">
        <v>45034</v>
      </c>
      <c r="C756" t="s">
        <v>12</v>
      </c>
      <c r="D756" t="s">
        <v>18</v>
      </c>
      <c r="E756" t="s">
        <v>20</v>
      </c>
      <c r="F756">
        <v>3</v>
      </c>
      <c r="G756">
        <v>12853</v>
      </c>
      <c r="H756">
        <v>38559</v>
      </c>
      <c r="I756">
        <f t="shared" si="11"/>
        <v>38559</v>
      </c>
    </row>
    <row r="757" spans="1:9" x14ac:dyDescent="0.3">
      <c r="A757">
        <v>10756</v>
      </c>
      <c r="B757" s="2">
        <v>45248</v>
      </c>
      <c r="C757" t="s">
        <v>12</v>
      </c>
      <c r="D757" t="s">
        <v>15</v>
      </c>
      <c r="E757" t="s">
        <v>21</v>
      </c>
      <c r="F757">
        <v>1</v>
      </c>
      <c r="G757">
        <v>5143</v>
      </c>
      <c r="H757">
        <v>5143</v>
      </c>
      <c r="I757">
        <f t="shared" si="11"/>
        <v>5143</v>
      </c>
    </row>
    <row r="758" spans="1:9" x14ac:dyDescent="0.3">
      <c r="A758">
        <v>10757</v>
      </c>
      <c r="B758" s="2">
        <v>44965</v>
      </c>
      <c r="C758" t="s">
        <v>11</v>
      </c>
      <c r="D758" t="s">
        <v>17</v>
      </c>
      <c r="E758" t="s">
        <v>21</v>
      </c>
      <c r="F758">
        <v>4</v>
      </c>
      <c r="G758">
        <v>1168</v>
      </c>
      <c r="H758">
        <v>4672</v>
      </c>
      <c r="I758">
        <f t="shared" si="11"/>
        <v>4672</v>
      </c>
    </row>
    <row r="759" spans="1:9" x14ac:dyDescent="0.3">
      <c r="A759">
        <v>10758</v>
      </c>
      <c r="B759" s="2">
        <v>45222</v>
      </c>
      <c r="C759" t="s">
        <v>8</v>
      </c>
      <c r="D759" t="s">
        <v>18</v>
      </c>
      <c r="E759" t="s">
        <v>22</v>
      </c>
      <c r="F759">
        <v>20</v>
      </c>
      <c r="G759">
        <v>48981</v>
      </c>
      <c r="H759">
        <v>979620</v>
      </c>
      <c r="I759">
        <f t="shared" si="11"/>
        <v>979620</v>
      </c>
    </row>
    <row r="760" spans="1:9" x14ac:dyDescent="0.3">
      <c r="A760">
        <v>10759</v>
      </c>
      <c r="B760" s="2">
        <v>45026</v>
      </c>
      <c r="C760" t="s">
        <v>10</v>
      </c>
      <c r="D760" t="s">
        <v>17</v>
      </c>
      <c r="E760" t="s">
        <v>23</v>
      </c>
      <c r="F760">
        <v>11</v>
      </c>
      <c r="G760">
        <v>54462</v>
      </c>
      <c r="H760">
        <v>599082</v>
      </c>
      <c r="I760">
        <f t="shared" si="11"/>
        <v>599082</v>
      </c>
    </row>
    <row r="761" spans="1:9" x14ac:dyDescent="0.3">
      <c r="A761">
        <v>10760</v>
      </c>
      <c r="B761" s="2">
        <v>45290</v>
      </c>
      <c r="C761" t="s">
        <v>14</v>
      </c>
      <c r="D761" t="s">
        <v>18</v>
      </c>
      <c r="E761" t="s">
        <v>21</v>
      </c>
      <c r="F761">
        <v>12</v>
      </c>
      <c r="G761">
        <v>16295</v>
      </c>
      <c r="H761">
        <v>195540</v>
      </c>
      <c r="I761">
        <f t="shared" si="11"/>
        <v>195540</v>
      </c>
    </row>
    <row r="762" spans="1:9" x14ac:dyDescent="0.3">
      <c r="A762">
        <v>10761</v>
      </c>
      <c r="B762" s="2">
        <v>44978</v>
      </c>
      <c r="C762" t="s">
        <v>13</v>
      </c>
      <c r="D762" t="s">
        <v>15</v>
      </c>
      <c r="E762" t="s">
        <v>22</v>
      </c>
      <c r="F762">
        <v>19</v>
      </c>
      <c r="G762">
        <v>22041</v>
      </c>
      <c r="H762">
        <v>418779</v>
      </c>
      <c r="I762">
        <f t="shared" si="11"/>
        <v>418779</v>
      </c>
    </row>
    <row r="763" spans="1:9" x14ac:dyDescent="0.3">
      <c r="A763">
        <v>10762</v>
      </c>
      <c r="B763" s="2">
        <v>44990</v>
      </c>
      <c r="C763" t="s">
        <v>12</v>
      </c>
      <c r="D763" t="s">
        <v>16</v>
      </c>
      <c r="E763" t="s">
        <v>20</v>
      </c>
      <c r="F763">
        <v>19</v>
      </c>
      <c r="G763">
        <v>10947</v>
      </c>
      <c r="H763">
        <v>207993</v>
      </c>
      <c r="I763">
        <f t="shared" si="11"/>
        <v>207993</v>
      </c>
    </row>
    <row r="764" spans="1:9" x14ac:dyDescent="0.3">
      <c r="A764">
        <v>10763</v>
      </c>
      <c r="B764" s="2">
        <v>45288</v>
      </c>
      <c r="C764" t="s">
        <v>11</v>
      </c>
      <c r="D764" t="s">
        <v>16</v>
      </c>
      <c r="E764" t="s">
        <v>22</v>
      </c>
      <c r="F764">
        <v>5</v>
      </c>
      <c r="G764">
        <v>57971</v>
      </c>
      <c r="H764">
        <v>289855</v>
      </c>
      <c r="I764">
        <f t="shared" si="11"/>
        <v>289855</v>
      </c>
    </row>
    <row r="765" spans="1:9" x14ac:dyDescent="0.3">
      <c r="A765">
        <v>10764</v>
      </c>
      <c r="B765" s="2">
        <v>45177</v>
      </c>
      <c r="C765" t="s">
        <v>14</v>
      </c>
      <c r="D765" t="s">
        <v>18</v>
      </c>
      <c r="E765" t="s">
        <v>22</v>
      </c>
      <c r="F765">
        <v>2</v>
      </c>
      <c r="G765">
        <v>37917</v>
      </c>
      <c r="H765">
        <v>75834</v>
      </c>
      <c r="I765">
        <f t="shared" si="11"/>
        <v>75834</v>
      </c>
    </row>
    <row r="766" spans="1:9" x14ac:dyDescent="0.3">
      <c r="A766">
        <v>10765</v>
      </c>
      <c r="B766" s="2">
        <v>45218</v>
      </c>
      <c r="C766" t="s">
        <v>11</v>
      </c>
      <c r="D766" t="s">
        <v>16</v>
      </c>
      <c r="E766" t="s">
        <v>23</v>
      </c>
      <c r="F766">
        <v>12</v>
      </c>
      <c r="G766">
        <v>29482</v>
      </c>
      <c r="H766">
        <v>353784</v>
      </c>
      <c r="I766">
        <f t="shared" si="11"/>
        <v>353784</v>
      </c>
    </row>
    <row r="767" spans="1:9" x14ac:dyDescent="0.3">
      <c r="A767">
        <v>10766</v>
      </c>
      <c r="B767" s="2">
        <v>45033</v>
      </c>
      <c r="C767" t="s">
        <v>13</v>
      </c>
      <c r="D767" t="s">
        <v>18</v>
      </c>
      <c r="E767" t="s">
        <v>19</v>
      </c>
      <c r="F767">
        <v>13</v>
      </c>
      <c r="G767">
        <v>38315</v>
      </c>
      <c r="H767">
        <v>498095</v>
      </c>
      <c r="I767">
        <f t="shared" si="11"/>
        <v>498095</v>
      </c>
    </row>
    <row r="768" spans="1:9" x14ac:dyDescent="0.3">
      <c r="A768">
        <v>10767</v>
      </c>
      <c r="B768" s="2">
        <v>44935</v>
      </c>
      <c r="C768" t="s">
        <v>11</v>
      </c>
      <c r="D768" t="s">
        <v>17</v>
      </c>
      <c r="E768" t="s">
        <v>19</v>
      </c>
      <c r="F768">
        <v>1</v>
      </c>
      <c r="G768">
        <v>12018</v>
      </c>
      <c r="H768">
        <v>12018</v>
      </c>
      <c r="I768">
        <f t="shared" si="11"/>
        <v>12018</v>
      </c>
    </row>
    <row r="769" spans="1:9" x14ac:dyDescent="0.3">
      <c r="A769">
        <v>10768</v>
      </c>
      <c r="B769" s="2">
        <v>45057</v>
      </c>
      <c r="C769" t="s">
        <v>9</v>
      </c>
      <c r="D769" t="s">
        <v>16</v>
      </c>
      <c r="E769" t="s">
        <v>20</v>
      </c>
      <c r="F769">
        <v>12</v>
      </c>
      <c r="G769">
        <v>9369</v>
      </c>
      <c r="H769">
        <v>112428</v>
      </c>
      <c r="I769">
        <f t="shared" si="11"/>
        <v>112428</v>
      </c>
    </row>
    <row r="770" spans="1:9" x14ac:dyDescent="0.3">
      <c r="A770">
        <v>10769</v>
      </c>
      <c r="B770" s="2">
        <v>45288</v>
      </c>
      <c r="C770" t="s">
        <v>11</v>
      </c>
      <c r="D770" t="s">
        <v>17</v>
      </c>
      <c r="E770" t="s">
        <v>19</v>
      </c>
      <c r="F770">
        <v>13</v>
      </c>
      <c r="G770">
        <v>6071</v>
      </c>
      <c r="H770">
        <v>78923</v>
      </c>
      <c r="I770">
        <f t="shared" si="11"/>
        <v>78923</v>
      </c>
    </row>
    <row r="771" spans="1:9" x14ac:dyDescent="0.3">
      <c r="A771">
        <v>10770</v>
      </c>
      <c r="B771" s="2">
        <v>44942</v>
      </c>
      <c r="C771" t="s">
        <v>10</v>
      </c>
      <c r="D771" t="s">
        <v>17</v>
      </c>
      <c r="E771" t="s">
        <v>19</v>
      </c>
      <c r="F771">
        <v>19</v>
      </c>
      <c r="G771">
        <v>19862</v>
      </c>
      <c r="H771">
        <v>377378</v>
      </c>
      <c r="I771">
        <f t="shared" ref="I771:I834" si="12">G771*F771</f>
        <v>377378</v>
      </c>
    </row>
    <row r="772" spans="1:9" x14ac:dyDescent="0.3">
      <c r="A772">
        <v>10771</v>
      </c>
      <c r="B772" s="2">
        <v>45289</v>
      </c>
      <c r="C772" t="s">
        <v>14</v>
      </c>
      <c r="D772" t="s">
        <v>16</v>
      </c>
      <c r="E772" t="s">
        <v>22</v>
      </c>
      <c r="F772">
        <v>2</v>
      </c>
      <c r="G772">
        <v>36884</v>
      </c>
      <c r="H772">
        <v>73768</v>
      </c>
      <c r="I772">
        <f t="shared" si="12"/>
        <v>73768</v>
      </c>
    </row>
    <row r="773" spans="1:9" x14ac:dyDescent="0.3">
      <c r="A773">
        <v>10772</v>
      </c>
      <c r="B773" s="2">
        <v>45191</v>
      </c>
      <c r="C773" t="s">
        <v>14</v>
      </c>
      <c r="D773" t="s">
        <v>17</v>
      </c>
      <c r="E773" t="s">
        <v>19</v>
      </c>
      <c r="F773">
        <v>20</v>
      </c>
      <c r="G773">
        <v>36091</v>
      </c>
      <c r="H773">
        <v>721820</v>
      </c>
      <c r="I773">
        <f t="shared" si="12"/>
        <v>721820</v>
      </c>
    </row>
    <row r="774" spans="1:9" x14ac:dyDescent="0.3">
      <c r="A774">
        <v>10773</v>
      </c>
      <c r="B774" s="2">
        <v>45193</v>
      </c>
      <c r="C774" t="s">
        <v>14</v>
      </c>
      <c r="D774" t="s">
        <v>16</v>
      </c>
      <c r="E774" t="s">
        <v>23</v>
      </c>
      <c r="F774">
        <v>11</v>
      </c>
      <c r="G774">
        <v>27570</v>
      </c>
      <c r="H774">
        <v>303270</v>
      </c>
      <c r="I774">
        <f t="shared" si="12"/>
        <v>303270</v>
      </c>
    </row>
    <row r="775" spans="1:9" x14ac:dyDescent="0.3">
      <c r="A775">
        <v>10774</v>
      </c>
      <c r="B775" s="2">
        <v>45203</v>
      </c>
      <c r="C775" t="s">
        <v>14</v>
      </c>
      <c r="D775" t="s">
        <v>17</v>
      </c>
      <c r="E775" t="s">
        <v>24</v>
      </c>
      <c r="F775">
        <v>20</v>
      </c>
      <c r="G775">
        <v>32896</v>
      </c>
      <c r="H775">
        <v>657920</v>
      </c>
      <c r="I775">
        <f t="shared" si="12"/>
        <v>657920</v>
      </c>
    </row>
    <row r="776" spans="1:9" x14ac:dyDescent="0.3">
      <c r="A776">
        <v>10775</v>
      </c>
      <c r="B776" s="2">
        <v>45037</v>
      </c>
      <c r="C776" t="s">
        <v>8</v>
      </c>
      <c r="D776" t="s">
        <v>18</v>
      </c>
      <c r="E776" t="s">
        <v>23</v>
      </c>
      <c r="F776">
        <v>3</v>
      </c>
      <c r="G776">
        <v>36593</v>
      </c>
      <c r="H776">
        <v>109779</v>
      </c>
      <c r="I776">
        <f t="shared" si="12"/>
        <v>109779</v>
      </c>
    </row>
    <row r="777" spans="1:9" x14ac:dyDescent="0.3">
      <c r="A777">
        <v>10776</v>
      </c>
      <c r="B777" s="2">
        <v>45057</v>
      </c>
      <c r="C777" t="s">
        <v>13</v>
      </c>
      <c r="D777" t="s">
        <v>16</v>
      </c>
      <c r="E777" t="s">
        <v>19</v>
      </c>
      <c r="F777">
        <v>1</v>
      </c>
      <c r="G777">
        <v>58675</v>
      </c>
      <c r="H777">
        <v>58675</v>
      </c>
      <c r="I777">
        <f t="shared" si="12"/>
        <v>58675</v>
      </c>
    </row>
    <row r="778" spans="1:9" x14ac:dyDescent="0.3">
      <c r="A778">
        <v>10777</v>
      </c>
      <c r="B778" s="2">
        <v>45216</v>
      </c>
      <c r="C778" t="s">
        <v>12</v>
      </c>
      <c r="D778" t="s">
        <v>17</v>
      </c>
      <c r="E778" t="s">
        <v>24</v>
      </c>
      <c r="F778">
        <v>8</v>
      </c>
      <c r="G778">
        <v>52079</v>
      </c>
      <c r="H778">
        <v>416632</v>
      </c>
      <c r="I778">
        <f t="shared" si="12"/>
        <v>416632</v>
      </c>
    </row>
    <row r="779" spans="1:9" x14ac:dyDescent="0.3">
      <c r="A779">
        <v>10778</v>
      </c>
      <c r="B779" s="2">
        <v>45261</v>
      </c>
      <c r="C779" t="s">
        <v>11</v>
      </c>
      <c r="D779" t="s">
        <v>17</v>
      </c>
      <c r="E779" t="s">
        <v>23</v>
      </c>
      <c r="F779">
        <v>1</v>
      </c>
      <c r="G779">
        <v>21710</v>
      </c>
      <c r="H779">
        <v>21710</v>
      </c>
      <c r="I779">
        <f t="shared" si="12"/>
        <v>21710</v>
      </c>
    </row>
    <row r="780" spans="1:9" x14ac:dyDescent="0.3">
      <c r="A780">
        <v>10779</v>
      </c>
      <c r="B780" s="2">
        <v>45009</v>
      </c>
      <c r="C780" t="s">
        <v>8</v>
      </c>
      <c r="D780" t="s">
        <v>18</v>
      </c>
      <c r="E780" t="s">
        <v>22</v>
      </c>
      <c r="F780">
        <v>2</v>
      </c>
      <c r="G780">
        <v>11619</v>
      </c>
      <c r="H780">
        <v>23238</v>
      </c>
      <c r="I780">
        <f t="shared" si="12"/>
        <v>23238</v>
      </c>
    </row>
    <row r="781" spans="1:9" x14ac:dyDescent="0.3">
      <c r="A781">
        <v>10780</v>
      </c>
      <c r="B781" s="2">
        <v>45011</v>
      </c>
      <c r="C781" t="s">
        <v>9</v>
      </c>
      <c r="D781" t="s">
        <v>17</v>
      </c>
      <c r="E781" t="s">
        <v>20</v>
      </c>
      <c r="F781">
        <v>16</v>
      </c>
      <c r="G781">
        <v>27874</v>
      </c>
      <c r="H781">
        <v>445984</v>
      </c>
      <c r="I781">
        <f t="shared" si="12"/>
        <v>445984</v>
      </c>
    </row>
    <row r="782" spans="1:9" x14ac:dyDescent="0.3">
      <c r="A782">
        <v>10781</v>
      </c>
      <c r="B782" s="2">
        <v>45093</v>
      </c>
      <c r="C782" t="s">
        <v>12</v>
      </c>
      <c r="D782" t="s">
        <v>17</v>
      </c>
      <c r="E782" t="s">
        <v>19</v>
      </c>
      <c r="F782">
        <v>6</v>
      </c>
      <c r="G782">
        <v>36650</v>
      </c>
      <c r="H782">
        <v>219900</v>
      </c>
      <c r="I782">
        <f t="shared" si="12"/>
        <v>219900</v>
      </c>
    </row>
    <row r="783" spans="1:9" x14ac:dyDescent="0.3">
      <c r="A783">
        <v>10782</v>
      </c>
      <c r="B783" s="2">
        <v>45255</v>
      </c>
      <c r="C783" t="s">
        <v>10</v>
      </c>
      <c r="D783" t="s">
        <v>16</v>
      </c>
      <c r="E783" t="s">
        <v>20</v>
      </c>
      <c r="F783">
        <v>17</v>
      </c>
      <c r="G783">
        <v>46218</v>
      </c>
      <c r="H783">
        <v>785706</v>
      </c>
      <c r="I783">
        <f t="shared" si="12"/>
        <v>785706</v>
      </c>
    </row>
    <row r="784" spans="1:9" x14ac:dyDescent="0.3">
      <c r="A784">
        <v>10783</v>
      </c>
      <c r="B784" s="2">
        <v>44998</v>
      </c>
      <c r="C784" t="s">
        <v>11</v>
      </c>
      <c r="D784" t="s">
        <v>16</v>
      </c>
      <c r="E784" t="s">
        <v>23</v>
      </c>
      <c r="F784">
        <v>12</v>
      </c>
      <c r="G784">
        <v>10834</v>
      </c>
      <c r="H784">
        <v>130008</v>
      </c>
      <c r="I784">
        <f t="shared" si="12"/>
        <v>130008</v>
      </c>
    </row>
    <row r="785" spans="1:9" x14ac:dyDescent="0.3">
      <c r="A785">
        <v>10784</v>
      </c>
      <c r="B785" s="2">
        <v>45193</v>
      </c>
      <c r="C785" t="s">
        <v>13</v>
      </c>
      <c r="D785" t="s">
        <v>16</v>
      </c>
      <c r="E785" t="s">
        <v>21</v>
      </c>
      <c r="F785">
        <v>12</v>
      </c>
      <c r="G785">
        <v>12634</v>
      </c>
      <c r="H785">
        <v>151608</v>
      </c>
      <c r="I785">
        <f t="shared" si="12"/>
        <v>151608</v>
      </c>
    </row>
    <row r="786" spans="1:9" x14ac:dyDescent="0.3">
      <c r="A786">
        <v>10785</v>
      </c>
      <c r="B786" s="2">
        <v>45013</v>
      </c>
      <c r="C786" t="s">
        <v>8</v>
      </c>
      <c r="D786" t="s">
        <v>17</v>
      </c>
      <c r="E786" t="s">
        <v>20</v>
      </c>
      <c r="F786">
        <v>14</v>
      </c>
      <c r="G786">
        <v>27831</v>
      </c>
      <c r="H786">
        <v>389634</v>
      </c>
      <c r="I786">
        <f t="shared" si="12"/>
        <v>389634</v>
      </c>
    </row>
    <row r="787" spans="1:9" x14ac:dyDescent="0.3">
      <c r="A787">
        <v>10786</v>
      </c>
      <c r="B787" s="2">
        <v>45285</v>
      </c>
      <c r="C787" t="s">
        <v>14</v>
      </c>
      <c r="D787" t="s">
        <v>15</v>
      </c>
      <c r="E787" t="s">
        <v>19</v>
      </c>
      <c r="F787">
        <v>4</v>
      </c>
      <c r="G787">
        <v>2463</v>
      </c>
      <c r="H787">
        <v>9852</v>
      </c>
      <c r="I787">
        <f t="shared" si="12"/>
        <v>9852</v>
      </c>
    </row>
    <row r="788" spans="1:9" x14ac:dyDescent="0.3">
      <c r="A788">
        <v>10787</v>
      </c>
      <c r="B788" s="2">
        <v>45185</v>
      </c>
      <c r="C788" t="s">
        <v>13</v>
      </c>
      <c r="D788" t="s">
        <v>17</v>
      </c>
      <c r="E788" t="s">
        <v>20</v>
      </c>
      <c r="F788">
        <v>15</v>
      </c>
      <c r="G788">
        <v>22252</v>
      </c>
      <c r="H788">
        <v>333780</v>
      </c>
      <c r="I788">
        <f t="shared" si="12"/>
        <v>333780</v>
      </c>
    </row>
    <row r="789" spans="1:9" x14ac:dyDescent="0.3">
      <c r="A789">
        <v>10788</v>
      </c>
      <c r="B789" s="2">
        <v>45026</v>
      </c>
      <c r="C789" t="s">
        <v>12</v>
      </c>
      <c r="D789" t="s">
        <v>15</v>
      </c>
      <c r="E789" t="s">
        <v>24</v>
      </c>
      <c r="F789">
        <v>20</v>
      </c>
      <c r="G789">
        <v>53869</v>
      </c>
      <c r="H789">
        <v>1077380</v>
      </c>
      <c r="I789">
        <f t="shared" si="12"/>
        <v>1077380</v>
      </c>
    </row>
    <row r="790" spans="1:9" x14ac:dyDescent="0.3">
      <c r="A790">
        <v>10789</v>
      </c>
      <c r="B790" s="2">
        <v>45104</v>
      </c>
      <c r="C790" t="s">
        <v>8</v>
      </c>
      <c r="D790" t="s">
        <v>17</v>
      </c>
      <c r="E790" t="s">
        <v>23</v>
      </c>
      <c r="F790">
        <v>4</v>
      </c>
      <c r="G790">
        <v>35380</v>
      </c>
      <c r="H790">
        <v>141520</v>
      </c>
      <c r="I790">
        <f t="shared" si="12"/>
        <v>141520</v>
      </c>
    </row>
    <row r="791" spans="1:9" x14ac:dyDescent="0.3">
      <c r="A791">
        <v>10790</v>
      </c>
      <c r="B791" s="2">
        <v>45288</v>
      </c>
      <c r="C791" t="s">
        <v>8</v>
      </c>
      <c r="D791" t="s">
        <v>18</v>
      </c>
      <c r="E791" t="s">
        <v>23</v>
      </c>
      <c r="F791">
        <v>2</v>
      </c>
      <c r="G791">
        <v>28226</v>
      </c>
      <c r="H791">
        <v>56452</v>
      </c>
      <c r="I791">
        <f t="shared" si="12"/>
        <v>56452</v>
      </c>
    </row>
    <row r="792" spans="1:9" x14ac:dyDescent="0.3">
      <c r="A792">
        <v>10791</v>
      </c>
      <c r="B792" s="2">
        <v>45064</v>
      </c>
      <c r="C792" t="s">
        <v>10</v>
      </c>
      <c r="D792" t="s">
        <v>17</v>
      </c>
      <c r="E792" t="s">
        <v>24</v>
      </c>
      <c r="F792">
        <v>5</v>
      </c>
      <c r="G792">
        <v>32954</v>
      </c>
      <c r="H792">
        <v>164770</v>
      </c>
      <c r="I792">
        <f t="shared" si="12"/>
        <v>164770</v>
      </c>
    </row>
    <row r="793" spans="1:9" x14ac:dyDescent="0.3">
      <c r="A793">
        <v>10792</v>
      </c>
      <c r="B793" s="2">
        <v>45222</v>
      </c>
      <c r="C793" t="s">
        <v>12</v>
      </c>
      <c r="D793" t="s">
        <v>17</v>
      </c>
      <c r="E793" t="s">
        <v>24</v>
      </c>
      <c r="F793">
        <v>19</v>
      </c>
      <c r="G793">
        <v>47735</v>
      </c>
      <c r="H793">
        <v>906965</v>
      </c>
      <c r="I793">
        <f t="shared" si="12"/>
        <v>906965</v>
      </c>
    </row>
    <row r="794" spans="1:9" x14ac:dyDescent="0.3">
      <c r="A794">
        <v>10793</v>
      </c>
      <c r="B794" s="2">
        <v>45252</v>
      </c>
      <c r="C794" t="s">
        <v>8</v>
      </c>
      <c r="D794" t="s">
        <v>17</v>
      </c>
      <c r="E794" t="s">
        <v>23</v>
      </c>
      <c r="F794">
        <v>1</v>
      </c>
      <c r="G794">
        <v>36372</v>
      </c>
      <c r="H794">
        <v>36372</v>
      </c>
      <c r="I794">
        <f t="shared" si="12"/>
        <v>36372</v>
      </c>
    </row>
    <row r="795" spans="1:9" x14ac:dyDescent="0.3">
      <c r="A795">
        <v>10794</v>
      </c>
      <c r="B795" s="2">
        <v>45058</v>
      </c>
      <c r="C795" t="s">
        <v>13</v>
      </c>
      <c r="D795" t="s">
        <v>18</v>
      </c>
      <c r="E795" t="s">
        <v>22</v>
      </c>
      <c r="F795">
        <v>10</v>
      </c>
      <c r="G795">
        <v>10978</v>
      </c>
      <c r="H795">
        <v>109780</v>
      </c>
      <c r="I795">
        <f t="shared" si="12"/>
        <v>109780</v>
      </c>
    </row>
    <row r="796" spans="1:9" x14ac:dyDescent="0.3">
      <c r="A796">
        <v>10795</v>
      </c>
      <c r="B796" s="2">
        <v>45207</v>
      </c>
      <c r="C796" t="s">
        <v>11</v>
      </c>
      <c r="D796" t="s">
        <v>15</v>
      </c>
      <c r="E796" t="s">
        <v>21</v>
      </c>
      <c r="F796">
        <v>12</v>
      </c>
      <c r="G796">
        <v>44086</v>
      </c>
      <c r="H796">
        <v>529032</v>
      </c>
      <c r="I796">
        <f t="shared" si="12"/>
        <v>529032</v>
      </c>
    </row>
    <row r="797" spans="1:9" x14ac:dyDescent="0.3">
      <c r="A797">
        <v>10796</v>
      </c>
      <c r="B797" s="2">
        <v>45274</v>
      </c>
      <c r="C797" t="s">
        <v>10</v>
      </c>
      <c r="D797" t="s">
        <v>18</v>
      </c>
      <c r="E797" t="s">
        <v>24</v>
      </c>
      <c r="F797">
        <v>13</v>
      </c>
      <c r="G797">
        <v>22969</v>
      </c>
      <c r="H797">
        <v>298597</v>
      </c>
      <c r="I797">
        <f t="shared" si="12"/>
        <v>298597</v>
      </c>
    </row>
    <row r="798" spans="1:9" x14ac:dyDescent="0.3">
      <c r="A798">
        <v>10797</v>
      </c>
      <c r="B798" s="2">
        <v>45209</v>
      </c>
      <c r="C798" t="s">
        <v>8</v>
      </c>
      <c r="D798" t="s">
        <v>17</v>
      </c>
      <c r="E798" t="s">
        <v>19</v>
      </c>
      <c r="F798">
        <v>8</v>
      </c>
      <c r="G798">
        <v>29116</v>
      </c>
      <c r="H798">
        <v>232928</v>
      </c>
      <c r="I798">
        <f t="shared" si="12"/>
        <v>232928</v>
      </c>
    </row>
    <row r="799" spans="1:9" x14ac:dyDescent="0.3">
      <c r="A799">
        <v>10798</v>
      </c>
      <c r="B799" s="2">
        <v>45154</v>
      </c>
      <c r="C799" t="s">
        <v>14</v>
      </c>
      <c r="D799" t="s">
        <v>17</v>
      </c>
      <c r="E799" t="s">
        <v>22</v>
      </c>
      <c r="F799">
        <v>2</v>
      </c>
      <c r="G799">
        <v>15593</v>
      </c>
      <c r="H799">
        <v>31186</v>
      </c>
      <c r="I799">
        <f t="shared" si="12"/>
        <v>31186</v>
      </c>
    </row>
    <row r="800" spans="1:9" x14ac:dyDescent="0.3">
      <c r="A800">
        <v>10799</v>
      </c>
      <c r="B800" s="2">
        <v>45038</v>
      </c>
      <c r="C800" t="s">
        <v>11</v>
      </c>
      <c r="D800" t="s">
        <v>18</v>
      </c>
      <c r="E800" t="s">
        <v>19</v>
      </c>
      <c r="F800">
        <v>8</v>
      </c>
      <c r="G800">
        <v>15337</v>
      </c>
      <c r="H800">
        <v>122696</v>
      </c>
      <c r="I800">
        <f t="shared" si="12"/>
        <v>122696</v>
      </c>
    </row>
    <row r="801" spans="1:9" x14ac:dyDescent="0.3">
      <c r="A801">
        <v>10800</v>
      </c>
      <c r="B801" s="2">
        <v>45271</v>
      </c>
      <c r="C801" t="s">
        <v>8</v>
      </c>
      <c r="D801" t="s">
        <v>15</v>
      </c>
      <c r="E801" t="s">
        <v>22</v>
      </c>
      <c r="F801">
        <v>16</v>
      </c>
      <c r="G801">
        <v>1030</v>
      </c>
      <c r="H801">
        <v>16480</v>
      </c>
      <c r="I801">
        <f t="shared" si="12"/>
        <v>16480</v>
      </c>
    </row>
    <row r="802" spans="1:9" x14ac:dyDescent="0.3">
      <c r="A802">
        <v>10801</v>
      </c>
      <c r="B802" s="2">
        <v>44985</v>
      </c>
      <c r="C802" t="s">
        <v>8</v>
      </c>
      <c r="D802" t="s">
        <v>17</v>
      </c>
      <c r="E802" t="s">
        <v>23</v>
      </c>
      <c r="F802">
        <v>9</v>
      </c>
      <c r="G802">
        <v>13984</v>
      </c>
      <c r="H802">
        <v>125856</v>
      </c>
      <c r="I802">
        <f t="shared" si="12"/>
        <v>125856</v>
      </c>
    </row>
    <row r="803" spans="1:9" x14ac:dyDescent="0.3">
      <c r="A803">
        <v>10802</v>
      </c>
      <c r="B803" s="2">
        <v>45198</v>
      </c>
      <c r="C803" t="s">
        <v>12</v>
      </c>
      <c r="D803" t="s">
        <v>16</v>
      </c>
      <c r="E803" t="s">
        <v>24</v>
      </c>
      <c r="F803">
        <v>8</v>
      </c>
      <c r="G803">
        <v>29181</v>
      </c>
      <c r="H803">
        <v>233448</v>
      </c>
      <c r="I803">
        <f t="shared" si="12"/>
        <v>233448</v>
      </c>
    </row>
    <row r="804" spans="1:9" x14ac:dyDescent="0.3">
      <c r="A804">
        <v>10803</v>
      </c>
      <c r="B804" s="2">
        <v>45046</v>
      </c>
      <c r="C804" t="s">
        <v>8</v>
      </c>
      <c r="D804" t="s">
        <v>15</v>
      </c>
      <c r="E804" t="s">
        <v>19</v>
      </c>
      <c r="F804">
        <v>12</v>
      </c>
      <c r="G804">
        <v>24036</v>
      </c>
      <c r="H804">
        <v>288432</v>
      </c>
      <c r="I804">
        <f t="shared" si="12"/>
        <v>288432</v>
      </c>
    </row>
    <row r="805" spans="1:9" x14ac:dyDescent="0.3">
      <c r="A805">
        <v>10804</v>
      </c>
      <c r="B805" s="2">
        <v>45088</v>
      </c>
      <c r="C805" t="s">
        <v>13</v>
      </c>
      <c r="D805" t="s">
        <v>16</v>
      </c>
      <c r="E805" t="s">
        <v>19</v>
      </c>
      <c r="F805">
        <v>18</v>
      </c>
      <c r="G805">
        <v>31442</v>
      </c>
      <c r="H805">
        <v>565956</v>
      </c>
      <c r="I805">
        <f t="shared" si="12"/>
        <v>565956</v>
      </c>
    </row>
    <row r="806" spans="1:9" x14ac:dyDescent="0.3">
      <c r="A806">
        <v>10805</v>
      </c>
      <c r="B806" s="2">
        <v>44995</v>
      </c>
      <c r="C806" t="s">
        <v>9</v>
      </c>
      <c r="D806" t="s">
        <v>17</v>
      </c>
      <c r="E806" t="s">
        <v>23</v>
      </c>
      <c r="F806">
        <v>18</v>
      </c>
      <c r="G806">
        <v>44589</v>
      </c>
      <c r="H806">
        <v>802602</v>
      </c>
      <c r="I806">
        <f t="shared" si="12"/>
        <v>802602</v>
      </c>
    </row>
    <row r="807" spans="1:9" x14ac:dyDescent="0.3">
      <c r="A807">
        <v>10806</v>
      </c>
      <c r="B807" s="2">
        <v>44958</v>
      </c>
      <c r="C807" t="s">
        <v>11</v>
      </c>
      <c r="D807" t="s">
        <v>17</v>
      </c>
      <c r="E807" t="s">
        <v>21</v>
      </c>
      <c r="F807">
        <v>9</v>
      </c>
      <c r="G807">
        <v>27857</v>
      </c>
      <c r="H807">
        <v>250713</v>
      </c>
      <c r="I807">
        <f t="shared" si="12"/>
        <v>250713</v>
      </c>
    </row>
    <row r="808" spans="1:9" x14ac:dyDescent="0.3">
      <c r="A808">
        <v>10807</v>
      </c>
      <c r="B808" s="2">
        <v>45164</v>
      </c>
      <c r="C808" t="s">
        <v>8</v>
      </c>
      <c r="D808" t="s">
        <v>16</v>
      </c>
      <c r="E808" t="s">
        <v>19</v>
      </c>
      <c r="F808">
        <v>7</v>
      </c>
      <c r="G808">
        <v>23297</v>
      </c>
      <c r="H808">
        <v>163079</v>
      </c>
      <c r="I808">
        <f t="shared" si="12"/>
        <v>163079</v>
      </c>
    </row>
    <row r="809" spans="1:9" x14ac:dyDescent="0.3">
      <c r="A809">
        <v>10808</v>
      </c>
      <c r="B809" s="2">
        <v>44956</v>
      </c>
      <c r="C809" t="s">
        <v>9</v>
      </c>
      <c r="D809" t="s">
        <v>17</v>
      </c>
      <c r="E809" t="s">
        <v>24</v>
      </c>
      <c r="F809">
        <v>11</v>
      </c>
      <c r="G809">
        <v>23317</v>
      </c>
      <c r="H809">
        <v>256487</v>
      </c>
      <c r="I809">
        <f t="shared" si="12"/>
        <v>256487</v>
      </c>
    </row>
    <row r="810" spans="1:9" x14ac:dyDescent="0.3">
      <c r="A810">
        <v>10809</v>
      </c>
      <c r="B810" s="2">
        <v>45162</v>
      </c>
      <c r="C810" t="s">
        <v>11</v>
      </c>
      <c r="D810" t="s">
        <v>18</v>
      </c>
      <c r="E810" t="s">
        <v>20</v>
      </c>
      <c r="F810">
        <v>13</v>
      </c>
      <c r="G810">
        <v>2831</v>
      </c>
      <c r="H810">
        <v>36803</v>
      </c>
      <c r="I810">
        <f t="shared" si="12"/>
        <v>36803</v>
      </c>
    </row>
    <row r="811" spans="1:9" x14ac:dyDescent="0.3">
      <c r="A811">
        <v>10810</v>
      </c>
      <c r="B811" s="2">
        <v>45122</v>
      </c>
      <c r="C811" t="s">
        <v>9</v>
      </c>
      <c r="D811" t="s">
        <v>18</v>
      </c>
      <c r="E811" t="s">
        <v>23</v>
      </c>
      <c r="F811">
        <v>3</v>
      </c>
      <c r="G811">
        <v>43808</v>
      </c>
      <c r="H811">
        <v>131424</v>
      </c>
      <c r="I811">
        <f t="shared" si="12"/>
        <v>131424</v>
      </c>
    </row>
    <row r="812" spans="1:9" x14ac:dyDescent="0.3">
      <c r="A812">
        <v>10811</v>
      </c>
      <c r="B812" s="2">
        <v>44952</v>
      </c>
      <c r="C812" t="s">
        <v>14</v>
      </c>
      <c r="D812" t="s">
        <v>16</v>
      </c>
      <c r="E812" t="s">
        <v>20</v>
      </c>
      <c r="F812">
        <v>3</v>
      </c>
      <c r="G812">
        <v>25594</v>
      </c>
      <c r="H812">
        <v>76782</v>
      </c>
      <c r="I812">
        <f t="shared" si="12"/>
        <v>76782</v>
      </c>
    </row>
    <row r="813" spans="1:9" x14ac:dyDescent="0.3">
      <c r="A813">
        <v>10812</v>
      </c>
      <c r="B813" s="2">
        <v>45008</v>
      </c>
      <c r="C813" t="s">
        <v>10</v>
      </c>
      <c r="D813" t="s">
        <v>15</v>
      </c>
      <c r="E813" t="s">
        <v>21</v>
      </c>
      <c r="F813">
        <v>9</v>
      </c>
      <c r="G813">
        <v>4145</v>
      </c>
      <c r="H813">
        <v>37305</v>
      </c>
      <c r="I813">
        <f t="shared" si="12"/>
        <v>37305</v>
      </c>
    </row>
    <row r="814" spans="1:9" x14ac:dyDescent="0.3">
      <c r="A814">
        <v>10813</v>
      </c>
      <c r="B814" s="2">
        <v>45272</v>
      </c>
      <c r="C814" t="s">
        <v>14</v>
      </c>
      <c r="D814" t="s">
        <v>17</v>
      </c>
      <c r="E814" t="s">
        <v>24</v>
      </c>
      <c r="F814">
        <v>18</v>
      </c>
      <c r="G814">
        <v>41819</v>
      </c>
      <c r="H814">
        <v>752742</v>
      </c>
      <c r="I814">
        <f t="shared" si="12"/>
        <v>752742</v>
      </c>
    </row>
    <row r="815" spans="1:9" x14ac:dyDescent="0.3">
      <c r="A815">
        <v>10814</v>
      </c>
      <c r="B815" s="2">
        <v>44932</v>
      </c>
      <c r="C815" t="s">
        <v>12</v>
      </c>
      <c r="D815" t="s">
        <v>18</v>
      </c>
      <c r="E815" t="s">
        <v>20</v>
      </c>
      <c r="F815">
        <v>7</v>
      </c>
      <c r="G815">
        <v>14543</v>
      </c>
      <c r="H815">
        <v>101801</v>
      </c>
      <c r="I815">
        <f t="shared" si="12"/>
        <v>101801</v>
      </c>
    </row>
    <row r="816" spans="1:9" x14ac:dyDescent="0.3">
      <c r="A816">
        <v>10815</v>
      </c>
      <c r="B816" s="2">
        <v>45229</v>
      </c>
      <c r="C816" t="s">
        <v>12</v>
      </c>
      <c r="D816" t="s">
        <v>16</v>
      </c>
      <c r="E816" t="s">
        <v>23</v>
      </c>
      <c r="F816">
        <v>15</v>
      </c>
      <c r="G816">
        <v>21079</v>
      </c>
      <c r="H816">
        <v>316185</v>
      </c>
      <c r="I816">
        <f t="shared" si="12"/>
        <v>316185</v>
      </c>
    </row>
    <row r="817" spans="1:9" x14ac:dyDescent="0.3">
      <c r="A817">
        <v>10816</v>
      </c>
      <c r="B817" s="2">
        <v>45032</v>
      </c>
      <c r="C817" t="s">
        <v>13</v>
      </c>
      <c r="D817" t="s">
        <v>16</v>
      </c>
      <c r="E817" t="s">
        <v>22</v>
      </c>
      <c r="F817">
        <v>15</v>
      </c>
      <c r="G817">
        <v>16489</v>
      </c>
      <c r="H817">
        <v>247335</v>
      </c>
      <c r="I817">
        <f t="shared" si="12"/>
        <v>247335</v>
      </c>
    </row>
    <row r="818" spans="1:9" x14ac:dyDescent="0.3">
      <c r="A818">
        <v>10817</v>
      </c>
      <c r="B818" s="2">
        <v>45191</v>
      </c>
      <c r="C818" t="s">
        <v>10</v>
      </c>
      <c r="D818" t="s">
        <v>17</v>
      </c>
      <c r="E818" t="s">
        <v>24</v>
      </c>
      <c r="F818">
        <v>4</v>
      </c>
      <c r="G818">
        <v>37826</v>
      </c>
      <c r="H818">
        <v>151304</v>
      </c>
      <c r="I818">
        <f t="shared" si="12"/>
        <v>151304</v>
      </c>
    </row>
    <row r="819" spans="1:9" x14ac:dyDescent="0.3">
      <c r="A819">
        <v>10818</v>
      </c>
      <c r="B819" s="2">
        <v>45231</v>
      </c>
      <c r="C819" t="s">
        <v>9</v>
      </c>
      <c r="D819" t="s">
        <v>16</v>
      </c>
      <c r="E819" t="s">
        <v>19</v>
      </c>
      <c r="F819">
        <v>11</v>
      </c>
      <c r="G819">
        <v>40924</v>
      </c>
      <c r="H819">
        <v>450164</v>
      </c>
      <c r="I819">
        <f t="shared" si="12"/>
        <v>450164</v>
      </c>
    </row>
    <row r="820" spans="1:9" x14ac:dyDescent="0.3">
      <c r="A820">
        <v>10819</v>
      </c>
      <c r="B820" s="2">
        <v>45192</v>
      </c>
      <c r="C820" t="s">
        <v>8</v>
      </c>
      <c r="D820" t="s">
        <v>18</v>
      </c>
      <c r="E820" t="s">
        <v>24</v>
      </c>
      <c r="F820">
        <v>18</v>
      </c>
      <c r="G820">
        <v>53394</v>
      </c>
      <c r="H820">
        <v>961092</v>
      </c>
      <c r="I820">
        <f t="shared" si="12"/>
        <v>961092</v>
      </c>
    </row>
    <row r="821" spans="1:9" x14ac:dyDescent="0.3">
      <c r="A821">
        <v>10820</v>
      </c>
      <c r="B821" s="2">
        <v>45253</v>
      </c>
      <c r="C821" t="s">
        <v>10</v>
      </c>
      <c r="D821" t="s">
        <v>15</v>
      </c>
      <c r="E821" t="s">
        <v>20</v>
      </c>
      <c r="F821">
        <v>14</v>
      </c>
      <c r="G821">
        <v>46318</v>
      </c>
      <c r="H821">
        <v>648452</v>
      </c>
      <c r="I821">
        <f t="shared" si="12"/>
        <v>648452</v>
      </c>
    </row>
    <row r="822" spans="1:9" x14ac:dyDescent="0.3">
      <c r="A822">
        <v>10821</v>
      </c>
      <c r="B822" s="2">
        <v>45239</v>
      </c>
      <c r="C822" t="s">
        <v>11</v>
      </c>
      <c r="D822" t="s">
        <v>17</v>
      </c>
      <c r="E822" t="s">
        <v>22</v>
      </c>
      <c r="F822">
        <v>1</v>
      </c>
      <c r="G822">
        <v>23619</v>
      </c>
      <c r="H822">
        <v>23619</v>
      </c>
      <c r="I822">
        <f t="shared" si="12"/>
        <v>23619</v>
      </c>
    </row>
    <row r="823" spans="1:9" x14ac:dyDescent="0.3">
      <c r="A823">
        <v>10822</v>
      </c>
      <c r="B823" s="2">
        <v>44932</v>
      </c>
      <c r="C823" t="s">
        <v>13</v>
      </c>
      <c r="D823" t="s">
        <v>15</v>
      </c>
      <c r="E823" t="s">
        <v>19</v>
      </c>
      <c r="F823">
        <v>1</v>
      </c>
      <c r="G823">
        <v>17229</v>
      </c>
      <c r="H823">
        <v>17229</v>
      </c>
      <c r="I823">
        <f t="shared" si="12"/>
        <v>17229</v>
      </c>
    </row>
    <row r="824" spans="1:9" x14ac:dyDescent="0.3">
      <c r="A824">
        <v>10823</v>
      </c>
      <c r="B824" s="2">
        <v>45135</v>
      </c>
      <c r="C824" t="s">
        <v>13</v>
      </c>
      <c r="D824" t="s">
        <v>16</v>
      </c>
      <c r="E824" t="s">
        <v>21</v>
      </c>
      <c r="F824">
        <v>15</v>
      </c>
      <c r="G824">
        <v>19920</v>
      </c>
      <c r="H824">
        <v>298800</v>
      </c>
      <c r="I824">
        <f t="shared" si="12"/>
        <v>298800</v>
      </c>
    </row>
    <row r="825" spans="1:9" x14ac:dyDescent="0.3">
      <c r="A825">
        <v>10824</v>
      </c>
      <c r="B825" s="2">
        <v>45137</v>
      </c>
      <c r="C825" t="s">
        <v>13</v>
      </c>
      <c r="D825" t="s">
        <v>18</v>
      </c>
      <c r="E825" t="s">
        <v>24</v>
      </c>
      <c r="F825">
        <v>2</v>
      </c>
      <c r="G825">
        <v>33356</v>
      </c>
      <c r="H825">
        <v>66712</v>
      </c>
      <c r="I825">
        <f t="shared" si="12"/>
        <v>66712</v>
      </c>
    </row>
    <row r="826" spans="1:9" x14ac:dyDescent="0.3">
      <c r="A826">
        <v>10825</v>
      </c>
      <c r="B826" s="2">
        <v>45090</v>
      </c>
      <c r="C826" t="s">
        <v>11</v>
      </c>
      <c r="D826" t="s">
        <v>15</v>
      </c>
      <c r="E826" t="s">
        <v>19</v>
      </c>
      <c r="F826">
        <v>9</v>
      </c>
      <c r="G826">
        <v>1187</v>
      </c>
      <c r="H826">
        <v>10683</v>
      </c>
      <c r="I826">
        <f t="shared" si="12"/>
        <v>10683</v>
      </c>
    </row>
    <row r="827" spans="1:9" x14ac:dyDescent="0.3">
      <c r="A827">
        <v>10826</v>
      </c>
      <c r="B827" s="2">
        <v>45073</v>
      </c>
      <c r="C827" t="s">
        <v>10</v>
      </c>
      <c r="D827" t="s">
        <v>17</v>
      </c>
      <c r="E827" t="s">
        <v>24</v>
      </c>
      <c r="F827">
        <v>10</v>
      </c>
      <c r="G827">
        <v>7341</v>
      </c>
      <c r="H827">
        <v>73410</v>
      </c>
      <c r="I827">
        <f t="shared" si="12"/>
        <v>73410</v>
      </c>
    </row>
    <row r="828" spans="1:9" x14ac:dyDescent="0.3">
      <c r="A828">
        <v>10827</v>
      </c>
      <c r="B828" s="2">
        <v>45025</v>
      </c>
      <c r="C828" t="s">
        <v>14</v>
      </c>
      <c r="D828" t="s">
        <v>16</v>
      </c>
      <c r="E828" t="s">
        <v>20</v>
      </c>
      <c r="F828">
        <v>12</v>
      </c>
      <c r="G828">
        <v>1703</v>
      </c>
      <c r="H828">
        <v>20436</v>
      </c>
      <c r="I828">
        <f t="shared" si="12"/>
        <v>20436</v>
      </c>
    </row>
    <row r="829" spans="1:9" x14ac:dyDescent="0.3">
      <c r="A829">
        <v>10828</v>
      </c>
      <c r="B829" s="2">
        <v>45273</v>
      </c>
      <c r="C829" t="s">
        <v>8</v>
      </c>
      <c r="D829" t="s">
        <v>16</v>
      </c>
      <c r="E829" t="s">
        <v>20</v>
      </c>
      <c r="F829">
        <v>9</v>
      </c>
      <c r="G829">
        <v>47368</v>
      </c>
      <c r="H829">
        <v>426312</v>
      </c>
      <c r="I829">
        <f t="shared" si="12"/>
        <v>426312</v>
      </c>
    </row>
    <row r="830" spans="1:9" x14ac:dyDescent="0.3">
      <c r="A830">
        <v>10829</v>
      </c>
      <c r="B830" s="2">
        <v>45072</v>
      </c>
      <c r="C830" t="s">
        <v>11</v>
      </c>
      <c r="D830" t="s">
        <v>16</v>
      </c>
      <c r="E830" t="s">
        <v>22</v>
      </c>
      <c r="F830">
        <v>19</v>
      </c>
      <c r="G830">
        <v>18899</v>
      </c>
      <c r="H830">
        <v>359081</v>
      </c>
      <c r="I830">
        <f t="shared" si="12"/>
        <v>359081</v>
      </c>
    </row>
    <row r="831" spans="1:9" x14ac:dyDescent="0.3">
      <c r="A831">
        <v>10830</v>
      </c>
      <c r="B831" s="2">
        <v>45101</v>
      </c>
      <c r="C831" t="s">
        <v>12</v>
      </c>
      <c r="D831" t="s">
        <v>17</v>
      </c>
      <c r="E831" t="s">
        <v>20</v>
      </c>
      <c r="F831">
        <v>9</v>
      </c>
      <c r="G831">
        <v>5383</v>
      </c>
      <c r="H831">
        <v>48447</v>
      </c>
      <c r="I831">
        <f t="shared" si="12"/>
        <v>48447</v>
      </c>
    </row>
    <row r="832" spans="1:9" x14ac:dyDescent="0.3">
      <c r="A832">
        <v>10831</v>
      </c>
      <c r="B832" s="2">
        <v>45095</v>
      </c>
      <c r="C832" t="s">
        <v>8</v>
      </c>
      <c r="D832" t="s">
        <v>15</v>
      </c>
      <c r="E832" t="s">
        <v>22</v>
      </c>
      <c r="F832">
        <v>16</v>
      </c>
      <c r="G832">
        <v>34939</v>
      </c>
      <c r="H832">
        <v>559024</v>
      </c>
      <c r="I832">
        <f t="shared" si="12"/>
        <v>559024</v>
      </c>
    </row>
    <row r="833" spans="1:9" x14ac:dyDescent="0.3">
      <c r="A833">
        <v>10832</v>
      </c>
      <c r="B833" s="2">
        <v>45133</v>
      </c>
      <c r="C833" t="s">
        <v>14</v>
      </c>
      <c r="D833" t="s">
        <v>16</v>
      </c>
      <c r="E833" t="s">
        <v>19</v>
      </c>
      <c r="F833">
        <v>18</v>
      </c>
      <c r="G833">
        <v>45695</v>
      </c>
      <c r="H833">
        <v>822510</v>
      </c>
      <c r="I833">
        <f t="shared" si="12"/>
        <v>822510</v>
      </c>
    </row>
    <row r="834" spans="1:9" x14ac:dyDescent="0.3">
      <c r="A834">
        <v>10833</v>
      </c>
      <c r="B834" s="2">
        <v>45251</v>
      </c>
      <c r="C834" t="s">
        <v>8</v>
      </c>
      <c r="D834" t="s">
        <v>15</v>
      </c>
      <c r="E834" t="s">
        <v>22</v>
      </c>
      <c r="F834">
        <v>18</v>
      </c>
      <c r="G834">
        <v>13869</v>
      </c>
      <c r="H834">
        <v>249642</v>
      </c>
      <c r="I834">
        <f t="shared" si="12"/>
        <v>249642</v>
      </c>
    </row>
    <row r="835" spans="1:9" x14ac:dyDescent="0.3">
      <c r="A835">
        <v>10834</v>
      </c>
      <c r="B835" s="2">
        <v>45037</v>
      </c>
      <c r="C835" t="s">
        <v>9</v>
      </c>
      <c r="D835" t="s">
        <v>17</v>
      </c>
      <c r="E835" t="s">
        <v>19</v>
      </c>
      <c r="F835">
        <v>13</v>
      </c>
      <c r="G835">
        <v>8588</v>
      </c>
      <c r="H835">
        <v>111644</v>
      </c>
      <c r="I835">
        <f t="shared" ref="I835:I898" si="13">G835*F835</f>
        <v>111644</v>
      </c>
    </row>
    <row r="836" spans="1:9" x14ac:dyDescent="0.3">
      <c r="A836">
        <v>10835</v>
      </c>
      <c r="B836" s="2">
        <v>44975</v>
      </c>
      <c r="C836" t="s">
        <v>10</v>
      </c>
      <c r="D836" t="s">
        <v>17</v>
      </c>
      <c r="E836" t="s">
        <v>19</v>
      </c>
      <c r="F836">
        <v>15</v>
      </c>
      <c r="G836">
        <v>28049</v>
      </c>
      <c r="H836">
        <v>420735</v>
      </c>
      <c r="I836">
        <f t="shared" si="13"/>
        <v>420735</v>
      </c>
    </row>
    <row r="837" spans="1:9" x14ac:dyDescent="0.3">
      <c r="A837">
        <v>10836</v>
      </c>
      <c r="B837" s="2">
        <v>45137</v>
      </c>
      <c r="C837" t="s">
        <v>13</v>
      </c>
      <c r="D837" t="s">
        <v>17</v>
      </c>
      <c r="E837" t="s">
        <v>23</v>
      </c>
      <c r="F837">
        <v>18</v>
      </c>
      <c r="G837">
        <v>39447</v>
      </c>
      <c r="H837">
        <v>710046</v>
      </c>
      <c r="I837">
        <f t="shared" si="13"/>
        <v>710046</v>
      </c>
    </row>
    <row r="838" spans="1:9" x14ac:dyDescent="0.3">
      <c r="A838">
        <v>10837</v>
      </c>
      <c r="B838" s="2">
        <v>45089</v>
      </c>
      <c r="C838" t="s">
        <v>12</v>
      </c>
      <c r="D838" t="s">
        <v>16</v>
      </c>
      <c r="E838" t="s">
        <v>20</v>
      </c>
      <c r="F838">
        <v>13</v>
      </c>
      <c r="G838">
        <v>52869</v>
      </c>
      <c r="H838">
        <v>687297</v>
      </c>
      <c r="I838">
        <f t="shared" si="13"/>
        <v>687297</v>
      </c>
    </row>
    <row r="839" spans="1:9" x14ac:dyDescent="0.3">
      <c r="A839">
        <v>10838</v>
      </c>
      <c r="B839" s="2">
        <v>44965</v>
      </c>
      <c r="C839" t="s">
        <v>12</v>
      </c>
      <c r="D839" t="s">
        <v>16</v>
      </c>
      <c r="E839" t="s">
        <v>24</v>
      </c>
      <c r="F839">
        <v>3</v>
      </c>
      <c r="G839">
        <v>58206</v>
      </c>
      <c r="H839">
        <v>174618</v>
      </c>
      <c r="I839">
        <f t="shared" si="13"/>
        <v>174618</v>
      </c>
    </row>
    <row r="840" spans="1:9" x14ac:dyDescent="0.3">
      <c r="A840">
        <v>10839</v>
      </c>
      <c r="B840" s="2">
        <v>45197</v>
      </c>
      <c r="C840" t="s">
        <v>11</v>
      </c>
      <c r="D840" t="s">
        <v>18</v>
      </c>
      <c r="E840" t="s">
        <v>22</v>
      </c>
      <c r="F840">
        <v>8</v>
      </c>
      <c r="G840">
        <v>43606</v>
      </c>
      <c r="H840">
        <v>348848</v>
      </c>
      <c r="I840">
        <f t="shared" si="13"/>
        <v>348848</v>
      </c>
    </row>
    <row r="841" spans="1:9" x14ac:dyDescent="0.3">
      <c r="A841">
        <v>10840</v>
      </c>
      <c r="B841" s="2">
        <v>45172</v>
      </c>
      <c r="C841" t="s">
        <v>14</v>
      </c>
      <c r="D841" t="s">
        <v>16</v>
      </c>
      <c r="E841" t="s">
        <v>23</v>
      </c>
      <c r="F841">
        <v>19</v>
      </c>
      <c r="G841">
        <v>58556</v>
      </c>
      <c r="H841">
        <v>1112564</v>
      </c>
      <c r="I841">
        <f t="shared" si="13"/>
        <v>1112564</v>
      </c>
    </row>
    <row r="842" spans="1:9" x14ac:dyDescent="0.3">
      <c r="A842">
        <v>10841</v>
      </c>
      <c r="B842" s="2">
        <v>45004</v>
      </c>
      <c r="C842" t="s">
        <v>10</v>
      </c>
      <c r="D842" t="s">
        <v>18</v>
      </c>
      <c r="E842" t="s">
        <v>21</v>
      </c>
      <c r="F842">
        <v>4</v>
      </c>
      <c r="G842">
        <v>3704</v>
      </c>
      <c r="H842">
        <v>14816</v>
      </c>
      <c r="I842">
        <f t="shared" si="13"/>
        <v>14816</v>
      </c>
    </row>
    <row r="843" spans="1:9" x14ac:dyDescent="0.3">
      <c r="A843">
        <v>10842</v>
      </c>
      <c r="B843" s="2">
        <v>45105</v>
      </c>
      <c r="C843" t="s">
        <v>13</v>
      </c>
      <c r="D843" t="s">
        <v>18</v>
      </c>
      <c r="E843" t="s">
        <v>21</v>
      </c>
      <c r="F843">
        <v>7</v>
      </c>
      <c r="G843">
        <v>46854</v>
      </c>
      <c r="H843">
        <v>327978</v>
      </c>
      <c r="I843">
        <f t="shared" si="13"/>
        <v>327978</v>
      </c>
    </row>
    <row r="844" spans="1:9" x14ac:dyDescent="0.3">
      <c r="A844">
        <v>10843</v>
      </c>
      <c r="B844" s="2">
        <v>45008</v>
      </c>
      <c r="C844" t="s">
        <v>8</v>
      </c>
      <c r="D844" t="s">
        <v>17</v>
      </c>
      <c r="E844" t="s">
        <v>22</v>
      </c>
      <c r="F844">
        <v>15</v>
      </c>
      <c r="G844">
        <v>38889</v>
      </c>
      <c r="H844">
        <v>583335</v>
      </c>
      <c r="I844">
        <f t="shared" si="13"/>
        <v>583335</v>
      </c>
    </row>
    <row r="845" spans="1:9" x14ac:dyDescent="0.3">
      <c r="A845">
        <v>10844</v>
      </c>
      <c r="B845" s="2">
        <v>45102</v>
      </c>
      <c r="C845" t="s">
        <v>14</v>
      </c>
      <c r="D845" t="s">
        <v>15</v>
      </c>
      <c r="E845" t="s">
        <v>23</v>
      </c>
      <c r="F845">
        <v>9</v>
      </c>
      <c r="G845">
        <v>29658</v>
      </c>
      <c r="H845">
        <v>266922</v>
      </c>
      <c r="I845">
        <f t="shared" si="13"/>
        <v>266922</v>
      </c>
    </row>
    <row r="846" spans="1:9" x14ac:dyDescent="0.3">
      <c r="A846">
        <v>10845</v>
      </c>
      <c r="B846" s="2">
        <v>45174</v>
      </c>
      <c r="C846" t="s">
        <v>8</v>
      </c>
      <c r="D846" t="s">
        <v>18</v>
      </c>
      <c r="E846" t="s">
        <v>22</v>
      </c>
      <c r="F846">
        <v>8</v>
      </c>
      <c r="G846">
        <v>47393</v>
      </c>
      <c r="H846">
        <v>379144</v>
      </c>
      <c r="I846">
        <f t="shared" si="13"/>
        <v>379144</v>
      </c>
    </row>
    <row r="847" spans="1:9" x14ac:dyDescent="0.3">
      <c r="A847">
        <v>10846</v>
      </c>
      <c r="B847" s="2">
        <v>45229</v>
      </c>
      <c r="C847" t="s">
        <v>9</v>
      </c>
      <c r="D847" t="s">
        <v>15</v>
      </c>
      <c r="E847" t="s">
        <v>22</v>
      </c>
      <c r="F847">
        <v>4</v>
      </c>
      <c r="G847">
        <v>58462</v>
      </c>
      <c r="H847">
        <v>233848</v>
      </c>
      <c r="I847">
        <f t="shared" si="13"/>
        <v>233848</v>
      </c>
    </row>
    <row r="848" spans="1:9" x14ac:dyDescent="0.3">
      <c r="A848">
        <v>10847</v>
      </c>
      <c r="B848" s="2">
        <v>45031</v>
      </c>
      <c r="C848" t="s">
        <v>9</v>
      </c>
      <c r="D848" t="s">
        <v>15</v>
      </c>
      <c r="E848" t="s">
        <v>22</v>
      </c>
      <c r="F848">
        <v>1</v>
      </c>
      <c r="G848">
        <v>21770</v>
      </c>
      <c r="H848">
        <v>21770</v>
      </c>
      <c r="I848">
        <f t="shared" si="13"/>
        <v>21770</v>
      </c>
    </row>
    <row r="849" spans="1:9" x14ac:dyDescent="0.3">
      <c r="A849">
        <v>10848</v>
      </c>
      <c r="B849" s="2">
        <v>45083</v>
      </c>
      <c r="C849" t="s">
        <v>14</v>
      </c>
      <c r="D849" t="s">
        <v>15</v>
      </c>
      <c r="E849" t="s">
        <v>19</v>
      </c>
      <c r="F849">
        <v>2</v>
      </c>
      <c r="G849">
        <v>32667</v>
      </c>
      <c r="H849">
        <v>65334</v>
      </c>
      <c r="I849">
        <f t="shared" si="13"/>
        <v>65334</v>
      </c>
    </row>
    <row r="850" spans="1:9" x14ac:dyDescent="0.3">
      <c r="A850">
        <v>10849</v>
      </c>
      <c r="B850" s="2">
        <v>45277</v>
      </c>
      <c r="C850" t="s">
        <v>13</v>
      </c>
      <c r="D850" t="s">
        <v>16</v>
      </c>
      <c r="E850" t="s">
        <v>20</v>
      </c>
      <c r="F850">
        <v>16</v>
      </c>
      <c r="G850">
        <v>40761</v>
      </c>
      <c r="H850">
        <v>652176</v>
      </c>
      <c r="I850">
        <f t="shared" si="13"/>
        <v>652176</v>
      </c>
    </row>
    <row r="851" spans="1:9" x14ac:dyDescent="0.3">
      <c r="A851">
        <v>10850</v>
      </c>
      <c r="B851" s="2">
        <v>45103</v>
      </c>
      <c r="C851" t="s">
        <v>14</v>
      </c>
      <c r="D851" t="s">
        <v>18</v>
      </c>
      <c r="E851" t="s">
        <v>24</v>
      </c>
      <c r="F851">
        <v>13</v>
      </c>
      <c r="G851">
        <v>16149</v>
      </c>
      <c r="H851">
        <v>209937</v>
      </c>
      <c r="I851">
        <f t="shared" si="13"/>
        <v>209937</v>
      </c>
    </row>
    <row r="852" spans="1:9" x14ac:dyDescent="0.3">
      <c r="A852">
        <v>10851</v>
      </c>
      <c r="B852" s="2">
        <v>45057</v>
      </c>
      <c r="C852" t="s">
        <v>14</v>
      </c>
      <c r="D852" t="s">
        <v>16</v>
      </c>
      <c r="E852" t="s">
        <v>20</v>
      </c>
      <c r="F852">
        <v>5</v>
      </c>
      <c r="G852">
        <v>5024</v>
      </c>
      <c r="H852">
        <v>25120</v>
      </c>
      <c r="I852">
        <f t="shared" si="13"/>
        <v>25120</v>
      </c>
    </row>
    <row r="853" spans="1:9" x14ac:dyDescent="0.3">
      <c r="A853">
        <v>10852</v>
      </c>
      <c r="B853" s="2">
        <v>45179</v>
      </c>
      <c r="C853" t="s">
        <v>11</v>
      </c>
      <c r="D853" t="s">
        <v>18</v>
      </c>
      <c r="E853" t="s">
        <v>21</v>
      </c>
      <c r="F853">
        <v>1</v>
      </c>
      <c r="G853">
        <v>40778</v>
      </c>
      <c r="H853">
        <v>40778</v>
      </c>
      <c r="I853">
        <f t="shared" si="13"/>
        <v>40778</v>
      </c>
    </row>
    <row r="854" spans="1:9" x14ac:dyDescent="0.3">
      <c r="A854">
        <v>10853</v>
      </c>
      <c r="B854" s="2">
        <v>44975</v>
      </c>
      <c r="C854" t="s">
        <v>12</v>
      </c>
      <c r="D854" t="s">
        <v>15</v>
      </c>
      <c r="E854" t="s">
        <v>22</v>
      </c>
      <c r="F854">
        <v>3</v>
      </c>
      <c r="G854">
        <v>58810</v>
      </c>
      <c r="H854">
        <v>176430</v>
      </c>
      <c r="I854">
        <f t="shared" si="13"/>
        <v>176430</v>
      </c>
    </row>
    <row r="855" spans="1:9" x14ac:dyDescent="0.3">
      <c r="A855">
        <v>10854</v>
      </c>
      <c r="B855" s="2">
        <v>45252</v>
      </c>
      <c r="C855" t="s">
        <v>10</v>
      </c>
      <c r="D855" t="s">
        <v>17</v>
      </c>
      <c r="E855" t="s">
        <v>23</v>
      </c>
      <c r="F855">
        <v>16</v>
      </c>
      <c r="G855">
        <v>7278</v>
      </c>
      <c r="H855">
        <v>116448</v>
      </c>
      <c r="I855">
        <f t="shared" si="13"/>
        <v>116448</v>
      </c>
    </row>
    <row r="856" spans="1:9" x14ac:dyDescent="0.3">
      <c r="A856">
        <v>10855</v>
      </c>
      <c r="B856" s="2">
        <v>45243</v>
      </c>
      <c r="C856" t="s">
        <v>12</v>
      </c>
      <c r="D856" t="s">
        <v>15</v>
      </c>
      <c r="E856" t="s">
        <v>23</v>
      </c>
      <c r="F856">
        <v>11</v>
      </c>
      <c r="G856">
        <v>52103</v>
      </c>
      <c r="H856">
        <v>573133</v>
      </c>
      <c r="I856">
        <f t="shared" si="13"/>
        <v>573133</v>
      </c>
    </row>
    <row r="857" spans="1:9" x14ac:dyDescent="0.3">
      <c r="A857">
        <v>10856</v>
      </c>
      <c r="B857" s="2">
        <v>45017</v>
      </c>
      <c r="C857" t="s">
        <v>14</v>
      </c>
      <c r="D857" t="s">
        <v>16</v>
      </c>
      <c r="E857" t="s">
        <v>20</v>
      </c>
      <c r="F857">
        <v>1</v>
      </c>
      <c r="G857">
        <v>57988</v>
      </c>
      <c r="H857">
        <v>57988</v>
      </c>
      <c r="I857">
        <f t="shared" si="13"/>
        <v>57988</v>
      </c>
    </row>
    <row r="858" spans="1:9" x14ac:dyDescent="0.3">
      <c r="A858">
        <v>10857</v>
      </c>
      <c r="B858" s="2">
        <v>45013</v>
      </c>
      <c r="C858" t="s">
        <v>8</v>
      </c>
      <c r="D858" t="s">
        <v>18</v>
      </c>
      <c r="E858" t="s">
        <v>19</v>
      </c>
      <c r="F858">
        <v>2</v>
      </c>
      <c r="G858">
        <v>59838</v>
      </c>
      <c r="H858">
        <v>119676</v>
      </c>
      <c r="I858">
        <f t="shared" si="13"/>
        <v>119676</v>
      </c>
    </row>
    <row r="859" spans="1:9" x14ac:dyDescent="0.3">
      <c r="A859">
        <v>10858</v>
      </c>
      <c r="B859" s="2">
        <v>45158</v>
      </c>
      <c r="C859" t="s">
        <v>12</v>
      </c>
      <c r="D859" t="s">
        <v>17</v>
      </c>
      <c r="E859" t="s">
        <v>22</v>
      </c>
      <c r="F859">
        <v>3</v>
      </c>
      <c r="G859">
        <v>6782</v>
      </c>
      <c r="H859">
        <v>20346</v>
      </c>
      <c r="I859">
        <f t="shared" si="13"/>
        <v>20346</v>
      </c>
    </row>
    <row r="860" spans="1:9" x14ac:dyDescent="0.3">
      <c r="A860">
        <v>10859</v>
      </c>
      <c r="B860" s="2">
        <v>44969</v>
      </c>
      <c r="C860" t="s">
        <v>9</v>
      </c>
      <c r="D860" t="s">
        <v>16</v>
      </c>
      <c r="E860" t="s">
        <v>19</v>
      </c>
      <c r="F860">
        <v>4</v>
      </c>
      <c r="G860">
        <v>24236</v>
      </c>
      <c r="H860">
        <v>96944</v>
      </c>
      <c r="I860">
        <f t="shared" si="13"/>
        <v>96944</v>
      </c>
    </row>
    <row r="861" spans="1:9" x14ac:dyDescent="0.3">
      <c r="A861">
        <v>10860</v>
      </c>
      <c r="B861" s="2">
        <v>45084</v>
      </c>
      <c r="C861" t="s">
        <v>10</v>
      </c>
      <c r="D861" t="s">
        <v>17</v>
      </c>
      <c r="E861" t="s">
        <v>20</v>
      </c>
      <c r="F861">
        <v>10</v>
      </c>
      <c r="G861">
        <v>11152</v>
      </c>
      <c r="H861">
        <v>111520</v>
      </c>
      <c r="I861">
        <f t="shared" si="13"/>
        <v>111520</v>
      </c>
    </row>
    <row r="862" spans="1:9" x14ac:dyDescent="0.3">
      <c r="A862">
        <v>10861</v>
      </c>
      <c r="B862" s="2">
        <v>45187</v>
      </c>
      <c r="C862" t="s">
        <v>9</v>
      </c>
      <c r="D862" t="s">
        <v>17</v>
      </c>
      <c r="E862" t="s">
        <v>19</v>
      </c>
      <c r="F862">
        <v>12</v>
      </c>
      <c r="G862">
        <v>44897</v>
      </c>
      <c r="H862">
        <v>538764</v>
      </c>
      <c r="I862">
        <f t="shared" si="13"/>
        <v>538764</v>
      </c>
    </row>
    <row r="863" spans="1:9" x14ac:dyDescent="0.3">
      <c r="A863">
        <v>10862</v>
      </c>
      <c r="B863" s="2">
        <v>44978</v>
      </c>
      <c r="C863" t="s">
        <v>10</v>
      </c>
      <c r="D863" t="s">
        <v>16</v>
      </c>
      <c r="E863" t="s">
        <v>20</v>
      </c>
      <c r="F863">
        <v>8</v>
      </c>
      <c r="G863">
        <v>12855</v>
      </c>
      <c r="H863">
        <v>102840</v>
      </c>
      <c r="I863">
        <f t="shared" si="13"/>
        <v>102840</v>
      </c>
    </row>
    <row r="864" spans="1:9" x14ac:dyDescent="0.3">
      <c r="A864">
        <v>10863</v>
      </c>
      <c r="B864" s="2">
        <v>45069</v>
      </c>
      <c r="C864" t="s">
        <v>8</v>
      </c>
      <c r="D864" t="s">
        <v>15</v>
      </c>
      <c r="E864" t="s">
        <v>19</v>
      </c>
      <c r="F864">
        <v>18</v>
      </c>
      <c r="G864">
        <v>1685</v>
      </c>
      <c r="H864">
        <v>30330</v>
      </c>
      <c r="I864">
        <f t="shared" si="13"/>
        <v>30330</v>
      </c>
    </row>
    <row r="865" spans="1:9" x14ac:dyDescent="0.3">
      <c r="A865">
        <v>10864</v>
      </c>
      <c r="B865" s="2">
        <v>44945</v>
      </c>
      <c r="C865" t="s">
        <v>12</v>
      </c>
      <c r="D865" t="s">
        <v>17</v>
      </c>
      <c r="E865" t="s">
        <v>20</v>
      </c>
      <c r="F865">
        <v>11</v>
      </c>
      <c r="G865">
        <v>18064</v>
      </c>
      <c r="H865">
        <v>198704</v>
      </c>
      <c r="I865">
        <f t="shared" si="13"/>
        <v>198704</v>
      </c>
    </row>
    <row r="866" spans="1:9" x14ac:dyDescent="0.3">
      <c r="A866">
        <v>10865</v>
      </c>
      <c r="B866" s="2">
        <v>44976</v>
      </c>
      <c r="C866" t="s">
        <v>8</v>
      </c>
      <c r="D866" t="s">
        <v>18</v>
      </c>
      <c r="E866" t="s">
        <v>19</v>
      </c>
      <c r="F866">
        <v>19</v>
      </c>
      <c r="G866">
        <v>29130</v>
      </c>
      <c r="H866">
        <v>553470</v>
      </c>
      <c r="I866">
        <f t="shared" si="13"/>
        <v>553470</v>
      </c>
    </row>
    <row r="867" spans="1:9" x14ac:dyDescent="0.3">
      <c r="A867">
        <v>10866</v>
      </c>
      <c r="B867" s="2">
        <v>45192</v>
      </c>
      <c r="C867" t="s">
        <v>12</v>
      </c>
      <c r="D867" t="s">
        <v>15</v>
      </c>
      <c r="E867" t="s">
        <v>23</v>
      </c>
      <c r="F867">
        <v>8</v>
      </c>
      <c r="G867">
        <v>21539</v>
      </c>
      <c r="H867">
        <v>172312</v>
      </c>
      <c r="I867">
        <f t="shared" si="13"/>
        <v>172312</v>
      </c>
    </row>
    <row r="868" spans="1:9" x14ac:dyDescent="0.3">
      <c r="A868">
        <v>10867</v>
      </c>
      <c r="B868" s="2">
        <v>45121</v>
      </c>
      <c r="C868" t="s">
        <v>11</v>
      </c>
      <c r="D868" t="s">
        <v>16</v>
      </c>
      <c r="E868" t="s">
        <v>21</v>
      </c>
      <c r="F868">
        <v>6</v>
      </c>
      <c r="G868">
        <v>40326</v>
      </c>
      <c r="H868">
        <v>241956</v>
      </c>
      <c r="I868">
        <f t="shared" si="13"/>
        <v>241956</v>
      </c>
    </row>
    <row r="869" spans="1:9" x14ac:dyDescent="0.3">
      <c r="A869">
        <v>10868</v>
      </c>
      <c r="B869" s="2">
        <v>45286</v>
      </c>
      <c r="C869" t="s">
        <v>12</v>
      </c>
      <c r="D869" t="s">
        <v>15</v>
      </c>
      <c r="E869" t="s">
        <v>20</v>
      </c>
      <c r="F869">
        <v>4</v>
      </c>
      <c r="G869">
        <v>51700</v>
      </c>
      <c r="H869">
        <v>206800</v>
      </c>
      <c r="I869">
        <f t="shared" si="13"/>
        <v>206800</v>
      </c>
    </row>
    <row r="870" spans="1:9" x14ac:dyDescent="0.3">
      <c r="A870">
        <v>10869</v>
      </c>
      <c r="B870" s="2">
        <v>45021</v>
      </c>
      <c r="C870" t="s">
        <v>13</v>
      </c>
      <c r="D870" t="s">
        <v>15</v>
      </c>
      <c r="E870" t="s">
        <v>19</v>
      </c>
      <c r="F870">
        <v>11</v>
      </c>
      <c r="G870">
        <v>34501</v>
      </c>
      <c r="H870">
        <v>379511</v>
      </c>
      <c r="I870">
        <f t="shared" si="13"/>
        <v>379511</v>
      </c>
    </row>
    <row r="871" spans="1:9" x14ac:dyDescent="0.3">
      <c r="A871">
        <v>10870</v>
      </c>
      <c r="B871" s="2">
        <v>45054</v>
      </c>
      <c r="C871" t="s">
        <v>9</v>
      </c>
      <c r="D871" t="s">
        <v>17</v>
      </c>
      <c r="E871" t="s">
        <v>20</v>
      </c>
      <c r="F871">
        <v>4</v>
      </c>
      <c r="G871">
        <v>47341</v>
      </c>
      <c r="H871">
        <v>189364</v>
      </c>
      <c r="I871">
        <f t="shared" si="13"/>
        <v>189364</v>
      </c>
    </row>
    <row r="872" spans="1:9" x14ac:dyDescent="0.3">
      <c r="A872">
        <v>10871</v>
      </c>
      <c r="B872" s="2">
        <v>45182</v>
      </c>
      <c r="C872" t="s">
        <v>14</v>
      </c>
      <c r="D872" t="s">
        <v>17</v>
      </c>
      <c r="E872" t="s">
        <v>22</v>
      </c>
      <c r="F872">
        <v>9</v>
      </c>
      <c r="G872">
        <v>16299</v>
      </c>
      <c r="H872">
        <v>146691</v>
      </c>
      <c r="I872">
        <f t="shared" si="13"/>
        <v>146691</v>
      </c>
    </row>
    <row r="873" spans="1:9" x14ac:dyDescent="0.3">
      <c r="A873">
        <v>10872</v>
      </c>
      <c r="B873" s="2">
        <v>45242</v>
      </c>
      <c r="C873" t="s">
        <v>13</v>
      </c>
      <c r="D873" t="s">
        <v>15</v>
      </c>
      <c r="E873" t="s">
        <v>22</v>
      </c>
      <c r="F873">
        <v>17</v>
      </c>
      <c r="G873">
        <v>3095</v>
      </c>
      <c r="H873">
        <v>52615</v>
      </c>
      <c r="I873">
        <f t="shared" si="13"/>
        <v>52615</v>
      </c>
    </row>
    <row r="874" spans="1:9" x14ac:dyDescent="0.3">
      <c r="A874">
        <v>10873</v>
      </c>
      <c r="B874" s="2">
        <v>45045</v>
      </c>
      <c r="C874" t="s">
        <v>12</v>
      </c>
      <c r="D874" t="s">
        <v>15</v>
      </c>
      <c r="E874" t="s">
        <v>23</v>
      </c>
      <c r="F874">
        <v>10</v>
      </c>
      <c r="G874">
        <v>7918</v>
      </c>
      <c r="H874">
        <v>79180</v>
      </c>
      <c r="I874">
        <f t="shared" si="13"/>
        <v>79180</v>
      </c>
    </row>
    <row r="875" spans="1:9" x14ac:dyDescent="0.3">
      <c r="A875">
        <v>10874</v>
      </c>
      <c r="B875" s="2">
        <v>45258</v>
      </c>
      <c r="C875" t="s">
        <v>8</v>
      </c>
      <c r="D875" t="s">
        <v>18</v>
      </c>
      <c r="E875" t="s">
        <v>23</v>
      </c>
      <c r="F875">
        <v>3</v>
      </c>
      <c r="G875">
        <v>7116</v>
      </c>
      <c r="H875">
        <v>21348</v>
      </c>
      <c r="I875">
        <f t="shared" si="13"/>
        <v>21348</v>
      </c>
    </row>
    <row r="876" spans="1:9" x14ac:dyDescent="0.3">
      <c r="A876">
        <v>10875</v>
      </c>
      <c r="B876" s="2">
        <v>45176</v>
      </c>
      <c r="C876" t="s">
        <v>13</v>
      </c>
      <c r="D876" t="s">
        <v>15</v>
      </c>
      <c r="E876" t="s">
        <v>20</v>
      </c>
      <c r="F876">
        <v>20</v>
      </c>
      <c r="G876">
        <v>10688</v>
      </c>
      <c r="H876">
        <v>213760</v>
      </c>
      <c r="I876">
        <f t="shared" si="13"/>
        <v>213760</v>
      </c>
    </row>
    <row r="877" spans="1:9" x14ac:dyDescent="0.3">
      <c r="A877">
        <v>10876</v>
      </c>
      <c r="B877" s="2">
        <v>45040</v>
      </c>
      <c r="C877" t="s">
        <v>14</v>
      </c>
      <c r="D877" t="s">
        <v>15</v>
      </c>
      <c r="E877" t="s">
        <v>19</v>
      </c>
      <c r="F877">
        <v>3</v>
      </c>
      <c r="G877">
        <v>20552</v>
      </c>
      <c r="H877">
        <v>61656</v>
      </c>
      <c r="I877">
        <f t="shared" si="13"/>
        <v>61656</v>
      </c>
    </row>
    <row r="878" spans="1:9" x14ac:dyDescent="0.3">
      <c r="A878">
        <v>10877</v>
      </c>
      <c r="B878" s="2">
        <v>45073</v>
      </c>
      <c r="C878" t="s">
        <v>12</v>
      </c>
      <c r="D878" t="s">
        <v>18</v>
      </c>
      <c r="E878" t="s">
        <v>19</v>
      </c>
      <c r="F878">
        <v>3</v>
      </c>
      <c r="G878">
        <v>54610</v>
      </c>
      <c r="H878">
        <v>163830</v>
      </c>
      <c r="I878">
        <f t="shared" si="13"/>
        <v>163830</v>
      </c>
    </row>
    <row r="879" spans="1:9" x14ac:dyDescent="0.3">
      <c r="A879">
        <v>10878</v>
      </c>
      <c r="B879" s="2">
        <v>45225</v>
      </c>
      <c r="C879" t="s">
        <v>12</v>
      </c>
      <c r="D879" t="s">
        <v>15</v>
      </c>
      <c r="E879" t="s">
        <v>23</v>
      </c>
      <c r="F879">
        <v>9</v>
      </c>
      <c r="G879">
        <v>53656</v>
      </c>
      <c r="H879">
        <v>482904</v>
      </c>
      <c r="I879">
        <f t="shared" si="13"/>
        <v>482904</v>
      </c>
    </row>
    <row r="880" spans="1:9" x14ac:dyDescent="0.3">
      <c r="A880">
        <v>10879</v>
      </c>
      <c r="B880" s="2">
        <v>45078</v>
      </c>
      <c r="C880" t="s">
        <v>9</v>
      </c>
      <c r="D880" t="s">
        <v>17</v>
      </c>
      <c r="E880" t="s">
        <v>20</v>
      </c>
      <c r="F880">
        <v>10</v>
      </c>
      <c r="G880">
        <v>39086</v>
      </c>
      <c r="H880">
        <v>390860</v>
      </c>
      <c r="I880">
        <f t="shared" si="13"/>
        <v>390860</v>
      </c>
    </row>
    <row r="881" spans="1:9" x14ac:dyDescent="0.3">
      <c r="A881">
        <v>10880</v>
      </c>
      <c r="B881" s="2">
        <v>45066</v>
      </c>
      <c r="C881" t="s">
        <v>14</v>
      </c>
      <c r="D881" t="s">
        <v>18</v>
      </c>
      <c r="E881" t="s">
        <v>21</v>
      </c>
      <c r="F881">
        <v>7</v>
      </c>
      <c r="G881">
        <v>31231</v>
      </c>
      <c r="H881">
        <v>218617</v>
      </c>
      <c r="I881">
        <f t="shared" si="13"/>
        <v>218617</v>
      </c>
    </row>
    <row r="882" spans="1:9" x14ac:dyDescent="0.3">
      <c r="A882">
        <v>10881</v>
      </c>
      <c r="B882" s="2">
        <v>44933</v>
      </c>
      <c r="C882" t="s">
        <v>11</v>
      </c>
      <c r="D882" t="s">
        <v>16</v>
      </c>
      <c r="E882" t="s">
        <v>21</v>
      </c>
      <c r="F882">
        <v>18</v>
      </c>
      <c r="G882">
        <v>29706</v>
      </c>
      <c r="H882">
        <v>534708</v>
      </c>
      <c r="I882">
        <f t="shared" si="13"/>
        <v>534708</v>
      </c>
    </row>
    <row r="883" spans="1:9" x14ac:dyDescent="0.3">
      <c r="A883">
        <v>10882</v>
      </c>
      <c r="B883" s="2">
        <v>44985</v>
      </c>
      <c r="C883" t="s">
        <v>13</v>
      </c>
      <c r="D883" t="s">
        <v>17</v>
      </c>
      <c r="E883" t="s">
        <v>23</v>
      </c>
      <c r="F883">
        <v>7</v>
      </c>
      <c r="G883">
        <v>16719</v>
      </c>
      <c r="H883">
        <v>117033</v>
      </c>
      <c r="I883">
        <f t="shared" si="13"/>
        <v>117033</v>
      </c>
    </row>
    <row r="884" spans="1:9" x14ac:dyDescent="0.3">
      <c r="A884">
        <v>10883</v>
      </c>
      <c r="B884" s="2">
        <v>45240</v>
      </c>
      <c r="C884" t="s">
        <v>12</v>
      </c>
      <c r="D884" t="s">
        <v>15</v>
      </c>
      <c r="E884" t="s">
        <v>22</v>
      </c>
      <c r="F884">
        <v>19</v>
      </c>
      <c r="G884">
        <v>54097</v>
      </c>
      <c r="H884">
        <v>1027843</v>
      </c>
      <c r="I884">
        <f t="shared" si="13"/>
        <v>1027843</v>
      </c>
    </row>
    <row r="885" spans="1:9" x14ac:dyDescent="0.3">
      <c r="A885">
        <v>10884</v>
      </c>
      <c r="B885" s="2">
        <v>45272</v>
      </c>
      <c r="C885" t="s">
        <v>8</v>
      </c>
      <c r="D885" t="s">
        <v>16</v>
      </c>
      <c r="E885" t="s">
        <v>20</v>
      </c>
      <c r="F885">
        <v>10</v>
      </c>
      <c r="G885">
        <v>29131</v>
      </c>
      <c r="H885">
        <v>291310</v>
      </c>
      <c r="I885">
        <f t="shared" si="13"/>
        <v>291310</v>
      </c>
    </row>
    <row r="886" spans="1:9" x14ac:dyDescent="0.3">
      <c r="A886">
        <v>10885</v>
      </c>
      <c r="B886" s="2">
        <v>45282</v>
      </c>
      <c r="C886" t="s">
        <v>11</v>
      </c>
      <c r="D886" t="s">
        <v>16</v>
      </c>
      <c r="E886" t="s">
        <v>23</v>
      </c>
      <c r="F886">
        <v>13</v>
      </c>
      <c r="G886">
        <v>17480</v>
      </c>
      <c r="H886">
        <v>227240</v>
      </c>
      <c r="I886">
        <f t="shared" si="13"/>
        <v>227240</v>
      </c>
    </row>
    <row r="887" spans="1:9" x14ac:dyDescent="0.3">
      <c r="A887">
        <v>10886</v>
      </c>
      <c r="B887" s="2">
        <v>45158</v>
      </c>
      <c r="C887" t="s">
        <v>9</v>
      </c>
      <c r="D887" t="s">
        <v>16</v>
      </c>
      <c r="E887" t="s">
        <v>23</v>
      </c>
      <c r="F887">
        <v>17</v>
      </c>
      <c r="G887">
        <v>23659</v>
      </c>
      <c r="H887">
        <v>402203</v>
      </c>
      <c r="I887">
        <f t="shared" si="13"/>
        <v>402203</v>
      </c>
    </row>
    <row r="888" spans="1:9" x14ac:dyDescent="0.3">
      <c r="A888">
        <v>10887</v>
      </c>
      <c r="B888" s="2">
        <v>44941</v>
      </c>
      <c r="C888" t="s">
        <v>10</v>
      </c>
      <c r="D888" t="s">
        <v>15</v>
      </c>
      <c r="E888" t="s">
        <v>23</v>
      </c>
      <c r="F888">
        <v>16</v>
      </c>
      <c r="G888">
        <v>53694</v>
      </c>
      <c r="H888">
        <v>859104</v>
      </c>
      <c r="I888">
        <f t="shared" si="13"/>
        <v>859104</v>
      </c>
    </row>
    <row r="889" spans="1:9" x14ac:dyDescent="0.3">
      <c r="A889">
        <v>10888</v>
      </c>
      <c r="B889" s="2">
        <v>45011</v>
      </c>
      <c r="C889" t="s">
        <v>8</v>
      </c>
      <c r="D889" t="s">
        <v>15</v>
      </c>
      <c r="E889" t="s">
        <v>23</v>
      </c>
      <c r="F889">
        <v>10</v>
      </c>
      <c r="G889">
        <v>50902</v>
      </c>
      <c r="H889">
        <v>509020</v>
      </c>
      <c r="I889">
        <f t="shared" si="13"/>
        <v>509020</v>
      </c>
    </row>
    <row r="890" spans="1:9" x14ac:dyDescent="0.3">
      <c r="A890">
        <v>10889</v>
      </c>
      <c r="B890" s="2">
        <v>44936</v>
      </c>
      <c r="C890" t="s">
        <v>13</v>
      </c>
      <c r="D890" t="s">
        <v>17</v>
      </c>
      <c r="E890" t="s">
        <v>23</v>
      </c>
      <c r="F890">
        <v>20</v>
      </c>
      <c r="G890">
        <v>31893</v>
      </c>
      <c r="H890">
        <v>637860</v>
      </c>
      <c r="I890">
        <f t="shared" si="13"/>
        <v>637860</v>
      </c>
    </row>
    <row r="891" spans="1:9" x14ac:dyDescent="0.3">
      <c r="A891">
        <v>10890</v>
      </c>
      <c r="B891" s="2">
        <v>45032</v>
      </c>
      <c r="C891" t="s">
        <v>8</v>
      </c>
      <c r="D891" t="s">
        <v>17</v>
      </c>
      <c r="E891" t="s">
        <v>21</v>
      </c>
      <c r="F891">
        <v>20</v>
      </c>
      <c r="G891">
        <v>29228</v>
      </c>
      <c r="H891">
        <v>584560</v>
      </c>
      <c r="I891">
        <f t="shared" si="13"/>
        <v>584560</v>
      </c>
    </row>
    <row r="892" spans="1:9" x14ac:dyDescent="0.3">
      <c r="A892">
        <v>10891</v>
      </c>
      <c r="B892" s="2">
        <v>44995</v>
      </c>
      <c r="C892" t="s">
        <v>9</v>
      </c>
      <c r="D892" t="s">
        <v>17</v>
      </c>
      <c r="E892" t="s">
        <v>21</v>
      </c>
      <c r="F892">
        <v>3</v>
      </c>
      <c r="G892">
        <v>25690</v>
      </c>
      <c r="H892">
        <v>77070</v>
      </c>
      <c r="I892">
        <f t="shared" si="13"/>
        <v>77070</v>
      </c>
    </row>
    <row r="893" spans="1:9" x14ac:dyDescent="0.3">
      <c r="A893">
        <v>10892</v>
      </c>
      <c r="B893" s="2">
        <v>45048</v>
      </c>
      <c r="C893" t="s">
        <v>13</v>
      </c>
      <c r="D893" t="s">
        <v>18</v>
      </c>
      <c r="E893" t="s">
        <v>20</v>
      </c>
      <c r="F893">
        <v>17</v>
      </c>
      <c r="G893">
        <v>12944</v>
      </c>
      <c r="H893">
        <v>220048</v>
      </c>
      <c r="I893">
        <f t="shared" si="13"/>
        <v>220048</v>
      </c>
    </row>
    <row r="894" spans="1:9" x14ac:dyDescent="0.3">
      <c r="A894">
        <v>10893</v>
      </c>
      <c r="B894" s="2">
        <v>45049</v>
      </c>
      <c r="C894" t="s">
        <v>13</v>
      </c>
      <c r="D894" t="s">
        <v>17</v>
      </c>
      <c r="E894" t="s">
        <v>19</v>
      </c>
      <c r="F894">
        <v>5</v>
      </c>
      <c r="G894">
        <v>26971</v>
      </c>
      <c r="H894">
        <v>134855</v>
      </c>
      <c r="I894">
        <f t="shared" si="13"/>
        <v>134855</v>
      </c>
    </row>
    <row r="895" spans="1:9" x14ac:dyDescent="0.3">
      <c r="A895">
        <v>10894</v>
      </c>
      <c r="B895" s="2">
        <v>44962</v>
      </c>
      <c r="C895" t="s">
        <v>14</v>
      </c>
      <c r="D895" t="s">
        <v>16</v>
      </c>
      <c r="E895" t="s">
        <v>21</v>
      </c>
      <c r="F895">
        <v>9</v>
      </c>
      <c r="G895">
        <v>45199</v>
      </c>
      <c r="H895">
        <v>406791</v>
      </c>
      <c r="I895">
        <f t="shared" si="13"/>
        <v>406791</v>
      </c>
    </row>
    <row r="896" spans="1:9" x14ac:dyDescent="0.3">
      <c r="A896">
        <v>10895</v>
      </c>
      <c r="B896" s="2">
        <v>44933</v>
      </c>
      <c r="C896" t="s">
        <v>14</v>
      </c>
      <c r="D896" t="s">
        <v>17</v>
      </c>
      <c r="E896" t="s">
        <v>20</v>
      </c>
      <c r="F896">
        <v>9</v>
      </c>
      <c r="G896">
        <v>12787</v>
      </c>
      <c r="H896">
        <v>115083</v>
      </c>
      <c r="I896">
        <f t="shared" si="13"/>
        <v>115083</v>
      </c>
    </row>
    <row r="897" spans="1:9" x14ac:dyDescent="0.3">
      <c r="A897">
        <v>10896</v>
      </c>
      <c r="B897" s="2">
        <v>44946</v>
      </c>
      <c r="C897" t="s">
        <v>9</v>
      </c>
      <c r="D897" t="s">
        <v>15</v>
      </c>
      <c r="E897" t="s">
        <v>20</v>
      </c>
      <c r="F897">
        <v>4</v>
      </c>
      <c r="G897">
        <v>5655</v>
      </c>
      <c r="H897">
        <v>22620</v>
      </c>
      <c r="I897">
        <f t="shared" si="13"/>
        <v>22620</v>
      </c>
    </row>
    <row r="898" spans="1:9" x14ac:dyDescent="0.3">
      <c r="A898">
        <v>10897</v>
      </c>
      <c r="B898" s="2">
        <v>45164</v>
      </c>
      <c r="C898" t="s">
        <v>14</v>
      </c>
      <c r="D898" t="s">
        <v>17</v>
      </c>
      <c r="E898" t="s">
        <v>20</v>
      </c>
      <c r="F898">
        <v>3</v>
      </c>
      <c r="G898">
        <v>39244</v>
      </c>
      <c r="H898">
        <v>117732</v>
      </c>
      <c r="I898">
        <f t="shared" si="13"/>
        <v>117732</v>
      </c>
    </row>
    <row r="899" spans="1:9" x14ac:dyDescent="0.3">
      <c r="A899">
        <v>10898</v>
      </c>
      <c r="B899" s="2">
        <v>45169</v>
      </c>
      <c r="C899" t="s">
        <v>12</v>
      </c>
      <c r="D899" t="s">
        <v>15</v>
      </c>
      <c r="E899" t="s">
        <v>20</v>
      </c>
      <c r="F899">
        <v>11</v>
      </c>
      <c r="G899">
        <v>7017</v>
      </c>
      <c r="H899">
        <v>77187</v>
      </c>
      <c r="I899">
        <f t="shared" ref="I899:I962" si="14">G899*F899</f>
        <v>77187</v>
      </c>
    </row>
    <row r="900" spans="1:9" x14ac:dyDescent="0.3">
      <c r="A900">
        <v>10899</v>
      </c>
      <c r="B900" s="2">
        <v>45067</v>
      </c>
      <c r="C900" t="s">
        <v>13</v>
      </c>
      <c r="D900" t="s">
        <v>17</v>
      </c>
      <c r="E900" t="s">
        <v>19</v>
      </c>
      <c r="F900">
        <v>2</v>
      </c>
      <c r="G900">
        <v>11607</v>
      </c>
      <c r="H900">
        <v>23214</v>
      </c>
      <c r="I900">
        <f t="shared" si="14"/>
        <v>23214</v>
      </c>
    </row>
    <row r="901" spans="1:9" x14ac:dyDescent="0.3">
      <c r="A901">
        <v>10900</v>
      </c>
      <c r="B901" s="2">
        <v>45245</v>
      </c>
      <c r="C901" t="s">
        <v>13</v>
      </c>
      <c r="D901" t="s">
        <v>18</v>
      </c>
      <c r="E901" t="s">
        <v>19</v>
      </c>
      <c r="F901">
        <v>3</v>
      </c>
      <c r="G901">
        <v>48515</v>
      </c>
      <c r="H901">
        <v>145545</v>
      </c>
      <c r="I901">
        <f t="shared" si="14"/>
        <v>145545</v>
      </c>
    </row>
    <row r="902" spans="1:9" x14ac:dyDescent="0.3">
      <c r="A902">
        <v>10901</v>
      </c>
      <c r="B902" s="2">
        <v>44936</v>
      </c>
      <c r="C902" t="s">
        <v>8</v>
      </c>
      <c r="D902" t="s">
        <v>17</v>
      </c>
      <c r="E902" t="s">
        <v>22</v>
      </c>
      <c r="F902">
        <v>15</v>
      </c>
      <c r="G902">
        <v>33784</v>
      </c>
      <c r="H902">
        <v>506760</v>
      </c>
      <c r="I902">
        <f t="shared" si="14"/>
        <v>506760</v>
      </c>
    </row>
    <row r="903" spans="1:9" x14ac:dyDescent="0.3">
      <c r="A903">
        <v>10902</v>
      </c>
      <c r="B903" s="2">
        <v>45081</v>
      </c>
      <c r="C903" t="s">
        <v>13</v>
      </c>
      <c r="D903" t="s">
        <v>15</v>
      </c>
      <c r="E903" t="s">
        <v>22</v>
      </c>
      <c r="F903">
        <v>6</v>
      </c>
      <c r="G903">
        <v>55773</v>
      </c>
      <c r="H903">
        <v>334638</v>
      </c>
      <c r="I903">
        <f t="shared" si="14"/>
        <v>334638</v>
      </c>
    </row>
    <row r="904" spans="1:9" x14ac:dyDescent="0.3">
      <c r="A904">
        <v>10903</v>
      </c>
      <c r="B904" s="2">
        <v>45170</v>
      </c>
      <c r="C904" t="s">
        <v>9</v>
      </c>
      <c r="D904" t="s">
        <v>17</v>
      </c>
      <c r="E904" t="s">
        <v>20</v>
      </c>
      <c r="F904">
        <v>8</v>
      </c>
      <c r="G904">
        <v>20427</v>
      </c>
      <c r="H904">
        <v>163416</v>
      </c>
      <c r="I904">
        <f t="shared" si="14"/>
        <v>163416</v>
      </c>
    </row>
    <row r="905" spans="1:9" x14ac:dyDescent="0.3">
      <c r="A905">
        <v>10904</v>
      </c>
      <c r="B905" s="2">
        <v>45249</v>
      </c>
      <c r="C905" t="s">
        <v>10</v>
      </c>
      <c r="D905" t="s">
        <v>15</v>
      </c>
      <c r="E905" t="s">
        <v>21</v>
      </c>
      <c r="F905">
        <v>1</v>
      </c>
      <c r="G905">
        <v>53510</v>
      </c>
      <c r="H905">
        <v>53510</v>
      </c>
      <c r="I905">
        <f t="shared" si="14"/>
        <v>53510</v>
      </c>
    </row>
    <row r="906" spans="1:9" x14ac:dyDescent="0.3">
      <c r="A906">
        <v>10905</v>
      </c>
      <c r="B906" s="2">
        <v>45204</v>
      </c>
      <c r="C906" t="s">
        <v>12</v>
      </c>
      <c r="D906" t="s">
        <v>17</v>
      </c>
      <c r="E906" t="s">
        <v>24</v>
      </c>
      <c r="F906">
        <v>10</v>
      </c>
      <c r="G906">
        <v>26525</v>
      </c>
      <c r="H906">
        <v>265250</v>
      </c>
      <c r="I906">
        <f t="shared" si="14"/>
        <v>265250</v>
      </c>
    </row>
    <row r="907" spans="1:9" x14ac:dyDescent="0.3">
      <c r="A907">
        <v>10906</v>
      </c>
      <c r="B907" s="2">
        <v>45283</v>
      </c>
      <c r="C907" t="s">
        <v>13</v>
      </c>
      <c r="D907" t="s">
        <v>18</v>
      </c>
      <c r="E907" t="s">
        <v>21</v>
      </c>
      <c r="F907">
        <v>15</v>
      </c>
      <c r="G907">
        <v>52667</v>
      </c>
      <c r="H907">
        <v>790005</v>
      </c>
      <c r="I907">
        <f t="shared" si="14"/>
        <v>790005</v>
      </c>
    </row>
    <row r="908" spans="1:9" x14ac:dyDescent="0.3">
      <c r="A908">
        <v>10907</v>
      </c>
      <c r="B908" s="2">
        <v>45288</v>
      </c>
      <c r="C908" t="s">
        <v>9</v>
      </c>
      <c r="D908" t="s">
        <v>15</v>
      </c>
      <c r="E908" t="s">
        <v>23</v>
      </c>
      <c r="F908">
        <v>13</v>
      </c>
      <c r="G908">
        <v>57051</v>
      </c>
      <c r="H908">
        <v>741663</v>
      </c>
      <c r="I908">
        <f t="shared" si="14"/>
        <v>741663</v>
      </c>
    </row>
    <row r="909" spans="1:9" x14ac:dyDescent="0.3">
      <c r="A909">
        <v>10908</v>
      </c>
      <c r="B909" s="2">
        <v>45040</v>
      </c>
      <c r="C909" t="s">
        <v>11</v>
      </c>
      <c r="D909" t="s">
        <v>18</v>
      </c>
      <c r="E909" t="s">
        <v>22</v>
      </c>
      <c r="F909">
        <v>17</v>
      </c>
      <c r="G909">
        <v>58580</v>
      </c>
      <c r="H909">
        <v>995860</v>
      </c>
      <c r="I909">
        <f t="shared" si="14"/>
        <v>995860</v>
      </c>
    </row>
    <row r="910" spans="1:9" x14ac:dyDescent="0.3">
      <c r="A910">
        <v>10909</v>
      </c>
      <c r="B910" s="2">
        <v>45077</v>
      </c>
      <c r="C910" t="s">
        <v>10</v>
      </c>
      <c r="D910" t="s">
        <v>18</v>
      </c>
      <c r="E910" t="s">
        <v>22</v>
      </c>
      <c r="F910">
        <v>6</v>
      </c>
      <c r="G910">
        <v>1810</v>
      </c>
      <c r="H910">
        <v>10860</v>
      </c>
      <c r="I910">
        <f t="shared" si="14"/>
        <v>10860</v>
      </c>
    </row>
    <row r="911" spans="1:9" x14ac:dyDescent="0.3">
      <c r="A911">
        <v>10910</v>
      </c>
      <c r="B911" s="2">
        <v>45130</v>
      </c>
      <c r="C911" t="s">
        <v>14</v>
      </c>
      <c r="D911" t="s">
        <v>18</v>
      </c>
      <c r="E911" t="s">
        <v>19</v>
      </c>
      <c r="F911">
        <v>8</v>
      </c>
      <c r="G911">
        <v>2591</v>
      </c>
      <c r="H911">
        <v>20728</v>
      </c>
      <c r="I911">
        <f t="shared" si="14"/>
        <v>20728</v>
      </c>
    </row>
    <row r="912" spans="1:9" x14ac:dyDescent="0.3">
      <c r="A912">
        <v>10911</v>
      </c>
      <c r="B912" s="2">
        <v>44941</v>
      </c>
      <c r="C912" t="s">
        <v>10</v>
      </c>
      <c r="D912" t="s">
        <v>15</v>
      </c>
      <c r="E912" t="s">
        <v>19</v>
      </c>
      <c r="F912">
        <v>15</v>
      </c>
      <c r="G912">
        <v>627</v>
      </c>
      <c r="H912">
        <v>9405</v>
      </c>
      <c r="I912">
        <f t="shared" si="14"/>
        <v>9405</v>
      </c>
    </row>
    <row r="913" spans="1:9" x14ac:dyDescent="0.3">
      <c r="A913">
        <v>10912</v>
      </c>
      <c r="B913" s="2">
        <v>45066</v>
      </c>
      <c r="C913" t="s">
        <v>12</v>
      </c>
      <c r="D913" t="s">
        <v>18</v>
      </c>
      <c r="E913" t="s">
        <v>19</v>
      </c>
      <c r="F913">
        <v>4</v>
      </c>
      <c r="G913">
        <v>14143</v>
      </c>
      <c r="H913">
        <v>56572</v>
      </c>
      <c r="I913">
        <f t="shared" si="14"/>
        <v>56572</v>
      </c>
    </row>
    <row r="914" spans="1:9" x14ac:dyDescent="0.3">
      <c r="A914">
        <v>10913</v>
      </c>
      <c r="B914" s="2">
        <v>45282</v>
      </c>
      <c r="C914" t="s">
        <v>8</v>
      </c>
      <c r="D914" t="s">
        <v>16</v>
      </c>
      <c r="E914" t="s">
        <v>22</v>
      </c>
      <c r="F914">
        <v>11</v>
      </c>
      <c r="G914">
        <v>56397</v>
      </c>
      <c r="H914">
        <v>620367</v>
      </c>
      <c r="I914">
        <f t="shared" si="14"/>
        <v>620367</v>
      </c>
    </row>
    <row r="915" spans="1:9" x14ac:dyDescent="0.3">
      <c r="A915">
        <v>10914</v>
      </c>
      <c r="B915" s="2">
        <v>45149</v>
      </c>
      <c r="C915" t="s">
        <v>10</v>
      </c>
      <c r="D915" t="s">
        <v>16</v>
      </c>
      <c r="E915" t="s">
        <v>22</v>
      </c>
      <c r="F915">
        <v>1</v>
      </c>
      <c r="G915">
        <v>59716</v>
      </c>
      <c r="H915">
        <v>59716</v>
      </c>
      <c r="I915">
        <f t="shared" si="14"/>
        <v>59716</v>
      </c>
    </row>
    <row r="916" spans="1:9" x14ac:dyDescent="0.3">
      <c r="A916">
        <v>10915</v>
      </c>
      <c r="B916" s="2">
        <v>45259</v>
      </c>
      <c r="C916" t="s">
        <v>11</v>
      </c>
      <c r="D916" t="s">
        <v>18</v>
      </c>
      <c r="E916" t="s">
        <v>21</v>
      </c>
      <c r="F916">
        <v>10</v>
      </c>
      <c r="G916">
        <v>48538</v>
      </c>
      <c r="H916">
        <v>485380</v>
      </c>
      <c r="I916">
        <f t="shared" si="14"/>
        <v>485380</v>
      </c>
    </row>
    <row r="917" spans="1:9" x14ac:dyDescent="0.3">
      <c r="A917">
        <v>10916</v>
      </c>
      <c r="B917" s="2">
        <v>45213</v>
      </c>
      <c r="C917" t="s">
        <v>10</v>
      </c>
      <c r="D917" t="s">
        <v>18</v>
      </c>
      <c r="E917" t="s">
        <v>19</v>
      </c>
      <c r="F917">
        <v>11</v>
      </c>
      <c r="G917">
        <v>45873</v>
      </c>
      <c r="H917">
        <v>504603</v>
      </c>
      <c r="I917">
        <f t="shared" si="14"/>
        <v>504603</v>
      </c>
    </row>
    <row r="918" spans="1:9" x14ac:dyDescent="0.3">
      <c r="A918">
        <v>10917</v>
      </c>
      <c r="B918" s="2">
        <v>44993</v>
      </c>
      <c r="C918" t="s">
        <v>12</v>
      </c>
      <c r="D918" t="s">
        <v>15</v>
      </c>
      <c r="E918" t="s">
        <v>20</v>
      </c>
      <c r="F918">
        <v>16</v>
      </c>
      <c r="G918">
        <v>38948</v>
      </c>
      <c r="H918">
        <v>623168</v>
      </c>
      <c r="I918">
        <f t="shared" si="14"/>
        <v>623168</v>
      </c>
    </row>
    <row r="919" spans="1:9" x14ac:dyDescent="0.3">
      <c r="A919">
        <v>10918</v>
      </c>
      <c r="B919" s="2">
        <v>45179</v>
      </c>
      <c r="C919" t="s">
        <v>10</v>
      </c>
      <c r="D919" t="s">
        <v>17</v>
      </c>
      <c r="E919" t="s">
        <v>21</v>
      </c>
      <c r="F919">
        <v>20</v>
      </c>
      <c r="G919">
        <v>6181</v>
      </c>
      <c r="H919">
        <v>123620</v>
      </c>
      <c r="I919">
        <f t="shared" si="14"/>
        <v>123620</v>
      </c>
    </row>
    <row r="920" spans="1:9" x14ac:dyDescent="0.3">
      <c r="A920">
        <v>10919</v>
      </c>
      <c r="B920" s="2">
        <v>45248</v>
      </c>
      <c r="C920" t="s">
        <v>10</v>
      </c>
      <c r="D920" t="s">
        <v>18</v>
      </c>
      <c r="E920" t="s">
        <v>22</v>
      </c>
      <c r="F920">
        <v>11</v>
      </c>
      <c r="G920">
        <v>39223</v>
      </c>
      <c r="H920">
        <v>431453</v>
      </c>
      <c r="I920">
        <f t="shared" si="14"/>
        <v>431453</v>
      </c>
    </row>
    <row r="921" spans="1:9" x14ac:dyDescent="0.3">
      <c r="A921">
        <v>10920</v>
      </c>
      <c r="B921" s="2">
        <v>44941</v>
      </c>
      <c r="C921" t="s">
        <v>9</v>
      </c>
      <c r="D921" t="s">
        <v>17</v>
      </c>
      <c r="E921" t="s">
        <v>24</v>
      </c>
      <c r="F921">
        <v>1</v>
      </c>
      <c r="G921">
        <v>22381</v>
      </c>
      <c r="H921">
        <v>22381</v>
      </c>
      <c r="I921">
        <f t="shared" si="14"/>
        <v>22381</v>
      </c>
    </row>
    <row r="922" spans="1:9" x14ac:dyDescent="0.3">
      <c r="A922">
        <v>10921</v>
      </c>
      <c r="B922" s="2">
        <v>45112</v>
      </c>
      <c r="C922" t="s">
        <v>11</v>
      </c>
      <c r="D922" t="s">
        <v>18</v>
      </c>
      <c r="E922" t="s">
        <v>20</v>
      </c>
      <c r="F922">
        <v>16</v>
      </c>
      <c r="G922">
        <v>16615</v>
      </c>
      <c r="H922">
        <v>265840</v>
      </c>
      <c r="I922">
        <f t="shared" si="14"/>
        <v>265840</v>
      </c>
    </row>
    <row r="923" spans="1:9" x14ac:dyDescent="0.3">
      <c r="A923">
        <v>10922</v>
      </c>
      <c r="B923" s="2">
        <v>44967</v>
      </c>
      <c r="C923" t="s">
        <v>8</v>
      </c>
      <c r="D923" t="s">
        <v>16</v>
      </c>
      <c r="E923" t="s">
        <v>21</v>
      </c>
      <c r="F923">
        <v>3</v>
      </c>
      <c r="G923">
        <v>42107</v>
      </c>
      <c r="H923">
        <v>126321</v>
      </c>
      <c r="I923">
        <f t="shared" si="14"/>
        <v>126321</v>
      </c>
    </row>
    <row r="924" spans="1:9" x14ac:dyDescent="0.3">
      <c r="A924">
        <v>10923</v>
      </c>
      <c r="B924" s="2">
        <v>44985</v>
      </c>
      <c r="C924" t="s">
        <v>12</v>
      </c>
      <c r="D924" t="s">
        <v>18</v>
      </c>
      <c r="E924" t="s">
        <v>23</v>
      </c>
      <c r="F924">
        <v>17</v>
      </c>
      <c r="G924">
        <v>15538</v>
      </c>
      <c r="H924">
        <v>264146</v>
      </c>
      <c r="I924">
        <f t="shared" si="14"/>
        <v>264146</v>
      </c>
    </row>
    <row r="925" spans="1:9" x14ac:dyDescent="0.3">
      <c r="A925">
        <v>10924</v>
      </c>
      <c r="B925" s="2">
        <v>44951</v>
      </c>
      <c r="C925" t="s">
        <v>14</v>
      </c>
      <c r="D925" t="s">
        <v>16</v>
      </c>
      <c r="E925" t="s">
        <v>22</v>
      </c>
      <c r="F925">
        <v>15</v>
      </c>
      <c r="G925">
        <v>27336</v>
      </c>
      <c r="H925">
        <v>410040</v>
      </c>
      <c r="I925">
        <f t="shared" si="14"/>
        <v>410040</v>
      </c>
    </row>
    <row r="926" spans="1:9" x14ac:dyDescent="0.3">
      <c r="A926">
        <v>10925</v>
      </c>
      <c r="B926" s="2">
        <v>45082</v>
      </c>
      <c r="C926" t="s">
        <v>12</v>
      </c>
      <c r="D926" t="s">
        <v>17</v>
      </c>
      <c r="E926" t="s">
        <v>24</v>
      </c>
      <c r="F926">
        <v>5</v>
      </c>
      <c r="G926">
        <v>37520</v>
      </c>
      <c r="H926">
        <v>187600</v>
      </c>
      <c r="I926">
        <f t="shared" si="14"/>
        <v>187600</v>
      </c>
    </row>
    <row r="927" spans="1:9" x14ac:dyDescent="0.3">
      <c r="A927">
        <v>10926</v>
      </c>
      <c r="B927" s="2">
        <v>45091</v>
      </c>
      <c r="C927" t="s">
        <v>9</v>
      </c>
      <c r="D927" t="s">
        <v>16</v>
      </c>
      <c r="E927" t="s">
        <v>19</v>
      </c>
      <c r="F927">
        <v>4</v>
      </c>
      <c r="G927">
        <v>56587</v>
      </c>
      <c r="H927">
        <v>226348</v>
      </c>
      <c r="I927">
        <f t="shared" si="14"/>
        <v>226348</v>
      </c>
    </row>
    <row r="928" spans="1:9" x14ac:dyDescent="0.3">
      <c r="A928">
        <v>10927</v>
      </c>
      <c r="B928" s="2">
        <v>45244</v>
      </c>
      <c r="C928" t="s">
        <v>13</v>
      </c>
      <c r="D928" t="s">
        <v>15</v>
      </c>
      <c r="E928" t="s">
        <v>22</v>
      </c>
      <c r="F928">
        <v>9</v>
      </c>
      <c r="G928">
        <v>39781</v>
      </c>
      <c r="H928">
        <v>358029</v>
      </c>
      <c r="I928">
        <f t="shared" si="14"/>
        <v>358029</v>
      </c>
    </row>
    <row r="929" spans="1:9" x14ac:dyDescent="0.3">
      <c r="A929">
        <v>10928</v>
      </c>
      <c r="B929" s="2">
        <v>45199</v>
      </c>
      <c r="C929" t="s">
        <v>12</v>
      </c>
      <c r="D929" t="s">
        <v>16</v>
      </c>
      <c r="E929" t="s">
        <v>23</v>
      </c>
      <c r="F929">
        <v>16</v>
      </c>
      <c r="G929">
        <v>35048</v>
      </c>
      <c r="H929">
        <v>560768</v>
      </c>
      <c r="I929">
        <f t="shared" si="14"/>
        <v>560768</v>
      </c>
    </row>
    <row r="930" spans="1:9" x14ac:dyDescent="0.3">
      <c r="A930">
        <v>10929</v>
      </c>
      <c r="B930" s="2">
        <v>45083</v>
      </c>
      <c r="C930" t="s">
        <v>9</v>
      </c>
      <c r="D930" t="s">
        <v>17</v>
      </c>
      <c r="E930" t="s">
        <v>24</v>
      </c>
      <c r="F930">
        <v>1</v>
      </c>
      <c r="G930">
        <v>9437</v>
      </c>
      <c r="H930">
        <v>9437</v>
      </c>
      <c r="I930">
        <f t="shared" si="14"/>
        <v>9437</v>
      </c>
    </row>
    <row r="931" spans="1:9" x14ac:dyDescent="0.3">
      <c r="A931">
        <v>10930</v>
      </c>
      <c r="B931" s="2">
        <v>45009</v>
      </c>
      <c r="C931" t="s">
        <v>11</v>
      </c>
      <c r="D931" t="s">
        <v>18</v>
      </c>
      <c r="E931" t="s">
        <v>22</v>
      </c>
      <c r="F931">
        <v>17</v>
      </c>
      <c r="G931">
        <v>34403</v>
      </c>
      <c r="H931">
        <v>584851</v>
      </c>
      <c r="I931">
        <f t="shared" si="14"/>
        <v>584851</v>
      </c>
    </row>
    <row r="932" spans="1:9" x14ac:dyDescent="0.3">
      <c r="A932">
        <v>10931</v>
      </c>
      <c r="B932" s="2">
        <v>45097</v>
      </c>
      <c r="C932" t="s">
        <v>12</v>
      </c>
      <c r="D932" t="s">
        <v>17</v>
      </c>
      <c r="E932" t="s">
        <v>20</v>
      </c>
      <c r="F932">
        <v>9</v>
      </c>
      <c r="G932">
        <v>18580</v>
      </c>
      <c r="H932">
        <v>167220</v>
      </c>
      <c r="I932">
        <f t="shared" si="14"/>
        <v>167220</v>
      </c>
    </row>
    <row r="933" spans="1:9" x14ac:dyDescent="0.3">
      <c r="A933">
        <v>10932</v>
      </c>
      <c r="B933" s="2">
        <v>45189</v>
      </c>
      <c r="C933" t="s">
        <v>11</v>
      </c>
      <c r="D933" t="s">
        <v>16</v>
      </c>
      <c r="E933" t="s">
        <v>19</v>
      </c>
      <c r="F933">
        <v>11</v>
      </c>
      <c r="G933">
        <v>12226</v>
      </c>
      <c r="H933">
        <v>134486</v>
      </c>
      <c r="I933">
        <f t="shared" si="14"/>
        <v>134486</v>
      </c>
    </row>
    <row r="934" spans="1:9" x14ac:dyDescent="0.3">
      <c r="A934">
        <v>10933</v>
      </c>
      <c r="B934" s="2">
        <v>45276</v>
      </c>
      <c r="C934" t="s">
        <v>9</v>
      </c>
      <c r="D934" t="s">
        <v>16</v>
      </c>
      <c r="E934" t="s">
        <v>20</v>
      </c>
      <c r="F934">
        <v>10</v>
      </c>
      <c r="G934">
        <v>24101</v>
      </c>
      <c r="H934">
        <v>241010</v>
      </c>
      <c r="I934">
        <f t="shared" si="14"/>
        <v>241010</v>
      </c>
    </row>
    <row r="935" spans="1:9" x14ac:dyDescent="0.3">
      <c r="A935">
        <v>10934</v>
      </c>
      <c r="B935" s="2">
        <v>45021</v>
      </c>
      <c r="C935" t="s">
        <v>8</v>
      </c>
      <c r="D935" t="s">
        <v>15</v>
      </c>
      <c r="E935" t="s">
        <v>24</v>
      </c>
      <c r="F935">
        <v>7</v>
      </c>
      <c r="G935">
        <v>47081</v>
      </c>
      <c r="H935">
        <v>329567</v>
      </c>
      <c r="I935">
        <f t="shared" si="14"/>
        <v>329567</v>
      </c>
    </row>
    <row r="936" spans="1:9" x14ac:dyDescent="0.3">
      <c r="A936">
        <v>10935</v>
      </c>
      <c r="B936" s="2">
        <v>45196</v>
      </c>
      <c r="C936" t="s">
        <v>11</v>
      </c>
      <c r="D936" t="s">
        <v>17</v>
      </c>
      <c r="E936" t="s">
        <v>24</v>
      </c>
      <c r="F936">
        <v>10</v>
      </c>
      <c r="G936">
        <v>59083</v>
      </c>
      <c r="H936">
        <v>590830</v>
      </c>
      <c r="I936">
        <f t="shared" si="14"/>
        <v>590830</v>
      </c>
    </row>
    <row r="937" spans="1:9" x14ac:dyDescent="0.3">
      <c r="A937">
        <v>10936</v>
      </c>
      <c r="B937" s="2">
        <v>45004</v>
      </c>
      <c r="C937" t="s">
        <v>13</v>
      </c>
      <c r="D937" t="s">
        <v>17</v>
      </c>
      <c r="E937" t="s">
        <v>20</v>
      </c>
      <c r="F937">
        <v>3</v>
      </c>
      <c r="G937">
        <v>44434</v>
      </c>
      <c r="H937">
        <v>133302</v>
      </c>
      <c r="I937">
        <f t="shared" si="14"/>
        <v>133302</v>
      </c>
    </row>
    <row r="938" spans="1:9" x14ac:dyDescent="0.3">
      <c r="A938">
        <v>10937</v>
      </c>
      <c r="B938" s="2">
        <v>44992</v>
      </c>
      <c r="C938" t="s">
        <v>14</v>
      </c>
      <c r="D938" t="s">
        <v>17</v>
      </c>
      <c r="E938" t="s">
        <v>19</v>
      </c>
      <c r="F938">
        <v>15</v>
      </c>
      <c r="G938">
        <v>2242</v>
      </c>
      <c r="H938">
        <v>33630</v>
      </c>
      <c r="I938">
        <f t="shared" si="14"/>
        <v>33630</v>
      </c>
    </row>
    <row r="939" spans="1:9" x14ac:dyDescent="0.3">
      <c r="A939">
        <v>10938</v>
      </c>
      <c r="B939" s="2">
        <v>44953</v>
      </c>
      <c r="C939" t="s">
        <v>9</v>
      </c>
      <c r="D939" t="s">
        <v>15</v>
      </c>
      <c r="E939" t="s">
        <v>24</v>
      </c>
      <c r="F939">
        <v>11</v>
      </c>
      <c r="G939">
        <v>20979</v>
      </c>
      <c r="H939">
        <v>230769</v>
      </c>
      <c r="I939">
        <f t="shared" si="14"/>
        <v>230769</v>
      </c>
    </row>
    <row r="940" spans="1:9" x14ac:dyDescent="0.3">
      <c r="A940">
        <v>10939</v>
      </c>
      <c r="B940" s="2">
        <v>45027</v>
      </c>
      <c r="C940" t="s">
        <v>13</v>
      </c>
      <c r="D940" t="s">
        <v>16</v>
      </c>
      <c r="E940" t="s">
        <v>21</v>
      </c>
      <c r="F940">
        <v>6</v>
      </c>
      <c r="G940">
        <v>28431</v>
      </c>
      <c r="H940">
        <v>170586</v>
      </c>
      <c r="I940">
        <f t="shared" si="14"/>
        <v>170586</v>
      </c>
    </row>
    <row r="941" spans="1:9" x14ac:dyDescent="0.3">
      <c r="A941">
        <v>10940</v>
      </c>
      <c r="B941" s="2">
        <v>45213</v>
      </c>
      <c r="C941" t="s">
        <v>13</v>
      </c>
      <c r="D941" t="s">
        <v>17</v>
      </c>
      <c r="E941" t="s">
        <v>21</v>
      </c>
      <c r="F941">
        <v>4</v>
      </c>
      <c r="G941">
        <v>53132</v>
      </c>
      <c r="H941">
        <v>212528</v>
      </c>
      <c r="I941">
        <f t="shared" si="14"/>
        <v>212528</v>
      </c>
    </row>
    <row r="942" spans="1:9" x14ac:dyDescent="0.3">
      <c r="A942">
        <v>10941</v>
      </c>
      <c r="B942" s="2">
        <v>45102</v>
      </c>
      <c r="C942" t="s">
        <v>11</v>
      </c>
      <c r="D942" t="s">
        <v>18</v>
      </c>
      <c r="E942" t="s">
        <v>21</v>
      </c>
      <c r="F942">
        <v>2</v>
      </c>
      <c r="G942">
        <v>22558</v>
      </c>
      <c r="H942">
        <v>45116</v>
      </c>
      <c r="I942">
        <f t="shared" si="14"/>
        <v>45116</v>
      </c>
    </row>
    <row r="943" spans="1:9" x14ac:dyDescent="0.3">
      <c r="A943">
        <v>10942</v>
      </c>
      <c r="B943" s="2">
        <v>44934</v>
      </c>
      <c r="C943" t="s">
        <v>12</v>
      </c>
      <c r="D943" t="s">
        <v>18</v>
      </c>
      <c r="E943" t="s">
        <v>19</v>
      </c>
      <c r="F943">
        <v>6</v>
      </c>
      <c r="G943">
        <v>50550</v>
      </c>
      <c r="H943">
        <v>303300</v>
      </c>
      <c r="I943">
        <f t="shared" si="14"/>
        <v>303300</v>
      </c>
    </row>
    <row r="944" spans="1:9" x14ac:dyDescent="0.3">
      <c r="A944">
        <v>10943</v>
      </c>
      <c r="B944" s="2">
        <v>45059</v>
      </c>
      <c r="C944" t="s">
        <v>12</v>
      </c>
      <c r="D944" t="s">
        <v>18</v>
      </c>
      <c r="E944" t="s">
        <v>22</v>
      </c>
      <c r="F944">
        <v>4</v>
      </c>
      <c r="G944">
        <v>12521</v>
      </c>
      <c r="H944">
        <v>50084</v>
      </c>
      <c r="I944">
        <f t="shared" si="14"/>
        <v>50084</v>
      </c>
    </row>
    <row r="945" spans="1:9" x14ac:dyDescent="0.3">
      <c r="A945">
        <v>10944</v>
      </c>
      <c r="B945" s="2">
        <v>45088</v>
      </c>
      <c r="C945" t="s">
        <v>9</v>
      </c>
      <c r="D945" t="s">
        <v>17</v>
      </c>
      <c r="E945" t="s">
        <v>19</v>
      </c>
      <c r="F945">
        <v>9</v>
      </c>
      <c r="G945">
        <v>59103</v>
      </c>
      <c r="H945">
        <v>531927</v>
      </c>
      <c r="I945">
        <f t="shared" si="14"/>
        <v>531927</v>
      </c>
    </row>
    <row r="946" spans="1:9" x14ac:dyDescent="0.3">
      <c r="A946">
        <v>10945</v>
      </c>
      <c r="B946" s="2">
        <v>45203</v>
      </c>
      <c r="C946" t="s">
        <v>12</v>
      </c>
      <c r="D946" t="s">
        <v>15</v>
      </c>
      <c r="E946" t="s">
        <v>21</v>
      </c>
      <c r="F946">
        <v>11</v>
      </c>
      <c r="G946">
        <v>513</v>
      </c>
      <c r="H946">
        <v>5643</v>
      </c>
      <c r="I946">
        <f t="shared" si="14"/>
        <v>5643</v>
      </c>
    </row>
    <row r="947" spans="1:9" x14ac:dyDescent="0.3">
      <c r="A947">
        <v>10946</v>
      </c>
      <c r="B947" s="2">
        <v>45228</v>
      </c>
      <c r="C947" t="s">
        <v>9</v>
      </c>
      <c r="D947" t="s">
        <v>15</v>
      </c>
      <c r="E947" t="s">
        <v>20</v>
      </c>
      <c r="F947">
        <v>10</v>
      </c>
      <c r="G947">
        <v>29658</v>
      </c>
      <c r="H947">
        <v>296580</v>
      </c>
      <c r="I947">
        <f t="shared" si="14"/>
        <v>296580</v>
      </c>
    </row>
    <row r="948" spans="1:9" x14ac:dyDescent="0.3">
      <c r="A948">
        <v>10947</v>
      </c>
      <c r="B948" s="2">
        <v>45156</v>
      </c>
      <c r="C948" t="s">
        <v>9</v>
      </c>
      <c r="D948" t="s">
        <v>16</v>
      </c>
      <c r="E948" t="s">
        <v>19</v>
      </c>
      <c r="F948">
        <v>13</v>
      </c>
      <c r="G948">
        <v>27190</v>
      </c>
      <c r="H948">
        <v>353470</v>
      </c>
      <c r="I948">
        <f t="shared" si="14"/>
        <v>353470</v>
      </c>
    </row>
    <row r="949" spans="1:9" x14ac:dyDescent="0.3">
      <c r="A949">
        <v>10948</v>
      </c>
      <c r="B949" s="2">
        <v>44943</v>
      </c>
      <c r="C949" t="s">
        <v>14</v>
      </c>
      <c r="D949" t="s">
        <v>16</v>
      </c>
      <c r="E949" t="s">
        <v>22</v>
      </c>
      <c r="F949">
        <v>20</v>
      </c>
      <c r="G949">
        <v>27255</v>
      </c>
      <c r="H949">
        <v>545100</v>
      </c>
      <c r="I949">
        <f t="shared" si="14"/>
        <v>545100</v>
      </c>
    </row>
    <row r="950" spans="1:9" x14ac:dyDescent="0.3">
      <c r="A950">
        <v>10949</v>
      </c>
      <c r="B950" s="2">
        <v>45282</v>
      </c>
      <c r="C950" t="s">
        <v>10</v>
      </c>
      <c r="D950" t="s">
        <v>17</v>
      </c>
      <c r="E950" t="s">
        <v>24</v>
      </c>
      <c r="F950">
        <v>11</v>
      </c>
      <c r="G950">
        <v>54761</v>
      </c>
      <c r="H950">
        <v>602371</v>
      </c>
      <c r="I950">
        <f t="shared" si="14"/>
        <v>602371</v>
      </c>
    </row>
    <row r="951" spans="1:9" x14ac:dyDescent="0.3">
      <c r="A951">
        <v>10950</v>
      </c>
      <c r="B951" s="2">
        <v>44932</v>
      </c>
      <c r="C951" t="s">
        <v>12</v>
      </c>
      <c r="D951" t="s">
        <v>17</v>
      </c>
      <c r="E951" t="s">
        <v>19</v>
      </c>
      <c r="F951">
        <v>17</v>
      </c>
      <c r="G951">
        <v>40898</v>
      </c>
      <c r="H951">
        <v>695266</v>
      </c>
      <c r="I951">
        <f t="shared" si="14"/>
        <v>695266</v>
      </c>
    </row>
    <row r="952" spans="1:9" x14ac:dyDescent="0.3">
      <c r="A952">
        <v>10951</v>
      </c>
      <c r="B952" s="2">
        <v>45056</v>
      </c>
      <c r="C952" t="s">
        <v>9</v>
      </c>
      <c r="D952" t="s">
        <v>16</v>
      </c>
      <c r="E952" t="s">
        <v>23</v>
      </c>
      <c r="F952">
        <v>6</v>
      </c>
      <c r="G952">
        <v>14299</v>
      </c>
      <c r="H952">
        <v>85794</v>
      </c>
      <c r="I952">
        <f t="shared" si="14"/>
        <v>85794</v>
      </c>
    </row>
    <row r="953" spans="1:9" x14ac:dyDescent="0.3">
      <c r="A953">
        <v>10952</v>
      </c>
      <c r="B953" s="2">
        <v>45255</v>
      </c>
      <c r="C953" t="s">
        <v>10</v>
      </c>
      <c r="D953" t="s">
        <v>16</v>
      </c>
      <c r="E953" t="s">
        <v>23</v>
      </c>
      <c r="F953">
        <v>9</v>
      </c>
      <c r="G953">
        <v>46221</v>
      </c>
      <c r="H953">
        <v>415989</v>
      </c>
      <c r="I953">
        <f t="shared" si="14"/>
        <v>415989</v>
      </c>
    </row>
    <row r="954" spans="1:9" x14ac:dyDescent="0.3">
      <c r="A954">
        <v>10953</v>
      </c>
      <c r="B954" s="2">
        <v>45126</v>
      </c>
      <c r="C954" t="s">
        <v>8</v>
      </c>
      <c r="D954" t="s">
        <v>15</v>
      </c>
      <c r="E954" t="s">
        <v>21</v>
      </c>
      <c r="F954">
        <v>8</v>
      </c>
      <c r="G954">
        <v>47974</v>
      </c>
      <c r="H954">
        <v>383792</v>
      </c>
      <c r="I954">
        <f t="shared" si="14"/>
        <v>383792</v>
      </c>
    </row>
    <row r="955" spans="1:9" x14ac:dyDescent="0.3">
      <c r="A955">
        <v>10954</v>
      </c>
      <c r="B955" s="2">
        <v>45243</v>
      </c>
      <c r="C955" t="s">
        <v>13</v>
      </c>
      <c r="D955" t="s">
        <v>17</v>
      </c>
      <c r="E955" t="s">
        <v>21</v>
      </c>
      <c r="F955">
        <v>11</v>
      </c>
      <c r="G955">
        <v>39856</v>
      </c>
      <c r="H955">
        <v>438416</v>
      </c>
      <c r="I955">
        <f t="shared" si="14"/>
        <v>438416</v>
      </c>
    </row>
    <row r="956" spans="1:9" x14ac:dyDescent="0.3">
      <c r="A956">
        <v>10955</v>
      </c>
      <c r="B956" s="2">
        <v>45178</v>
      </c>
      <c r="C956" t="s">
        <v>9</v>
      </c>
      <c r="D956" t="s">
        <v>18</v>
      </c>
      <c r="E956" t="s">
        <v>22</v>
      </c>
      <c r="F956">
        <v>4</v>
      </c>
      <c r="G956">
        <v>24501</v>
      </c>
      <c r="H956">
        <v>98004</v>
      </c>
      <c r="I956">
        <f t="shared" si="14"/>
        <v>98004</v>
      </c>
    </row>
    <row r="957" spans="1:9" x14ac:dyDescent="0.3">
      <c r="A957">
        <v>10956</v>
      </c>
      <c r="B957" s="2">
        <v>45134</v>
      </c>
      <c r="C957" t="s">
        <v>14</v>
      </c>
      <c r="D957" t="s">
        <v>16</v>
      </c>
      <c r="E957" t="s">
        <v>20</v>
      </c>
      <c r="F957">
        <v>4</v>
      </c>
      <c r="G957">
        <v>47025</v>
      </c>
      <c r="H957">
        <v>188100</v>
      </c>
      <c r="I957">
        <f t="shared" si="14"/>
        <v>188100</v>
      </c>
    </row>
    <row r="958" spans="1:9" x14ac:dyDescent="0.3">
      <c r="A958">
        <v>10957</v>
      </c>
      <c r="B958" s="2">
        <v>45002</v>
      </c>
      <c r="C958" t="s">
        <v>8</v>
      </c>
      <c r="D958" t="s">
        <v>18</v>
      </c>
      <c r="E958" t="s">
        <v>22</v>
      </c>
      <c r="F958">
        <v>9</v>
      </c>
      <c r="G958">
        <v>10985</v>
      </c>
      <c r="H958">
        <v>98865</v>
      </c>
      <c r="I958">
        <f t="shared" si="14"/>
        <v>98865</v>
      </c>
    </row>
    <row r="959" spans="1:9" x14ac:dyDescent="0.3">
      <c r="A959">
        <v>10958</v>
      </c>
      <c r="B959" s="2">
        <v>44939</v>
      </c>
      <c r="C959" t="s">
        <v>9</v>
      </c>
      <c r="D959" t="s">
        <v>17</v>
      </c>
      <c r="E959" t="s">
        <v>21</v>
      </c>
      <c r="F959">
        <v>6</v>
      </c>
      <c r="G959">
        <v>50645</v>
      </c>
      <c r="H959">
        <v>303870</v>
      </c>
      <c r="I959">
        <f t="shared" si="14"/>
        <v>303870</v>
      </c>
    </row>
    <row r="960" spans="1:9" x14ac:dyDescent="0.3">
      <c r="A960">
        <v>10959</v>
      </c>
      <c r="B960" s="2">
        <v>45290</v>
      </c>
      <c r="C960" t="s">
        <v>12</v>
      </c>
      <c r="D960" t="s">
        <v>18</v>
      </c>
      <c r="E960" t="s">
        <v>22</v>
      </c>
      <c r="F960">
        <v>5</v>
      </c>
      <c r="G960">
        <v>8995</v>
      </c>
      <c r="H960">
        <v>44975</v>
      </c>
      <c r="I960">
        <f t="shared" si="14"/>
        <v>44975</v>
      </c>
    </row>
    <row r="961" spans="1:9" x14ac:dyDescent="0.3">
      <c r="A961">
        <v>10960</v>
      </c>
      <c r="B961" s="2">
        <v>45037</v>
      </c>
      <c r="C961" t="s">
        <v>11</v>
      </c>
      <c r="D961" t="s">
        <v>17</v>
      </c>
      <c r="E961" t="s">
        <v>19</v>
      </c>
      <c r="F961">
        <v>3</v>
      </c>
      <c r="G961">
        <v>44728</v>
      </c>
      <c r="H961">
        <v>134184</v>
      </c>
      <c r="I961">
        <f t="shared" si="14"/>
        <v>134184</v>
      </c>
    </row>
    <row r="962" spans="1:9" x14ac:dyDescent="0.3">
      <c r="A962">
        <v>10961</v>
      </c>
      <c r="B962" s="2">
        <v>45109</v>
      </c>
      <c r="C962" t="s">
        <v>11</v>
      </c>
      <c r="D962" t="s">
        <v>18</v>
      </c>
      <c r="E962" t="s">
        <v>22</v>
      </c>
      <c r="F962">
        <v>5</v>
      </c>
      <c r="G962">
        <v>52005</v>
      </c>
      <c r="H962">
        <v>260025</v>
      </c>
      <c r="I962">
        <f t="shared" si="14"/>
        <v>260025</v>
      </c>
    </row>
    <row r="963" spans="1:9" x14ac:dyDescent="0.3">
      <c r="A963">
        <v>10962</v>
      </c>
      <c r="B963" s="2">
        <v>45266</v>
      </c>
      <c r="C963" t="s">
        <v>14</v>
      </c>
      <c r="D963" t="s">
        <v>16</v>
      </c>
      <c r="E963" t="s">
        <v>24</v>
      </c>
      <c r="F963">
        <v>15</v>
      </c>
      <c r="G963">
        <v>13619</v>
      </c>
      <c r="H963">
        <v>204285</v>
      </c>
      <c r="I963">
        <f t="shared" ref="I963:I1026" si="15">G963*F963</f>
        <v>204285</v>
      </c>
    </row>
    <row r="964" spans="1:9" x14ac:dyDescent="0.3">
      <c r="A964">
        <v>10963</v>
      </c>
      <c r="B964" s="2">
        <v>44997</v>
      </c>
      <c r="C964" t="s">
        <v>10</v>
      </c>
      <c r="D964" t="s">
        <v>15</v>
      </c>
      <c r="E964" t="s">
        <v>19</v>
      </c>
      <c r="F964">
        <v>6</v>
      </c>
      <c r="G964">
        <v>5068</v>
      </c>
      <c r="H964">
        <v>30408</v>
      </c>
      <c r="I964">
        <f t="shared" si="15"/>
        <v>30408</v>
      </c>
    </row>
    <row r="965" spans="1:9" x14ac:dyDescent="0.3">
      <c r="A965">
        <v>10964</v>
      </c>
      <c r="B965" s="2">
        <v>45198</v>
      </c>
      <c r="C965" t="s">
        <v>8</v>
      </c>
      <c r="D965" t="s">
        <v>17</v>
      </c>
      <c r="E965" t="s">
        <v>19</v>
      </c>
      <c r="F965">
        <v>10</v>
      </c>
      <c r="G965">
        <v>17523</v>
      </c>
      <c r="H965">
        <v>175230</v>
      </c>
      <c r="I965">
        <f t="shared" si="15"/>
        <v>175230</v>
      </c>
    </row>
    <row r="966" spans="1:9" x14ac:dyDescent="0.3">
      <c r="A966">
        <v>10965</v>
      </c>
      <c r="B966" s="2">
        <v>45007</v>
      </c>
      <c r="C966" t="s">
        <v>8</v>
      </c>
      <c r="D966" t="s">
        <v>17</v>
      </c>
      <c r="E966" t="s">
        <v>21</v>
      </c>
      <c r="F966">
        <v>17</v>
      </c>
      <c r="G966">
        <v>29985</v>
      </c>
      <c r="H966">
        <v>509745</v>
      </c>
      <c r="I966">
        <f t="shared" si="15"/>
        <v>509745</v>
      </c>
    </row>
    <row r="967" spans="1:9" x14ac:dyDescent="0.3">
      <c r="A967">
        <v>10966</v>
      </c>
      <c r="B967" s="2">
        <v>44961</v>
      </c>
      <c r="C967" t="s">
        <v>8</v>
      </c>
      <c r="D967" t="s">
        <v>16</v>
      </c>
      <c r="E967" t="s">
        <v>23</v>
      </c>
      <c r="F967">
        <v>10</v>
      </c>
      <c r="G967">
        <v>30257</v>
      </c>
      <c r="H967">
        <v>302570</v>
      </c>
      <c r="I967">
        <f t="shared" si="15"/>
        <v>302570</v>
      </c>
    </row>
    <row r="968" spans="1:9" x14ac:dyDescent="0.3">
      <c r="A968">
        <v>10967</v>
      </c>
      <c r="B968" s="2">
        <v>45058</v>
      </c>
      <c r="C968" t="s">
        <v>11</v>
      </c>
      <c r="D968" t="s">
        <v>17</v>
      </c>
      <c r="E968" t="s">
        <v>21</v>
      </c>
      <c r="F968">
        <v>10</v>
      </c>
      <c r="G968">
        <v>52450</v>
      </c>
      <c r="H968">
        <v>524500</v>
      </c>
      <c r="I968">
        <f t="shared" si="15"/>
        <v>524500</v>
      </c>
    </row>
    <row r="969" spans="1:9" x14ac:dyDescent="0.3">
      <c r="A969">
        <v>10968</v>
      </c>
      <c r="B969" s="2">
        <v>45032</v>
      </c>
      <c r="C969" t="s">
        <v>10</v>
      </c>
      <c r="D969" t="s">
        <v>18</v>
      </c>
      <c r="E969" t="s">
        <v>23</v>
      </c>
      <c r="F969">
        <v>8</v>
      </c>
      <c r="G969">
        <v>46665</v>
      </c>
      <c r="H969">
        <v>373320</v>
      </c>
      <c r="I969">
        <f t="shared" si="15"/>
        <v>373320</v>
      </c>
    </row>
    <row r="970" spans="1:9" x14ac:dyDescent="0.3">
      <c r="A970">
        <v>10969</v>
      </c>
      <c r="B970" s="2">
        <v>45251</v>
      </c>
      <c r="C970" t="s">
        <v>8</v>
      </c>
      <c r="D970" t="s">
        <v>15</v>
      </c>
      <c r="E970" t="s">
        <v>20</v>
      </c>
      <c r="F970">
        <v>7</v>
      </c>
      <c r="G970">
        <v>56320</v>
      </c>
      <c r="H970">
        <v>394240</v>
      </c>
      <c r="I970">
        <f t="shared" si="15"/>
        <v>394240</v>
      </c>
    </row>
    <row r="971" spans="1:9" x14ac:dyDescent="0.3">
      <c r="A971">
        <v>10970</v>
      </c>
      <c r="B971" s="2">
        <v>44993</v>
      </c>
      <c r="C971" t="s">
        <v>12</v>
      </c>
      <c r="D971" t="s">
        <v>16</v>
      </c>
      <c r="E971" t="s">
        <v>21</v>
      </c>
      <c r="F971">
        <v>12</v>
      </c>
      <c r="G971">
        <v>19345</v>
      </c>
      <c r="H971">
        <v>232140</v>
      </c>
      <c r="I971">
        <f t="shared" si="15"/>
        <v>232140</v>
      </c>
    </row>
    <row r="972" spans="1:9" x14ac:dyDescent="0.3">
      <c r="A972">
        <v>10971</v>
      </c>
      <c r="B972" s="2">
        <v>45237</v>
      </c>
      <c r="C972" t="s">
        <v>10</v>
      </c>
      <c r="D972" t="s">
        <v>18</v>
      </c>
      <c r="E972" t="s">
        <v>21</v>
      </c>
      <c r="F972">
        <v>5</v>
      </c>
      <c r="G972">
        <v>58810</v>
      </c>
      <c r="H972">
        <v>294050</v>
      </c>
      <c r="I972">
        <f t="shared" si="15"/>
        <v>294050</v>
      </c>
    </row>
    <row r="973" spans="1:9" x14ac:dyDescent="0.3">
      <c r="A973">
        <v>10972</v>
      </c>
      <c r="B973" s="2">
        <v>45163</v>
      </c>
      <c r="C973" t="s">
        <v>13</v>
      </c>
      <c r="D973" t="s">
        <v>15</v>
      </c>
      <c r="E973" t="s">
        <v>23</v>
      </c>
      <c r="F973">
        <v>1</v>
      </c>
      <c r="G973">
        <v>47172</v>
      </c>
      <c r="H973">
        <v>47172</v>
      </c>
      <c r="I973">
        <f t="shared" si="15"/>
        <v>47172</v>
      </c>
    </row>
    <row r="974" spans="1:9" x14ac:dyDescent="0.3">
      <c r="A974">
        <v>10973</v>
      </c>
      <c r="B974" s="2">
        <v>45037</v>
      </c>
      <c r="C974" t="s">
        <v>9</v>
      </c>
      <c r="D974" t="s">
        <v>16</v>
      </c>
      <c r="E974" t="s">
        <v>23</v>
      </c>
      <c r="F974">
        <v>7</v>
      </c>
      <c r="G974">
        <v>2885</v>
      </c>
      <c r="H974">
        <v>20195</v>
      </c>
      <c r="I974">
        <f t="shared" si="15"/>
        <v>20195</v>
      </c>
    </row>
    <row r="975" spans="1:9" x14ac:dyDescent="0.3">
      <c r="A975">
        <v>10974</v>
      </c>
      <c r="B975" s="2">
        <v>45259</v>
      </c>
      <c r="C975" t="s">
        <v>11</v>
      </c>
      <c r="D975" t="s">
        <v>18</v>
      </c>
      <c r="E975" t="s">
        <v>24</v>
      </c>
      <c r="F975">
        <v>9</v>
      </c>
      <c r="G975">
        <v>10030</v>
      </c>
      <c r="H975">
        <v>90270</v>
      </c>
      <c r="I975">
        <f t="shared" si="15"/>
        <v>90270</v>
      </c>
    </row>
    <row r="976" spans="1:9" x14ac:dyDescent="0.3">
      <c r="A976">
        <v>10975</v>
      </c>
      <c r="B976" s="2">
        <v>45148</v>
      </c>
      <c r="C976" t="s">
        <v>14</v>
      </c>
      <c r="D976" t="s">
        <v>15</v>
      </c>
      <c r="E976" t="s">
        <v>20</v>
      </c>
      <c r="F976">
        <v>7</v>
      </c>
      <c r="G976">
        <v>23522</v>
      </c>
      <c r="H976">
        <v>164654</v>
      </c>
      <c r="I976">
        <f t="shared" si="15"/>
        <v>164654</v>
      </c>
    </row>
    <row r="977" spans="1:9" x14ac:dyDescent="0.3">
      <c r="A977">
        <v>10976</v>
      </c>
      <c r="B977" s="2">
        <v>45082</v>
      </c>
      <c r="C977" t="s">
        <v>11</v>
      </c>
      <c r="D977" t="s">
        <v>15</v>
      </c>
      <c r="E977" t="s">
        <v>22</v>
      </c>
      <c r="F977">
        <v>1</v>
      </c>
      <c r="G977">
        <v>8659</v>
      </c>
      <c r="H977">
        <v>8659</v>
      </c>
      <c r="I977">
        <f t="shared" si="15"/>
        <v>8659</v>
      </c>
    </row>
    <row r="978" spans="1:9" x14ac:dyDescent="0.3">
      <c r="A978">
        <v>10977</v>
      </c>
      <c r="B978" s="2">
        <v>44999</v>
      </c>
      <c r="C978" t="s">
        <v>10</v>
      </c>
      <c r="D978" t="s">
        <v>18</v>
      </c>
      <c r="E978" t="s">
        <v>24</v>
      </c>
      <c r="F978">
        <v>12</v>
      </c>
      <c r="G978">
        <v>23358</v>
      </c>
      <c r="H978">
        <v>280296</v>
      </c>
      <c r="I978">
        <f t="shared" si="15"/>
        <v>280296</v>
      </c>
    </row>
    <row r="979" spans="1:9" x14ac:dyDescent="0.3">
      <c r="A979">
        <v>10978</v>
      </c>
      <c r="B979" s="2">
        <v>44936</v>
      </c>
      <c r="C979" t="s">
        <v>9</v>
      </c>
      <c r="D979" t="s">
        <v>17</v>
      </c>
      <c r="E979" t="s">
        <v>20</v>
      </c>
      <c r="F979">
        <v>12</v>
      </c>
      <c r="G979">
        <v>3383</v>
      </c>
      <c r="H979">
        <v>40596</v>
      </c>
      <c r="I979">
        <f t="shared" si="15"/>
        <v>40596</v>
      </c>
    </row>
    <row r="980" spans="1:9" x14ac:dyDescent="0.3">
      <c r="A980">
        <v>10979</v>
      </c>
      <c r="B980" s="2">
        <v>45233</v>
      </c>
      <c r="C980" t="s">
        <v>10</v>
      </c>
      <c r="D980" t="s">
        <v>17</v>
      </c>
      <c r="E980" t="s">
        <v>23</v>
      </c>
      <c r="F980">
        <v>10</v>
      </c>
      <c r="G980">
        <v>42981</v>
      </c>
      <c r="H980">
        <v>429810</v>
      </c>
      <c r="I980">
        <f t="shared" si="15"/>
        <v>429810</v>
      </c>
    </row>
    <row r="981" spans="1:9" x14ac:dyDescent="0.3">
      <c r="A981">
        <v>10980</v>
      </c>
      <c r="B981" s="2">
        <v>44936</v>
      </c>
      <c r="C981" t="s">
        <v>11</v>
      </c>
      <c r="D981" t="s">
        <v>18</v>
      </c>
      <c r="E981" t="s">
        <v>21</v>
      </c>
      <c r="F981">
        <v>16</v>
      </c>
      <c r="G981">
        <v>36117</v>
      </c>
      <c r="H981">
        <v>577872</v>
      </c>
      <c r="I981">
        <f t="shared" si="15"/>
        <v>577872</v>
      </c>
    </row>
    <row r="982" spans="1:9" x14ac:dyDescent="0.3">
      <c r="A982">
        <v>10981</v>
      </c>
      <c r="B982" s="2">
        <v>45144</v>
      </c>
      <c r="C982" t="s">
        <v>9</v>
      </c>
      <c r="D982" t="s">
        <v>17</v>
      </c>
      <c r="E982" t="s">
        <v>21</v>
      </c>
      <c r="F982">
        <v>5</v>
      </c>
      <c r="G982">
        <v>10223</v>
      </c>
      <c r="H982">
        <v>51115</v>
      </c>
      <c r="I982">
        <f t="shared" si="15"/>
        <v>51115</v>
      </c>
    </row>
    <row r="983" spans="1:9" x14ac:dyDescent="0.3">
      <c r="A983">
        <v>10982</v>
      </c>
      <c r="B983" s="2">
        <v>45122</v>
      </c>
      <c r="C983" t="s">
        <v>12</v>
      </c>
      <c r="D983" t="s">
        <v>16</v>
      </c>
      <c r="E983" t="s">
        <v>24</v>
      </c>
      <c r="F983">
        <v>1</v>
      </c>
      <c r="G983">
        <v>52780</v>
      </c>
      <c r="H983">
        <v>52780</v>
      </c>
      <c r="I983">
        <f t="shared" si="15"/>
        <v>52780</v>
      </c>
    </row>
    <row r="984" spans="1:9" x14ac:dyDescent="0.3">
      <c r="A984">
        <v>10983</v>
      </c>
      <c r="B984" s="2">
        <v>45247</v>
      </c>
      <c r="C984" t="s">
        <v>12</v>
      </c>
      <c r="D984" t="s">
        <v>15</v>
      </c>
      <c r="E984" t="s">
        <v>23</v>
      </c>
      <c r="F984">
        <v>4</v>
      </c>
      <c r="G984">
        <v>39578</v>
      </c>
      <c r="H984">
        <v>158312</v>
      </c>
      <c r="I984">
        <f t="shared" si="15"/>
        <v>158312</v>
      </c>
    </row>
    <row r="985" spans="1:9" x14ac:dyDescent="0.3">
      <c r="A985">
        <v>10984</v>
      </c>
      <c r="B985" s="2">
        <v>45097</v>
      </c>
      <c r="C985" t="s">
        <v>12</v>
      </c>
      <c r="D985" t="s">
        <v>15</v>
      </c>
      <c r="E985" t="s">
        <v>21</v>
      </c>
      <c r="F985">
        <v>1</v>
      </c>
      <c r="G985">
        <v>44342</v>
      </c>
      <c r="H985">
        <v>44342</v>
      </c>
      <c r="I985">
        <f t="shared" si="15"/>
        <v>44342</v>
      </c>
    </row>
    <row r="986" spans="1:9" x14ac:dyDescent="0.3">
      <c r="A986">
        <v>10985</v>
      </c>
      <c r="B986" s="2">
        <v>45246</v>
      </c>
      <c r="C986" t="s">
        <v>8</v>
      </c>
      <c r="D986" t="s">
        <v>17</v>
      </c>
      <c r="E986" t="s">
        <v>20</v>
      </c>
      <c r="F986">
        <v>11</v>
      </c>
      <c r="G986">
        <v>3575</v>
      </c>
      <c r="H986">
        <v>39325</v>
      </c>
      <c r="I986">
        <f t="shared" si="15"/>
        <v>39325</v>
      </c>
    </row>
    <row r="987" spans="1:9" x14ac:dyDescent="0.3">
      <c r="A987">
        <v>10986</v>
      </c>
      <c r="B987" s="2">
        <v>45056</v>
      </c>
      <c r="C987" t="s">
        <v>9</v>
      </c>
      <c r="D987" t="s">
        <v>15</v>
      </c>
      <c r="E987" t="s">
        <v>23</v>
      </c>
      <c r="F987">
        <v>16</v>
      </c>
      <c r="G987">
        <v>5648</v>
      </c>
      <c r="H987">
        <v>90368</v>
      </c>
      <c r="I987">
        <f t="shared" si="15"/>
        <v>90368</v>
      </c>
    </row>
    <row r="988" spans="1:9" x14ac:dyDescent="0.3">
      <c r="A988">
        <v>10987</v>
      </c>
      <c r="B988" s="2">
        <v>45209</v>
      </c>
      <c r="C988" t="s">
        <v>9</v>
      </c>
      <c r="D988" t="s">
        <v>18</v>
      </c>
      <c r="E988" t="s">
        <v>24</v>
      </c>
      <c r="F988">
        <v>20</v>
      </c>
      <c r="G988">
        <v>11553</v>
      </c>
      <c r="H988">
        <v>231060</v>
      </c>
      <c r="I988">
        <f t="shared" si="15"/>
        <v>231060</v>
      </c>
    </row>
    <row r="989" spans="1:9" x14ac:dyDescent="0.3">
      <c r="A989">
        <v>10988</v>
      </c>
      <c r="B989" s="2">
        <v>44961</v>
      </c>
      <c r="C989" t="s">
        <v>10</v>
      </c>
      <c r="D989" t="s">
        <v>18</v>
      </c>
      <c r="E989" t="s">
        <v>22</v>
      </c>
      <c r="F989">
        <v>8</v>
      </c>
      <c r="G989">
        <v>41709</v>
      </c>
      <c r="H989">
        <v>333672</v>
      </c>
      <c r="I989">
        <f t="shared" si="15"/>
        <v>333672</v>
      </c>
    </row>
    <row r="990" spans="1:9" x14ac:dyDescent="0.3">
      <c r="A990">
        <v>10989</v>
      </c>
      <c r="B990" s="2">
        <v>45084</v>
      </c>
      <c r="C990" t="s">
        <v>13</v>
      </c>
      <c r="D990" t="s">
        <v>18</v>
      </c>
      <c r="E990" t="s">
        <v>23</v>
      </c>
      <c r="F990">
        <v>15</v>
      </c>
      <c r="G990">
        <v>4258</v>
      </c>
      <c r="H990">
        <v>63870</v>
      </c>
      <c r="I990">
        <f t="shared" si="15"/>
        <v>63870</v>
      </c>
    </row>
    <row r="991" spans="1:9" x14ac:dyDescent="0.3">
      <c r="A991">
        <v>10990</v>
      </c>
      <c r="B991" s="2">
        <v>45006</v>
      </c>
      <c r="C991" t="s">
        <v>12</v>
      </c>
      <c r="D991" t="s">
        <v>18</v>
      </c>
      <c r="E991" t="s">
        <v>20</v>
      </c>
      <c r="F991">
        <v>19</v>
      </c>
      <c r="G991">
        <v>56618</v>
      </c>
      <c r="H991">
        <v>1075742</v>
      </c>
      <c r="I991">
        <f t="shared" si="15"/>
        <v>1075742</v>
      </c>
    </row>
    <row r="992" spans="1:9" x14ac:dyDescent="0.3">
      <c r="A992">
        <v>10991</v>
      </c>
      <c r="B992" s="2">
        <v>45199</v>
      </c>
      <c r="C992" t="s">
        <v>10</v>
      </c>
      <c r="D992" t="s">
        <v>15</v>
      </c>
      <c r="E992" t="s">
        <v>20</v>
      </c>
      <c r="F992">
        <v>11</v>
      </c>
      <c r="G992">
        <v>59725</v>
      </c>
      <c r="H992">
        <v>656975</v>
      </c>
      <c r="I992">
        <f t="shared" si="15"/>
        <v>656975</v>
      </c>
    </row>
    <row r="993" spans="1:9" x14ac:dyDescent="0.3">
      <c r="A993">
        <v>10992</v>
      </c>
      <c r="B993" s="2">
        <v>45012</v>
      </c>
      <c r="C993" t="s">
        <v>9</v>
      </c>
      <c r="D993" t="s">
        <v>16</v>
      </c>
      <c r="E993" t="s">
        <v>24</v>
      </c>
      <c r="F993">
        <v>9</v>
      </c>
      <c r="G993">
        <v>10105</v>
      </c>
      <c r="H993">
        <v>90945</v>
      </c>
      <c r="I993">
        <f t="shared" si="15"/>
        <v>90945</v>
      </c>
    </row>
    <row r="994" spans="1:9" x14ac:dyDescent="0.3">
      <c r="A994">
        <v>10993</v>
      </c>
      <c r="B994" s="2">
        <v>44933</v>
      </c>
      <c r="C994" t="s">
        <v>13</v>
      </c>
      <c r="D994" t="s">
        <v>16</v>
      </c>
      <c r="E994" t="s">
        <v>19</v>
      </c>
      <c r="F994">
        <v>7</v>
      </c>
      <c r="G994">
        <v>45111</v>
      </c>
      <c r="H994">
        <v>315777</v>
      </c>
      <c r="I994">
        <f t="shared" si="15"/>
        <v>315777</v>
      </c>
    </row>
    <row r="995" spans="1:9" x14ac:dyDescent="0.3">
      <c r="A995">
        <v>10994</v>
      </c>
      <c r="B995" s="2">
        <v>44943</v>
      </c>
      <c r="C995" t="s">
        <v>9</v>
      </c>
      <c r="D995" t="s">
        <v>18</v>
      </c>
      <c r="E995" t="s">
        <v>22</v>
      </c>
      <c r="F995">
        <v>5</v>
      </c>
      <c r="G995">
        <v>4683</v>
      </c>
      <c r="H995">
        <v>23415</v>
      </c>
      <c r="I995">
        <f t="shared" si="15"/>
        <v>23415</v>
      </c>
    </row>
    <row r="996" spans="1:9" x14ac:dyDescent="0.3">
      <c r="A996">
        <v>10995</v>
      </c>
      <c r="B996" s="2">
        <v>45256</v>
      </c>
      <c r="C996" t="s">
        <v>8</v>
      </c>
      <c r="D996" t="s">
        <v>18</v>
      </c>
      <c r="E996" t="s">
        <v>21</v>
      </c>
      <c r="F996">
        <v>15</v>
      </c>
      <c r="G996">
        <v>57273</v>
      </c>
      <c r="H996">
        <v>859095</v>
      </c>
      <c r="I996">
        <f t="shared" si="15"/>
        <v>859095</v>
      </c>
    </row>
    <row r="997" spans="1:9" x14ac:dyDescent="0.3">
      <c r="A997">
        <v>10996</v>
      </c>
      <c r="B997" s="2">
        <v>45040</v>
      </c>
      <c r="C997" t="s">
        <v>8</v>
      </c>
      <c r="D997" t="s">
        <v>16</v>
      </c>
      <c r="E997" t="s">
        <v>22</v>
      </c>
      <c r="F997">
        <v>5</v>
      </c>
      <c r="G997">
        <v>6306</v>
      </c>
      <c r="H997">
        <v>31530</v>
      </c>
      <c r="I997">
        <f t="shared" si="15"/>
        <v>31530</v>
      </c>
    </row>
    <row r="998" spans="1:9" x14ac:dyDescent="0.3">
      <c r="A998">
        <v>10997</v>
      </c>
      <c r="B998" s="2">
        <v>45235</v>
      </c>
      <c r="C998" t="s">
        <v>8</v>
      </c>
      <c r="D998" t="s">
        <v>15</v>
      </c>
      <c r="E998" t="s">
        <v>21</v>
      </c>
      <c r="F998">
        <v>7</v>
      </c>
      <c r="G998">
        <v>32783</v>
      </c>
      <c r="H998">
        <v>229481</v>
      </c>
      <c r="I998">
        <f t="shared" si="15"/>
        <v>229481</v>
      </c>
    </row>
    <row r="999" spans="1:9" x14ac:dyDescent="0.3">
      <c r="A999">
        <v>10998</v>
      </c>
      <c r="B999" s="2">
        <v>45002</v>
      </c>
      <c r="C999" t="s">
        <v>13</v>
      </c>
      <c r="D999" t="s">
        <v>18</v>
      </c>
      <c r="E999" t="s">
        <v>23</v>
      </c>
      <c r="F999">
        <v>19</v>
      </c>
      <c r="G999">
        <v>23628</v>
      </c>
      <c r="H999">
        <v>448932</v>
      </c>
      <c r="I999">
        <f t="shared" si="15"/>
        <v>448932</v>
      </c>
    </row>
    <row r="1000" spans="1:9" x14ac:dyDescent="0.3">
      <c r="A1000">
        <v>10999</v>
      </c>
      <c r="B1000" s="2">
        <v>44949</v>
      </c>
      <c r="C1000" t="s">
        <v>9</v>
      </c>
      <c r="D1000" t="s">
        <v>17</v>
      </c>
      <c r="E1000" t="s">
        <v>19</v>
      </c>
      <c r="F1000">
        <v>8</v>
      </c>
      <c r="G1000">
        <v>48297</v>
      </c>
      <c r="H1000">
        <v>386376</v>
      </c>
      <c r="I1000">
        <f t="shared" si="15"/>
        <v>386376</v>
      </c>
    </row>
    <row r="1001" spans="1:9" x14ac:dyDescent="0.3">
      <c r="A1001">
        <v>11000</v>
      </c>
      <c r="B1001" s="2">
        <v>45075</v>
      </c>
      <c r="C1001" t="s">
        <v>9</v>
      </c>
      <c r="D1001" t="s">
        <v>18</v>
      </c>
      <c r="E1001" t="s">
        <v>19</v>
      </c>
      <c r="F1001">
        <v>4</v>
      </c>
      <c r="G1001">
        <v>54767</v>
      </c>
      <c r="H1001">
        <v>219068</v>
      </c>
      <c r="I1001">
        <f t="shared" si="15"/>
        <v>219068</v>
      </c>
    </row>
    <row r="1002" spans="1:9" x14ac:dyDescent="0.3">
      <c r="A1002">
        <v>11001</v>
      </c>
      <c r="B1002" s="2">
        <v>44949</v>
      </c>
      <c r="C1002" t="s">
        <v>12</v>
      </c>
      <c r="D1002" t="s">
        <v>17</v>
      </c>
      <c r="E1002" t="s">
        <v>21</v>
      </c>
      <c r="F1002">
        <v>4</v>
      </c>
      <c r="G1002">
        <v>44048</v>
      </c>
      <c r="H1002">
        <v>176192</v>
      </c>
      <c r="I1002">
        <f t="shared" si="15"/>
        <v>176192</v>
      </c>
    </row>
    <row r="1003" spans="1:9" x14ac:dyDescent="0.3">
      <c r="A1003">
        <v>11002</v>
      </c>
      <c r="B1003" s="2">
        <v>45030</v>
      </c>
      <c r="C1003" t="s">
        <v>11</v>
      </c>
      <c r="D1003" t="s">
        <v>17</v>
      </c>
      <c r="E1003" t="s">
        <v>24</v>
      </c>
      <c r="F1003">
        <v>12</v>
      </c>
      <c r="G1003">
        <v>53873</v>
      </c>
      <c r="H1003">
        <v>646476</v>
      </c>
      <c r="I1003">
        <f t="shared" si="15"/>
        <v>646476</v>
      </c>
    </row>
    <row r="1004" spans="1:9" x14ac:dyDescent="0.3">
      <c r="A1004">
        <v>11003</v>
      </c>
      <c r="B1004" s="2">
        <v>45129</v>
      </c>
      <c r="C1004" t="s">
        <v>8</v>
      </c>
      <c r="D1004" t="s">
        <v>17</v>
      </c>
      <c r="E1004" t="s">
        <v>19</v>
      </c>
      <c r="F1004">
        <v>11</v>
      </c>
      <c r="G1004">
        <v>14299</v>
      </c>
      <c r="H1004">
        <v>157289</v>
      </c>
      <c r="I1004">
        <f t="shared" si="15"/>
        <v>157289</v>
      </c>
    </row>
    <row r="1005" spans="1:9" x14ac:dyDescent="0.3">
      <c r="A1005">
        <v>11004</v>
      </c>
      <c r="B1005" s="2">
        <v>45242</v>
      </c>
      <c r="C1005" t="s">
        <v>10</v>
      </c>
      <c r="D1005" t="s">
        <v>17</v>
      </c>
      <c r="E1005" t="s">
        <v>23</v>
      </c>
      <c r="F1005">
        <v>15</v>
      </c>
      <c r="G1005">
        <v>11565</v>
      </c>
      <c r="H1005">
        <v>173475</v>
      </c>
      <c r="I1005">
        <f t="shared" si="15"/>
        <v>173475</v>
      </c>
    </row>
    <row r="1006" spans="1:9" x14ac:dyDescent="0.3">
      <c r="A1006">
        <v>11005</v>
      </c>
      <c r="B1006" s="2">
        <v>44982</v>
      </c>
      <c r="C1006" t="s">
        <v>8</v>
      </c>
      <c r="D1006" t="s">
        <v>18</v>
      </c>
      <c r="E1006" t="s">
        <v>20</v>
      </c>
      <c r="F1006">
        <v>20</v>
      </c>
      <c r="G1006">
        <v>45463</v>
      </c>
      <c r="H1006">
        <v>909260</v>
      </c>
      <c r="I1006">
        <f t="shared" si="15"/>
        <v>909260</v>
      </c>
    </row>
    <row r="1007" spans="1:9" x14ac:dyDescent="0.3">
      <c r="A1007">
        <v>11006</v>
      </c>
      <c r="B1007" s="2">
        <v>45111</v>
      </c>
      <c r="C1007" t="s">
        <v>9</v>
      </c>
      <c r="D1007" t="s">
        <v>17</v>
      </c>
      <c r="E1007" t="s">
        <v>24</v>
      </c>
      <c r="F1007">
        <v>14</v>
      </c>
      <c r="G1007">
        <v>40437</v>
      </c>
      <c r="H1007">
        <v>566118</v>
      </c>
      <c r="I1007">
        <f t="shared" si="15"/>
        <v>566118</v>
      </c>
    </row>
    <row r="1008" spans="1:9" x14ac:dyDescent="0.3">
      <c r="A1008">
        <v>11007</v>
      </c>
      <c r="B1008" s="2">
        <v>45228</v>
      </c>
      <c r="C1008" t="s">
        <v>10</v>
      </c>
      <c r="D1008" t="s">
        <v>15</v>
      </c>
      <c r="E1008" t="s">
        <v>21</v>
      </c>
      <c r="F1008">
        <v>16</v>
      </c>
      <c r="G1008">
        <v>27624</v>
      </c>
      <c r="H1008">
        <v>441984</v>
      </c>
      <c r="I1008">
        <f t="shared" si="15"/>
        <v>441984</v>
      </c>
    </row>
    <row r="1009" spans="1:9" x14ac:dyDescent="0.3">
      <c r="A1009">
        <v>11008</v>
      </c>
      <c r="B1009" s="2">
        <v>45082</v>
      </c>
      <c r="C1009" t="s">
        <v>8</v>
      </c>
      <c r="D1009" t="s">
        <v>15</v>
      </c>
      <c r="E1009" t="s">
        <v>20</v>
      </c>
      <c r="F1009">
        <v>13</v>
      </c>
      <c r="G1009">
        <v>50797</v>
      </c>
      <c r="H1009">
        <v>660361</v>
      </c>
      <c r="I1009">
        <f t="shared" si="15"/>
        <v>660361</v>
      </c>
    </row>
    <row r="1010" spans="1:9" x14ac:dyDescent="0.3">
      <c r="A1010">
        <v>11009</v>
      </c>
      <c r="B1010" s="2">
        <v>45186</v>
      </c>
      <c r="C1010" t="s">
        <v>13</v>
      </c>
      <c r="D1010" t="s">
        <v>18</v>
      </c>
      <c r="E1010" t="s">
        <v>19</v>
      </c>
      <c r="F1010">
        <v>10</v>
      </c>
      <c r="G1010">
        <v>42628</v>
      </c>
      <c r="H1010">
        <v>426280</v>
      </c>
      <c r="I1010">
        <f t="shared" si="15"/>
        <v>426280</v>
      </c>
    </row>
    <row r="1011" spans="1:9" x14ac:dyDescent="0.3">
      <c r="A1011">
        <v>11010</v>
      </c>
      <c r="B1011" s="2">
        <v>45170</v>
      </c>
      <c r="C1011" t="s">
        <v>14</v>
      </c>
      <c r="D1011" t="s">
        <v>16</v>
      </c>
      <c r="E1011" t="s">
        <v>21</v>
      </c>
      <c r="F1011">
        <v>9</v>
      </c>
      <c r="G1011">
        <v>55704</v>
      </c>
      <c r="H1011">
        <v>501336</v>
      </c>
      <c r="I1011">
        <f t="shared" si="15"/>
        <v>501336</v>
      </c>
    </row>
    <row r="1012" spans="1:9" x14ac:dyDescent="0.3">
      <c r="A1012">
        <v>11011</v>
      </c>
      <c r="B1012" s="2">
        <v>45202</v>
      </c>
      <c r="C1012" t="s">
        <v>13</v>
      </c>
      <c r="D1012" t="s">
        <v>15</v>
      </c>
      <c r="E1012" t="s">
        <v>20</v>
      </c>
      <c r="F1012">
        <v>14</v>
      </c>
      <c r="G1012">
        <v>54514</v>
      </c>
      <c r="H1012">
        <v>763196</v>
      </c>
      <c r="I1012">
        <f t="shared" si="15"/>
        <v>763196</v>
      </c>
    </row>
    <row r="1013" spans="1:9" x14ac:dyDescent="0.3">
      <c r="A1013">
        <v>11012</v>
      </c>
      <c r="B1013" s="2">
        <v>44932</v>
      </c>
      <c r="C1013" t="s">
        <v>10</v>
      </c>
      <c r="D1013" t="s">
        <v>17</v>
      </c>
      <c r="E1013" t="s">
        <v>20</v>
      </c>
      <c r="F1013">
        <v>20</v>
      </c>
      <c r="G1013">
        <v>23572</v>
      </c>
      <c r="H1013">
        <v>471440</v>
      </c>
      <c r="I1013">
        <f t="shared" si="15"/>
        <v>471440</v>
      </c>
    </row>
    <row r="1014" spans="1:9" x14ac:dyDescent="0.3">
      <c r="A1014">
        <v>11013</v>
      </c>
      <c r="B1014" s="2">
        <v>44956</v>
      </c>
      <c r="C1014" t="s">
        <v>12</v>
      </c>
      <c r="D1014" t="s">
        <v>15</v>
      </c>
      <c r="E1014" t="s">
        <v>23</v>
      </c>
      <c r="F1014">
        <v>10</v>
      </c>
      <c r="G1014">
        <v>14193</v>
      </c>
      <c r="H1014">
        <v>141930</v>
      </c>
      <c r="I1014">
        <f t="shared" si="15"/>
        <v>141930</v>
      </c>
    </row>
    <row r="1015" spans="1:9" x14ac:dyDescent="0.3">
      <c r="A1015">
        <v>11014</v>
      </c>
      <c r="B1015" s="2">
        <v>45012</v>
      </c>
      <c r="C1015" t="s">
        <v>8</v>
      </c>
      <c r="D1015" t="s">
        <v>16</v>
      </c>
      <c r="E1015" t="s">
        <v>20</v>
      </c>
      <c r="F1015">
        <v>2</v>
      </c>
      <c r="G1015">
        <v>11578</v>
      </c>
      <c r="H1015">
        <v>23156</v>
      </c>
      <c r="I1015">
        <f t="shared" si="15"/>
        <v>23156</v>
      </c>
    </row>
    <row r="1016" spans="1:9" x14ac:dyDescent="0.3">
      <c r="A1016">
        <v>11015</v>
      </c>
      <c r="B1016" s="2">
        <v>44934</v>
      </c>
      <c r="C1016" t="s">
        <v>13</v>
      </c>
      <c r="D1016" t="s">
        <v>15</v>
      </c>
      <c r="E1016" t="s">
        <v>19</v>
      </c>
      <c r="F1016">
        <v>14</v>
      </c>
      <c r="G1016">
        <v>56218</v>
      </c>
      <c r="H1016">
        <v>787052</v>
      </c>
      <c r="I1016">
        <f t="shared" si="15"/>
        <v>787052</v>
      </c>
    </row>
    <row r="1017" spans="1:9" x14ac:dyDescent="0.3">
      <c r="A1017">
        <v>11016</v>
      </c>
      <c r="B1017" s="2">
        <v>45091</v>
      </c>
      <c r="C1017" t="s">
        <v>8</v>
      </c>
      <c r="D1017" t="s">
        <v>18</v>
      </c>
      <c r="E1017" t="s">
        <v>19</v>
      </c>
      <c r="F1017">
        <v>17</v>
      </c>
      <c r="G1017">
        <v>46182</v>
      </c>
      <c r="H1017">
        <v>785094</v>
      </c>
      <c r="I1017">
        <f t="shared" si="15"/>
        <v>785094</v>
      </c>
    </row>
    <row r="1018" spans="1:9" x14ac:dyDescent="0.3">
      <c r="A1018">
        <v>11017</v>
      </c>
      <c r="B1018" s="2">
        <v>44928</v>
      </c>
      <c r="C1018" t="s">
        <v>11</v>
      </c>
      <c r="D1018" t="s">
        <v>18</v>
      </c>
      <c r="E1018" t="s">
        <v>19</v>
      </c>
      <c r="F1018">
        <v>1</v>
      </c>
      <c r="G1018">
        <v>9678</v>
      </c>
      <c r="H1018">
        <v>9678</v>
      </c>
      <c r="I1018">
        <f t="shared" si="15"/>
        <v>9678</v>
      </c>
    </row>
    <row r="1019" spans="1:9" x14ac:dyDescent="0.3">
      <c r="A1019">
        <v>11018</v>
      </c>
      <c r="B1019" s="2">
        <v>45098</v>
      </c>
      <c r="C1019" t="s">
        <v>8</v>
      </c>
      <c r="D1019" t="s">
        <v>15</v>
      </c>
      <c r="E1019" t="s">
        <v>21</v>
      </c>
      <c r="F1019">
        <v>16</v>
      </c>
      <c r="G1019">
        <v>11443</v>
      </c>
      <c r="H1019">
        <v>183088</v>
      </c>
      <c r="I1019">
        <f t="shared" si="15"/>
        <v>183088</v>
      </c>
    </row>
    <row r="1020" spans="1:9" x14ac:dyDescent="0.3">
      <c r="A1020">
        <v>11019</v>
      </c>
      <c r="B1020" s="2">
        <v>44946</v>
      </c>
      <c r="C1020" t="s">
        <v>9</v>
      </c>
      <c r="D1020" t="s">
        <v>18</v>
      </c>
      <c r="E1020" t="s">
        <v>24</v>
      </c>
      <c r="F1020">
        <v>6</v>
      </c>
      <c r="G1020">
        <v>36229</v>
      </c>
      <c r="H1020">
        <v>217374</v>
      </c>
      <c r="I1020">
        <f t="shared" si="15"/>
        <v>217374</v>
      </c>
    </row>
    <row r="1021" spans="1:9" x14ac:dyDescent="0.3">
      <c r="A1021">
        <v>11020</v>
      </c>
      <c r="B1021" s="2">
        <v>44930</v>
      </c>
      <c r="C1021" t="s">
        <v>8</v>
      </c>
      <c r="D1021" t="s">
        <v>16</v>
      </c>
      <c r="E1021" t="s">
        <v>24</v>
      </c>
      <c r="F1021">
        <v>10</v>
      </c>
      <c r="G1021">
        <v>23341</v>
      </c>
      <c r="H1021">
        <v>233410</v>
      </c>
      <c r="I1021">
        <f t="shared" si="15"/>
        <v>233410</v>
      </c>
    </row>
    <row r="1022" spans="1:9" x14ac:dyDescent="0.3">
      <c r="A1022">
        <v>11021</v>
      </c>
      <c r="B1022" s="2">
        <v>44942</v>
      </c>
      <c r="C1022" t="s">
        <v>9</v>
      </c>
      <c r="D1022" t="s">
        <v>17</v>
      </c>
      <c r="E1022" t="s">
        <v>19</v>
      </c>
      <c r="F1022">
        <v>1</v>
      </c>
      <c r="G1022">
        <v>52054</v>
      </c>
      <c r="H1022">
        <v>52054</v>
      </c>
      <c r="I1022">
        <f t="shared" si="15"/>
        <v>52054</v>
      </c>
    </row>
    <row r="1023" spans="1:9" x14ac:dyDescent="0.3">
      <c r="A1023">
        <v>11022</v>
      </c>
      <c r="B1023" s="2">
        <v>45106</v>
      </c>
      <c r="C1023" t="s">
        <v>9</v>
      </c>
      <c r="D1023" t="s">
        <v>17</v>
      </c>
      <c r="E1023" t="s">
        <v>21</v>
      </c>
      <c r="F1023">
        <v>3</v>
      </c>
      <c r="G1023">
        <v>28098</v>
      </c>
      <c r="H1023">
        <v>84294</v>
      </c>
      <c r="I1023">
        <f t="shared" si="15"/>
        <v>84294</v>
      </c>
    </row>
    <row r="1024" spans="1:9" x14ac:dyDescent="0.3">
      <c r="A1024">
        <v>11023</v>
      </c>
      <c r="B1024" s="2">
        <v>44980</v>
      </c>
      <c r="C1024" t="s">
        <v>9</v>
      </c>
      <c r="D1024" t="s">
        <v>15</v>
      </c>
      <c r="E1024" t="s">
        <v>20</v>
      </c>
      <c r="F1024">
        <v>13</v>
      </c>
      <c r="G1024">
        <v>47914</v>
      </c>
      <c r="H1024">
        <v>622882</v>
      </c>
      <c r="I1024">
        <f t="shared" si="15"/>
        <v>622882</v>
      </c>
    </row>
    <row r="1025" spans="1:9" x14ac:dyDescent="0.3">
      <c r="A1025">
        <v>11024</v>
      </c>
      <c r="B1025" s="2">
        <v>45270</v>
      </c>
      <c r="C1025" t="s">
        <v>10</v>
      </c>
      <c r="D1025" t="s">
        <v>18</v>
      </c>
      <c r="E1025" t="s">
        <v>23</v>
      </c>
      <c r="F1025">
        <v>3</v>
      </c>
      <c r="G1025">
        <v>46775</v>
      </c>
      <c r="H1025">
        <v>140325</v>
      </c>
      <c r="I1025">
        <f t="shared" si="15"/>
        <v>140325</v>
      </c>
    </row>
    <row r="1026" spans="1:9" x14ac:dyDescent="0.3">
      <c r="A1026">
        <v>11025</v>
      </c>
      <c r="B1026" s="2">
        <v>44963</v>
      </c>
      <c r="C1026" t="s">
        <v>9</v>
      </c>
      <c r="D1026" t="s">
        <v>15</v>
      </c>
      <c r="E1026" t="s">
        <v>19</v>
      </c>
      <c r="F1026">
        <v>5</v>
      </c>
      <c r="G1026">
        <v>29550</v>
      </c>
      <c r="H1026">
        <v>147750</v>
      </c>
      <c r="I1026">
        <f t="shared" si="15"/>
        <v>147750</v>
      </c>
    </row>
    <row r="1027" spans="1:9" x14ac:dyDescent="0.3">
      <c r="A1027">
        <v>11026</v>
      </c>
      <c r="B1027" s="2">
        <v>45074</v>
      </c>
      <c r="C1027" t="s">
        <v>11</v>
      </c>
      <c r="D1027" t="s">
        <v>18</v>
      </c>
      <c r="E1027" t="s">
        <v>21</v>
      </c>
      <c r="F1027">
        <v>7</v>
      </c>
      <c r="G1027">
        <v>12923</v>
      </c>
      <c r="H1027">
        <v>90461</v>
      </c>
      <c r="I1027">
        <f t="shared" ref="I1027:I1090" si="16">G1027*F1027</f>
        <v>90461</v>
      </c>
    </row>
    <row r="1028" spans="1:9" x14ac:dyDescent="0.3">
      <c r="A1028">
        <v>11027</v>
      </c>
      <c r="B1028" s="2">
        <v>45030</v>
      </c>
      <c r="C1028" t="s">
        <v>9</v>
      </c>
      <c r="D1028" t="s">
        <v>15</v>
      </c>
      <c r="E1028" t="s">
        <v>24</v>
      </c>
      <c r="F1028">
        <v>20</v>
      </c>
      <c r="G1028">
        <v>47739</v>
      </c>
      <c r="H1028">
        <v>954780</v>
      </c>
      <c r="I1028">
        <f t="shared" si="16"/>
        <v>954780</v>
      </c>
    </row>
    <row r="1029" spans="1:9" x14ac:dyDescent="0.3">
      <c r="A1029">
        <v>11028</v>
      </c>
      <c r="B1029" s="2">
        <v>45076</v>
      </c>
      <c r="C1029" t="s">
        <v>10</v>
      </c>
      <c r="D1029" t="s">
        <v>18</v>
      </c>
      <c r="E1029" t="s">
        <v>24</v>
      </c>
      <c r="F1029">
        <v>6</v>
      </c>
      <c r="G1029">
        <v>24382</v>
      </c>
      <c r="H1029">
        <v>146292</v>
      </c>
      <c r="I1029">
        <f t="shared" si="16"/>
        <v>146292</v>
      </c>
    </row>
    <row r="1030" spans="1:9" x14ac:dyDescent="0.3">
      <c r="A1030">
        <v>11029</v>
      </c>
      <c r="B1030" s="2">
        <v>45011</v>
      </c>
      <c r="C1030" t="s">
        <v>14</v>
      </c>
      <c r="D1030" t="s">
        <v>18</v>
      </c>
      <c r="E1030" t="s">
        <v>23</v>
      </c>
      <c r="F1030">
        <v>19</v>
      </c>
      <c r="G1030">
        <v>32863</v>
      </c>
      <c r="H1030">
        <v>624397</v>
      </c>
      <c r="I1030">
        <f t="shared" si="16"/>
        <v>624397</v>
      </c>
    </row>
    <row r="1031" spans="1:9" x14ac:dyDescent="0.3">
      <c r="A1031">
        <v>11030</v>
      </c>
      <c r="B1031" s="2">
        <v>45180</v>
      </c>
      <c r="C1031" t="s">
        <v>10</v>
      </c>
      <c r="D1031" t="s">
        <v>15</v>
      </c>
      <c r="E1031" t="s">
        <v>23</v>
      </c>
      <c r="F1031">
        <v>1</v>
      </c>
      <c r="G1031">
        <v>48710</v>
      </c>
      <c r="H1031">
        <v>48710</v>
      </c>
      <c r="I1031">
        <f t="shared" si="16"/>
        <v>48710</v>
      </c>
    </row>
    <row r="1032" spans="1:9" x14ac:dyDescent="0.3">
      <c r="A1032">
        <v>11031</v>
      </c>
      <c r="B1032" s="2">
        <v>45126</v>
      </c>
      <c r="C1032" t="s">
        <v>12</v>
      </c>
      <c r="D1032" t="s">
        <v>15</v>
      </c>
      <c r="E1032" t="s">
        <v>20</v>
      </c>
      <c r="F1032">
        <v>5</v>
      </c>
      <c r="G1032">
        <v>29362</v>
      </c>
      <c r="H1032">
        <v>146810</v>
      </c>
      <c r="I1032">
        <f t="shared" si="16"/>
        <v>146810</v>
      </c>
    </row>
    <row r="1033" spans="1:9" x14ac:dyDescent="0.3">
      <c r="A1033">
        <v>11032</v>
      </c>
      <c r="B1033" s="2">
        <v>45089</v>
      </c>
      <c r="C1033" t="s">
        <v>14</v>
      </c>
      <c r="D1033" t="s">
        <v>16</v>
      </c>
      <c r="E1033" t="s">
        <v>23</v>
      </c>
      <c r="F1033">
        <v>3</v>
      </c>
      <c r="G1033">
        <v>32146</v>
      </c>
      <c r="H1033">
        <v>96438</v>
      </c>
      <c r="I1033">
        <f t="shared" si="16"/>
        <v>96438</v>
      </c>
    </row>
    <row r="1034" spans="1:9" x14ac:dyDescent="0.3">
      <c r="A1034">
        <v>11033</v>
      </c>
      <c r="B1034" s="2">
        <v>45236</v>
      </c>
      <c r="C1034" t="s">
        <v>8</v>
      </c>
      <c r="D1034" t="s">
        <v>15</v>
      </c>
      <c r="E1034" t="s">
        <v>21</v>
      </c>
      <c r="F1034">
        <v>5</v>
      </c>
      <c r="G1034">
        <v>49481</v>
      </c>
      <c r="H1034">
        <v>247405</v>
      </c>
      <c r="I1034">
        <f t="shared" si="16"/>
        <v>247405</v>
      </c>
    </row>
    <row r="1035" spans="1:9" x14ac:dyDescent="0.3">
      <c r="A1035">
        <v>11034</v>
      </c>
      <c r="B1035" s="2">
        <v>45218</v>
      </c>
      <c r="C1035" t="s">
        <v>9</v>
      </c>
      <c r="D1035" t="s">
        <v>17</v>
      </c>
      <c r="E1035" t="s">
        <v>19</v>
      </c>
      <c r="F1035">
        <v>14</v>
      </c>
      <c r="G1035">
        <v>27461</v>
      </c>
      <c r="H1035">
        <v>384454</v>
      </c>
      <c r="I1035">
        <f t="shared" si="16"/>
        <v>384454</v>
      </c>
    </row>
    <row r="1036" spans="1:9" x14ac:dyDescent="0.3">
      <c r="A1036">
        <v>11035</v>
      </c>
      <c r="B1036" s="2">
        <v>45116</v>
      </c>
      <c r="C1036" t="s">
        <v>8</v>
      </c>
      <c r="D1036" t="s">
        <v>16</v>
      </c>
      <c r="E1036" t="s">
        <v>21</v>
      </c>
      <c r="F1036">
        <v>6</v>
      </c>
      <c r="G1036">
        <v>44926</v>
      </c>
      <c r="H1036">
        <v>269556</v>
      </c>
      <c r="I1036">
        <f t="shared" si="16"/>
        <v>269556</v>
      </c>
    </row>
    <row r="1037" spans="1:9" x14ac:dyDescent="0.3">
      <c r="A1037">
        <v>11036</v>
      </c>
      <c r="B1037" s="2">
        <v>45117</v>
      </c>
      <c r="C1037" t="s">
        <v>9</v>
      </c>
      <c r="D1037" t="s">
        <v>18</v>
      </c>
      <c r="E1037" t="s">
        <v>19</v>
      </c>
      <c r="F1037">
        <v>8</v>
      </c>
      <c r="G1037">
        <v>39639</v>
      </c>
      <c r="H1037">
        <v>317112</v>
      </c>
      <c r="I1037">
        <f t="shared" si="16"/>
        <v>317112</v>
      </c>
    </row>
    <row r="1038" spans="1:9" x14ac:dyDescent="0.3">
      <c r="A1038">
        <v>11037</v>
      </c>
      <c r="B1038" s="2">
        <v>45056</v>
      </c>
      <c r="C1038" t="s">
        <v>14</v>
      </c>
      <c r="D1038" t="s">
        <v>16</v>
      </c>
      <c r="E1038" t="s">
        <v>21</v>
      </c>
      <c r="F1038">
        <v>13</v>
      </c>
      <c r="G1038">
        <v>49327</v>
      </c>
      <c r="H1038">
        <v>641251</v>
      </c>
      <c r="I1038">
        <f t="shared" si="16"/>
        <v>641251</v>
      </c>
    </row>
    <row r="1039" spans="1:9" x14ac:dyDescent="0.3">
      <c r="A1039">
        <v>11038</v>
      </c>
      <c r="B1039" s="2">
        <v>45229</v>
      </c>
      <c r="C1039" t="s">
        <v>10</v>
      </c>
      <c r="D1039" t="s">
        <v>15</v>
      </c>
      <c r="E1039" t="s">
        <v>23</v>
      </c>
      <c r="F1039">
        <v>6</v>
      </c>
      <c r="G1039">
        <v>33436</v>
      </c>
      <c r="H1039">
        <v>200616</v>
      </c>
      <c r="I1039">
        <f t="shared" si="16"/>
        <v>200616</v>
      </c>
    </row>
    <row r="1040" spans="1:9" x14ac:dyDescent="0.3">
      <c r="A1040">
        <v>11039</v>
      </c>
      <c r="B1040" s="2">
        <v>45244</v>
      </c>
      <c r="C1040" t="s">
        <v>10</v>
      </c>
      <c r="D1040" t="s">
        <v>17</v>
      </c>
      <c r="E1040" t="s">
        <v>20</v>
      </c>
      <c r="F1040">
        <v>2</v>
      </c>
      <c r="G1040">
        <v>55391</v>
      </c>
      <c r="H1040">
        <v>110782</v>
      </c>
      <c r="I1040">
        <f t="shared" si="16"/>
        <v>110782</v>
      </c>
    </row>
    <row r="1041" spans="1:9" x14ac:dyDescent="0.3">
      <c r="A1041">
        <v>11040</v>
      </c>
      <c r="B1041" s="2">
        <v>45126</v>
      </c>
      <c r="C1041" t="s">
        <v>9</v>
      </c>
      <c r="D1041" t="s">
        <v>17</v>
      </c>
      <c r="E1041" t="s">
        <v>19</v>
      </c>
      <c r="F1041">
        <v>15</v>
      </c>
      <c r="G1041">
        <v>51713</v>
      </c>
      <c r="H1041">
        <v>775695</v>
      </c>
      <c r="I1041">
        <f t="shared" si="16"/>
        <v>775695</v>
      </c>
    </row>
    <row r="1042" spans="1:9" x14ac:dyDescent="0.3">
      <c r="A1042">
        <v>11041</v>
      </c>
      <c r="B1042" s="2">
        <v>45217</v>
      </c>
      <c r="C1042" t="s">
        <v>13</v>
      </c>
      <c r="D1042" t="s">
        <v>17</v>
      </c>
      <c r="E1042" t="s">
        <v>23</v>
      </c>
      <c r="F1042">
        <v>7</v>
      </c>
      <c r="G1042">
        <v>38997</v>
      </c>
      <c r="H1042">
        <v>272979</v>
      </c>
      <c r="I1042">
        <f t="shared" si="16"/>
        <v>272979</v>
      </c>
    </row>
    <row r="1043" spans="1:9" x14ac:dyDescent="0.3">
      <c r="A1043">
        <v>11042</v>
      </c>
      <c r="B1043" s="2">
        <v>45112</v>
      </c>
      <c r="C1043" t="s">
        <v>13</v>
      </c>
      <c r="D1043" t="s">
        <v>16</v>
      </c>
      <c r="E1043" t="s">
        <v>24</v>
      </c>
      <c r="F1043">
        <v>20</v>
      </c>
      <c r="G1043">
        <v>48431</v>
      </c>
      <c r="H1043">
        <v>968620</v>
      </c>
      <c r="I1043">
        <f t="shared" si="16"/>
        <v>968620</v>
      </c>
    </row>
    <row r="1044" spans="1:9" x14ac:dyDescent="0.3">
      <c r="A1044">
        <v>11043</v>
      </c>
      <c r="B1044" s="2">
        <v>45287</v>
      </c>
      <c r="C1044" t="s">
        <v>8</v>
      </c>
      <c r="D1044" t="s">
        <v>15</v>
      </c>
      <c r="E1044" t="s">
        <v>24</v>
      </c>
      <c r="F1044">
        <v>18</v>
      </c>
      <c r="G1044">
        <v>44328</v>
      </c>
      <c r="H1044">
        <v>797904</v>
      </c>
      <c r="I1044">
        <f t="shared" si="16"/>
        <v>797904</v>
      </c>
    </row>
    <row r="1045" spans="1:9" x14ac:dyDescent="0.3">
      <c r="A1045">
        <v>11044</v>
      </c>
      <c r="B1045" s="2">
        <v>45193</v>
      </c>
      <c r="C1045" t="s">
        <v>8</v>
      </c>
      <c r="D1045" t="s">
        <v>15</v>
      </c>
      <c r="E1045" t="s">
        <v>21</v>
      </c>
      <c r="F1045">
        <v>8</v>
      </c>
      <c r="G1045">
        <v>20702</v>
      </c>
      <c r="H1045">
        <v>165616</v>
      </c>
      <c r="I1045">
        <f t="shared" si="16"/>
        <v>165616</v>
      </c>
    </row>
    <row r="1046" spans="1:9" x14ac:dyDescent="0.3">
      <c r="A1046">
        <v>11045</v>
      </c>
      <c r="B1046" s="2">
        <v>45191</v>
      </c>
      <c r="C1046" t="s">
        <v>10</v>
      </c>
      <c r="D1046" t="s">
        <v>18</v>
      </c>
      <c r="E1046" t="s">
        <v>22</v>
      </c>
      <c r="F1046">
        <v>2</v>
      </c>
      <c r="G1046">
        <v>56566</v>
      </c>
      <c r="H1046">
        <v>113132</v>
      </c>
      <c r="I1046">
        <f t="shared" si="16"/>
        <v>113132</v>
      </c>
    </row>
    <row r="1047" spans="1:9" x14ac:dyDescent="0.3">
      <c r="A1047">
        <v>11046</v>
      </c>
      <c r="B1047" s="2">
        <v>45163</v>
      </c>
      <c r="C1047" t="s">
        <v>9</v>
      </c>
      <c r="D1047" t="s">
        <v>15</v>
      </c>
      <c r="E1047" t="s">
        <v>20</v>
      </c>
      <c r="F1047">
        <v>18</v>
      </c>
      <c r="G1047">
        <v>8113</v>
      </c>
      <c r="H1047">
        <v>146034</v>
      </c>
      <c r="I1047">
        <f t="shared" si="16"/>
        <v>146034</v>
      </c>
    </row>
    <row r="1048" spans="1:9" x14ac:dyDescent="0.3">
      <c r="A1048">
        <v>11047</v>
      </c>
      <c r="B1048" s="2">
        <v>44970</v>
      </c>
      <c r="C1048" t="s">
        <v>12</v>
      </c>
      <c r="D1048" t="s">
        <v>18</v>
      </c>
      <c r="E1048" t="s">
        <v>23</v>
      </c>
      <c r="F1048">
        <v>14</v>
      </c>
      <c r="G1048">
        <v>58529</v>
      </c>
      <c r="H1048">
        <v>819406</v>
      </c>
      <c r="I1048">
        <f t="shared" si="16"/>
        <v>819406</v>
      </c>
    </row>
    <row r="1049" spans="1:9" x14ac:dyDescent="0.3">
      <c r="A1049">
        <v>11048</v>
      </c>
      <c r="B1049" s="2">
        <v>45208</v>
      </c>
      <c r="C1049" t="s">
        <v>11</v>
      </c>
      <c r="D1049" t="s">
        <v>15</v>
      </c>
      <c r="E1049" t="s">
        <v>20</v>
      </c>
      <c r="F1049">
        <v>20</v>
      </c>
      <c r="G1049">
        <v>1983</v>
      </c>
      <c r="H1049">
        <v>39660</v>
      </c>
      <c r="I1049">
        <f t="shared" si="16"/>
        <v>39660</v>
      </c>
    </row>
    <row r="1050" spans="1:9" x14ac:dyDescent="0.3">
      <c r="A1050">
        <v>11049</v>
      </c>
      <c r="B1050" s="2">
        <v>45287</v>
      </c>
      <c r="C1050" t="s">
        <v>13</v>
      </c>
      <c r="D1050" t="s">
        <v>16</v>
      </c>
      <c r="E1050" t="s">
        <v>20</v>
      </c>
      <c r="F1050">
        <v>13</v>
      </c>
      <c r="G1050">
        <v>55579</v>
      </c>
      <c r="H1050">
        <v>722527</v>
      </c>
      <c r="I1050">
        <f t="shared" si="16"/>
        <v>722527</v>
      </c>
    </row>
    <row r="1051" spans="1:9" x14ac:dyDescent="0.3">
      <c r="A1051">
        <v>11050</v>
      </c>
      <c r="B1051" s="2">
        <v>44949</v>
      </c>
      <c r="C1051" t="s">
        <v>8</v>
      </c>
      <c r="D1051" t="s">
        <v>18</v>
      </c>
      <c r="E1051" t="s">
        <v>19</v>
      </c>
      <c r="F1051">
        <v>10</v>
      </c>
      <c r="G1051">
        <v>32432</v>
      </c>
      <c r="H1051">
        <v>324320</v>
      </c>
      <c r="I1051">
        <f t="shared" si="16"/>
        <v>324320</v>
      </c>
    </row>
    <row r="1052" spans="1:9" x14ac:dyDescent="0.3">
      <c r="A1052">
        <v>11051</v>
      </c>
      <c r="B1052" s="2">
        <v>45092</v>
      </c>
      <c r="C1052" t="s">
        <v>11</v>
      </c>
      <c r="D1052" t="s">
        <v>16</v>
      </c>
      <c r="E1052" t="s">
        <v>24</v>
      </c>
      <c r="F1052">
        <v>4</v>
      </c>
      <c r="G1052">
        <v>29096</v>
      </c>
      <c r="H1052">
        <v>116384</v>
      </c>
      <c r="I1052">
        <f t="shared" si="16"/>
        <v>116384</v>
      </c>
    </row>
    <row r="1053" spans="1:9" x14ac:dyDescent="0.3">
      <c r="A1053">
        <v>11052</v>
      </c>
      <c r="B1053" s="2">
        <v>45149</v>
      </c>
      <c r="C1053" t="s">
        <v>11</v>
      </c>
      <c r="D1053" t="s">
        <v>15</v>
      </c>
      <c r="E1053" t="s">
        <v>19</v>
      </c>
      <c r="F1053">
        <v>18</v>
      </c>
      <c r="G1053">
        <v>33897</v>
      </c>
      <c r="H1053">
        <v>610146</v>
      </c>
      <c r="I1053">
        <f t="shared" si="16"/>
        <v>610146</v>
      </c>
    </row>
    <row r="1054" spans="1:9" x14ac:dyDescent="0.3">
      <c r="A1054">
        <v>11053</v>
      </c>
      <c r="B1054" s="2">
        <v>45263</v>
      </c>
      <c r="C1054" t="s">
        <v>10</v>
      </c>
      <c r="D1054" t="s">
        <v>18</v>
      </c>
      <c r="E1054" t="s">
        <v>19</v>
      </c>
      <c r="F1054">
        <v>15</v>
      </c>
      <c r="G1054">
        <v>12152</v>
      </c>
      <c r="H1054">
        <v>182280</v>
      </c>
      <c r="I1054">
        <f t="shared" si="16"/>
        <v>182280</v>
      </c>
    </row>
    <row r="1055" spans="1:9" x14ac:dyDescent="0.3">
      <c r="A1055">
        <v>11054</v>
      </c>
      <c r="B1055" s="2">
        <v>45003</v>
      </c>
      <c r="C1055" t="s">
        <v>8</v>
      </c>
      <c r="D1055" t="s">
        <v>15</v>
      </c>
      <c r="E1055" t="s">
        <v>23</v>
      </c>
      <c r="F1055">
        <v>17</v>
      </c>
      <c r="G1055">
        <v>55684</v>
      </c>
      <c r="H1055">
        <v>946628</v>
      </c>
      <c r="I1055">
        <f t="shared" si="16"/>
        <v>946628</v>
      </c>
    </row>
    <row r="1056" spans="1:9" x14ac:dyDescent="0.3">
      <c r="A1056">
        <v>11055</v>
      </c>
      <c r="B1056" s="2">
        <v>45095</v>
      </c>
      <c r="C1056" t="s">
        <v>10</v>
      </c>
      <c r="D1056" t="s">
        <v>17</v>
      </c>
      <c r="E1056" t="s">
        <v>22</v>
      </c>
      <c r="F1056">
        <v>5</v>
      </c>
      <c r="G1056">
        <v>43905</v>
      </c>
      <c r="H1056">
        <v>219525</v>
      </c>
      <c r="I1056">
        <f t="shared" si="16"/>
        <v>219525</v>
      </c>
    </row>
    <row r="1057" spans="1:9" x14ac:dyDescent="0.3">
      <c r="A1057">
        <v>11056</v>
      </c>
      <c r="B1057" s="2">
        <v>45156</v>
      </c>
      <c r="C1057" t="s">
        <v>11</v>
      </c>
      <c r="D1057" t="s">
        <v>17</v>
      </c>
      <c r="E1057" t="s">
        <v>22</v>
      </c>
      <c r="F1057">
        <v>5</v>
      </c>
      <c r="G1057">
        <v>34126</v>
      </c>
      <c r="H1057">
        <v>170630</v>
      </c>
      <c r="I1057">
        <f t="shared" si="16"/>
        <v>170630</v>
      </c>
    </row>
    <row r="1058" spans="1:9" x14ac:dyDescent="0.3">
      <c r="A1058">
        <v>11057</v>
      </c>
      <c r="B1058" s="2">
        <v>44943</v>
      </c>
      <c r="C1058" t="s">
        <v>11</v>
      </c>
      <c r="D1058" t="s">
        <v>16</v>
      </c>
      <c r="E1058" t="s">
        <v>24</v>
      </c>
      <c r="F1058">
        <v>14</v>
      </c>
      <c r="G1058">
        <v>20823</v>
      </c>
      <c r="H1058">
        <v>291522</v>
      </c>
      <c r="I1058">
        <f t="shared" si="16"/>
        <v>291522</v>
      </c>
    </row>
    <row r="1059" spans="1:9" x14ac:dyDescent="0.3">
      <c r="A1059">
        <v>11058</v>
      </c>
      <c r="B1059" s="2">
        <v>45172</v>
      </c>
      <c r="C1059" t="s">
        <v>8</v>
      </c>
      <c r="D1059" t="s">
        <v>15</v>
      </c>
      <c r="E1059" t="s">
        <v>20</v>
      </c>
      <c r="F1059">
        <v>8</v>
      </c>
      <c r="G1059">
        <v>19890</v>
      </c>
      <c r="H1059">
        <v>159120</v>
      </c>
      <c r="I1059">
        <f t="shared" si="16"/>
        <v>159120</v>
      </c>
    </row>
    <row r="1060" spans="1:9" x14ac:dyDescent="0.3">
      <c r="A1060">
        <v>11059</v>
      </c>
      <c r="B1060" s="2">
        <v>44960</v>
      </c>
      <c r="C1060" t="s">
        <v>13</v>
      </c>
      <c r="D1060" t="s">
        <v>15</v>
      </c>
      <c r="E1060" t="s">
        <v>21</v>
      </c>
      <c r="F1060">
        <v>16</v>
      </c>
      <c r="G1060">
        <v>49177</v>
      </c>
      <c r="H1060">
        <v>786832</v>
      </c>
      <c r="I1060">
        <f t="shared" si="16"/>
        <v>786832</v>
      </c>
    </row>
    <row r="1061" spans="1:9" x14ac:dyDescent="0.3">
      <c r="A1061">
        <v>11060</v>
      </c>
      <c r="B1061" s="2">
        <v>45172</v>
      </c>
      <c r="C1061" t="s">
        <v>8</v>
      </c>
      <c r="D1061" t="s">
        <v>18</v>
      </c>
      <c r="E1061" t="s">
        <v>23</v>
      </c>
      <c r="F1061">
        <v>5</v>
      </c>
      <c r="G1061">
        <v>7167</v>
      </c>
      <c r="H1061">
        <v>35835</v>
      </c>
      <c r="I1061">
        <f t="shared" si="16"/>
        <v>35835</v>
      </c>
    </row>
    <row r="1062" spans="1:9" x14ac:dyDescent="0.3">
      <c r="A1062">
        <v>11061</v>
      </c>
      <c r="B1062" s="2">
        <v>44991</v>
      </c>
      <c r="C1062" t="s">
        <v>12</v>
      </c>
      <c r="D1062" t="s">
        <v>17</v>
      </c>
      <c r="E1062" t="s">
        <v>24</v>
      </c>
      <c r="F1062">
        <v>5</v>
      </c>
      <c r="G1062">
        <v>51652</v>
      </c>
      <c r="H1062">
        <v>258260</v>
      </c>
      <c r="I1062">
        <f t="shared" si="16"/>
        <v>258260</v>
      </c>
    </row>
    <row r="1063" spans="1:9" x14ac:dyDescent="0.3">
      <c r="A1063">
        <v>11062</v>
      </c>
      <c r="B1063" s="2">
        <v>45215</v>
      </c>
      <c r="C1063" t="s">
        <v>10</v>
      </c>
      <c r="D1063" t="s">
        <v>17</v>
      </c>
      <c r="E1063" t="s">
        <v>23</v>
      </c>
      <c r="F1063">
        <v>7</v>
      </c>
      <c r="G1063">
        <v>16641</v>
      </c>
      <c r="H1063">
        <v>116487</v>
      </c>
      <c r="I1063">
        <f t="shared" si="16"/>
        <v>116487</v>
      </c>
    </row>
    <row r="1064" spans="1:9" x14ac:dyDescent="0.3">
      <c r="A1064">
        <v>11063</v>
      </c>
      <c r="B1064" s="2">
        <v>45139</v>
      </c>
      <c r="C1064" t="s">
        <v>13</v>
      </c>
      <c r="D1064" t="s">
        <v>15</v>
      </c>
      <c r="E1064" t="s">
        <v>20</v>
      </c>
      <c r="F1064">
        <v>8</v>
      </c>
      <c r="G1064">
        <v>1883</v>
      </c>
      <c r="H1064">
        <v>15064</v>
      </c>
      <c r="I1064">
        <f t="shared" si="16"/>
        <v>15064</v>
      </c>
    </row>
    <row r="1065" spans="1:9" x14ac:dyDescent="0.3">
      <c r="A1065">
        <v>11064</v>
      </c>
      <c r="B1065" s="2">
        <v>44934</v>
      </c>
      <c r="C1065" t="s">
        <v>12</v>
      </c>
      <c r="D1065" t="s">
        <v>17</v>
      </c>
      <c r="E1065" t="s">
        <v>24</v>
      </c>
      <c r="F1065">
        <v>2</v>
      </c>
      <c r="G1065">
        <v>16404</v>
      </c>
      <c r="H1065">
        <v>32808</v>
      </c>
      <c r="I1065">
        <f t="shared" si="16"/>
        <v>32808</v>
      </c>
    </row>
    <row r="1066" spans="1:9" x14ac:dyDescent="0.3">
      <c r="A1066">
        <v>11065</v>
      </c>
      <c r="B1066" s="2">
        <v>45221</v>
      </c>
      <c r="C1066" t="s">
        <v>13</v>
      </c>
      <c r="D1066" t="s">
        <v>16</v>
      </c>
      <c r="E1066" t="s">
        <v>22</v>
      </c>
      <c r="F1066">
        <v>2</v>
      </c>
      <c r="G1066">
        <v>27593</v>
      </c>
      <c r="H1066">
        <v>55186</v>
      </c>
      <c r="I1066">
        <f t="shared" si="16"/>
        <v>55186</v>
      </c>
    </row>
    <row r="1067" spans="1:9" x14ac:dyDescent="0.3">
      <c r="A1067">
        <v>11066</v>
      </c>
      <c r="B1067" s="2">
        <v>44942</v>
      </c>
      <c r="C1067" t="s">
        <v>9</v>
      </c>
      <c r="D1067" t="s">
        <v>18</v>
      </c>
      <c r="E1067" t="s">
        <v>21</v>
      </c>
      <c r="F1067">
        <v>10</v>
      </c>
      <c r="G1067">
        <v>34742</v>
      </c>
      <c r="H1067">
        <v>347420</v>
      </c>
      <c r="I1067">
        <f t="shared" si="16"/>
        <v>347420</v>
      </c>
    </row>
    <row r="1068" spans="1:9" x14ac:dyDescent="0.3">
      <c r="A1068">
        <v>11067</v>
      </c>
      <c r="B1068" s="2">
        <v>45000</v>
      </c>
      <c r="C1068" t="s">
        <v>13</v>
      </c>
      <c r="D1068" t="s">
        <v>18</v>
      </c>
      <c r="E1068" t="s">
        <v>23</v>
      </c>
      <c r="F1068">
        <v>7</v>
      </c>
      <c r="G1068">
        <v>24521</v>
      </c>
      <c r="H1068">
        <v>171647</v>
      </c>
      <c r="I1068">
        <f t="shared" si="16"/>
        <v>171647</v>
      </c>
    </row>
    <row r="1069" spans="1:9" x14ac:dyDescent="0.3">
      <c r="A1069">
        <v>11068</v>
      </c>
      <c r="B1069" s="2">
        <v>45125</v>
      </c>
      <c r="C1069" t="s">
        <v>13</v>
      </c>
      <c r="D1069" t="s">
        <v>17</v>
      </c>
      <c r="E1069" t="s">
        <v>24</v>
      </c>
      <c r="F1069">
        <v>15</v>
      </c>
      <c r="G1069">
        <v>54764</v>
      </c>
      <c r="H1069">
        <v>821460</v>
      </c>
      <c r="I1069">
        <f t="shared" si="16"/>
        <v>821460</v>
      </c>
    </row>
    <row r="1070" spans="1:9" x14ac:dyDescent="0.3">
      <c r="A1070">
        <v>11069</v>
      </c>
      <c r="B1070" s="2">
        <v>44944</v>
      </c>
      <c r="C1070" t="s">
        <v>11</v>
      </c>
      <c r="D1070" t="s">
        <v>16</v>
      </c>
      <c r="E1070" t="s">
        <v>19</v>
      </c>
      <c r="F1070">
        <v>1</v>
      </c>
      <c r="G1070">
        <v>15795</v>
      </c>
      <c r="H1070">
        <v>15795</v>
      </c>
      <c r="I1070">
        <f t="shared" si="16"/>
        <v>15795</v>
      </c>
    </row>
    <row r="1071" spans="1:9" x14ac:dyDescent="0.3">
      <c r="A1071">
        <v>11070</v>
      </c>
      <c r="B1071" s="2">
        <v>45069</v>
      </c>
      <c r="C1071" t="s">
        <v>9</v>
      </c>
      <c r="D1071" t="s">
        <v>17</v>
      </c>
      <c r="E1071" t="s">
        <v>22</v>
      </c>
      <c r="F1071">
        <v>9</v>
      </c>
      <c r="G1071">
        <v>38599</v>
      </c>
      <c r="H1071">
        <v>347391</v>
      </c>
      <c r="I1071">
        <f t="shared" si="16"/>
        <v>347391</v>
      </c>
    </row>
    <row r="1072" spans="1:9" x14ac:dyDescent="0.3">
      <c r="A1072">
        <v>11071</v>
      </c>
      <c r="B1072" s="2">
        <v>45065</v>
      </c>
      <c r="C1072" t="s">
        <v>13</v>
      </c>
      <c r="D1072" t="s">
        <v>15</v>
      </c>
      <c r="E1072" t="s">
        <v>23</v>
      </c>
      <c r="F1072">
        <v>9</v>
      </c>
      <c r="G1072">
        <v>15246</v>
      </c>
      <c r="H1072">
        <v>137214</v>
      </c>
      <c r="I1072">
        <f t="shared" si="16"/>
        <v>137214</v>
      </c>
    </row>
    <row r="1073" spans="1:9" x14ac:dyDescent="0.3">
      <c r="A1073">
        <v>11072</v>
      </c>
      <c r="B1073" s="2">
        <v>45199</v>
      </c>
      <c r="C1073" t="s">
        <v>11</v>
      </c>
      <c r="D1073" t="s">
        <v>16</v>
      </c>
      <c r="E1073" t="s">
        <v>24</v>
      </c>
      <c r="F1073">
        <v>1</v>
      </c>
      <c r="G1073">
        <v>10397</v>
      </c>
      <c r="H1073">
        <v>10397</v>
      </c>
      <c r="I1073">
        <f t="shared" si="16"/>
        <v>10397</v>
      </c>
    </row>
    <row r="1074" spans="1:9" x14ac:dyDescent="0.3">
      <c r="A1074">
        <v>11073</v>
      </c>
      <c r="B1074" s="2">
        <v>45167</v>
      </c>
      <c r="C1074" t="s">
        <v>11</v>
      </c>
      <c r="D1074" t="s">
        <v>17</v>
      </c>
      <c r="E1074" t="s">
        <v>19</v>
      </c>
      <c r="F1074">
        <v>9</v>
      </c>
      <c r="G1074">
        <v>54171</v>
      </c>
      <c r="H1074">
        <v>487539</v>
      </c>
      <c r="I1074">
        <f t="shared" si="16"/>
        <v>487539</v>
      </c>
    </row>
    <row r="1075" spans="1:9" x14ac:dyDescent="0.3">
      <c r="A1075">
        <v>11074</v>
      </c>
      <c r="B1075" s="2">
        <v>45240</v>
      </c>
      <c r="C1075" t="s">
        <v>8</v>
      </c>
      <c r="D1075" t="s">
        <v>16</v>
      </c>
      <c r="E1075" t="s">
        <v>24</v>
      </c>
      <c r="F1075">
        <v>11</v>
      </c>
      <c r="G1075">
        <v>38068</v>
      </c>
      <c r="H1075">
        <v>418748</v>
      </c>
      <c r="I1075">
        <f t="shared" si="16"/>
        <v>418748</v>
      </c>
    </row>
    <row r="1076" spans="1:9" x14ac:dyDescent="0.3">
      <c r="A1076">
        <v>11075</v>
      </c>
      <c r="B1076" s="2">
        <v>44933</v>
      </c>
      <c r="C1076" t="s">
        <v>8</v>
      </c>
      <c r="D1076" t="s">
        <v>16</v>
      </c>
      <c r="E1076" t="s">
        <v>24</v>
      </c>
      <c r="F1076">
        <v>20</v>
      </c>
      <c r="G1076">
        <v>5961</v>
      </c>
      <c r="H1076">
        <v>119220</v>
      </c>
      <c r="I1076">
        <f t="shared" si="16"/>
        <v>119220</v>
      </c>
    </row>
    <row r="1077" spans="1:9" x14ac:dyDescent="0.3">
      <c r="A1077">
        <v>11076</v>
      </c>
      <c r="B1077" s="2">
        <v>45184</v>
      </c>
      <c r="C1077" t="s">
        <v>11</v>
      </c>
      <c r="D1077" t="s">
        <v>18</v>
      </c>
      <c r="E1077" t="s">
        <v>23</v>
      </c>
      <c r="F1077">
        <v>17</v>
      </c>
      <c r="G1077">
        <v>40873</v>
      </c>
      <c r="H1077">
        <v>694841</v>
      </c>
      <c r="I1077">
        <f t="shared" si="16"/>
        <v>694841</v>
      </c>
    </row>
    <row r="1078" spans="1:9" x14ac:dyDescent="0.3">
      <c r="A1078">
        <v>11077</v>
      </c>
      <c r="B1078" s="2">
        <v>45269</v>
      </c>
      <c r="C1078" t="s">
        <v>8</v>
      </c>
      <c r="D1078" t="s">
        <v>15</v>
      </c>
      <c r="E1078" t="s">
        <v>19</v>
      </c>
      <c r="F1078">
        <v>20</v>
      </c>
      <c r="G1078">
        <v>59142</v>
      </c>
      <c r="H1078">
        <v>1182840</v>
      </c>
      <c r="I1078">
        <f t="shared" si="16"/>
        <v>1182840</v>
      </c>
    </row>
    <row r="1079" spans="1:9" x14ac:dyDescent="0.3">
      <c r="A1079">
        <v>11078</v>
      </c>
      <c r="B1079" s="2">
        <v>45046</v>
      </c>
      <c r="C1079" t="s">
        <v>11</v>
      </c>
      <c r="D1079" t="s">
        <v>18</v>
      </c>
      <c r="E1079" t="s">
        <v>24</v>
      </c>
      <c r="F1079">
        <v>19</v>
      </c>
      <c r="G1079">
        <v>35433</v>
      </c>
      <c r="H1079">
        <v>673227</v>
      </c>
      <c r="I1079">
        <f t="shared" si="16"/>
        <v>673227</v>
      </c>
    </row>
    <row r="1080" spans="1:9" x14ac:dyDescent="0.3">
      <c r="A1080">
        <v>11079</v>
      </c>
      <c r="B1080" s="2">
        <v>45019</v>
      </c>
      <c r="C1080" t="s">
        <v>8</v>
      </c>
      <c r="D1080" t="s">
        <v>18</v>
      </c>
      <c r="E1080" t="s">
        <v>21</v>
      </c>
      <c r="F1080">
        <v>17</v>
      </c>
      <c r="G1080">
        <v>49496</v>
      </c>
      <c r="H1080">
        <v>841432</v>
      </c>
      <c r="I1080">
        <f t="shared" si="16"/>
        <v>841432</v>
      </c>
    </row>
    <row r="1081" spans="1:9" x14ac:dyDescent="0.3">
      <c r="A1081">
        <v>11080</v>
      </c>
      <c r="B1081" s="2">
        <v>45252</v>
      </c>
      <c r="C1081" t="s">
        <v>9</v>
      </c>
      <c r="D1081" t="s">
        <v>15</v>
      </c>
      <c r="E1081" t="s">
        <v>21</v>
      </c>
      <c r="F1081">
        <v>2</v>
      </c>
      <c r="G1081">
        <v>46728</v>
      </c>
      <c r="H1081">
        <v>93456</v>
      </c>
      <c r="I1081">
        <f t="shared" si="16"/>
        <v>93456</v>
      </c>
    </row>
    <row r="1082" spans="1:9" x14ac:dyDescent="0.3">
      <c r="A1082">
        <v>11081</v>
      </c>
      <c r="B1082" s="2">
        <v>45136</v>
      </c>
      <c r="C1082" t="s">
        <v>10</v>
      </c>
      <c r="D1082" t="s">
        <v>17</v>
      </c>
      <c r="E1082" t="s">
        <v>20</v>
      </c>
      <c r="F1082">
        <v>4</v>
      </c>
      <c r="G1082">
        <v>13038</v>
      </c>
      <c r="H1082">
        <v>52152</v>
      </c>
      <c r="I1082">
        <f t="shared" si="16"/>
        <v>52152</v>
      </c>
    </row>
    <row r="1083" spans="1:9" x14ac:dyDescent="0.3">
      <c r="A1083">
        <v>11082</v>
      </c>
      <c r="B1083" s="2">
        <v>44995</v>
      </c>
      <c r="C1083" t="s">
        <v>12</v>
      </c>
      <c r="D1083" t="s">
        <v>17</v>
      </c>
      <c r="E1083" t="s">
        <v>21</v>
      </c>
      <c r="F1083">
        <v>17</v>
      </c>
      <c r="G1083">
        <v>59959</v>
      </c>
      <c r="H1083">
        <v>1019303</v>
      </c>
      <c r="I1083">
        <f t="shared" si="16"/>
        <v>1019303</v>
      </c>
    </row>
    <row r="1084" spans="1:9" x14ac:dyDescent="0.3">
      <c r="A1084">
        <v>11083</v>
      </c>
      <c r="B1084" s="2">
        <v>45061</v>
      </c>
      <c r="C1084" t="s">
        <v>10</v>
      </c>
      <c r="D1084" t="s">
        <v>16</v>
      </c>
      <c r="E1084" t="s">
        <v>21</v>
      </c>
      <c r="F1084">
        <v>7</v>
      </c>
      <c r="G1084">
        <v>15135</v>
      </c>
      <c r="H1084">
        <v>105945</v>
      </c>
      <c r="I1084">
        <f t="shared" si="16"/>
        <v>105945</v>
      </c>
    </row>
    <row r="1085" spans="1:9" x14ac:dyDescent="0.3">
      <c r="A1085">
        <v>11084</v>
      </c>
      <c r="B1085" s="2">
        <v>45064</v>
      </c>
      <c r="C1085" t="s">
        <v>9</v>
      </c>
      <c r="D1085" t="s">
        <v>18</v>
      </c>
      <c r="E1085" t="s">
        <v>24</v>
      </c>
      <c r="F1085">
        <v>7</v>
      </c>
      <c r="G1085">
        <v>28641</v>
      </c>
      <c r="H1085">
        <v>200487</v>
      </c>
      <c r="I1085">
        <f t="shared" si="16"/>
        <v>200487</v>
      </c>
    </row>
    <row r="1086" spans="1:9" x14ac:dyDescent="0.3">
      <c r="A1086">
        <v>11085</v>
      </c>
      <c r="B1086" s="2">
        <v>45255</v>
      </c>
      <c r="C1086" t="s">
        <v>11</v>
      </c>
      <c r="D1086" t="s">
        <v>18</v>
      </c>
      <c r="E1086" t="s">
        <v>22</v>
      </c>
      <c r="F1086">
        <v>6</v>
      </c>
      <c r="G1086">
        <v>36427</v>
      </c>
      <c r="H1086">
        <v>218562</v>
      </c>
      <c r="I1086">
        <f t="shared" si="16"/>
        <v>218562</v>
      </c>
    </row>
    <row r="1087" spans="1:9" x14ac:dyDescent="0.3">
      <c r="A1087">
        <v>11086</v>
      </c>
      <c r="B1087" s="2">
        <v>45147</v>
      </c>
      <c r="C1087" t="s">
        <v>11</v>
      </c>
      <c r="D1087" t="s">
        <v>15</v>
      </c>
      <c r="E1087" t="s">
        <v>23</v>
      </c>
      <c r="F1087">
        <v>8</v>
      </c>
      <c r="G1087">
        <v>8616</v>
      </c>
      <c r="H1087">
        <v>68928</v>
      </c>
      <c r="I1087">
        <f t="shared" si="16"/>
        <v>68928</v>
      </c>
    </row>
    <row r="1088" spans="1:9" x14ac:dyDescent="0.3">
      <c r="A1088">
        <v>11087</v>
      </c>
      <c r="B1088" s="2">
        <v>44966</v>
      </c>
      <c r="C1088" t="s">
        <v>9</v>
      </c>
      <c r="D1088" t="s">
        <v>17</v>
      </c>
      <c r="E1088" t="s">
        <v>23</v>
      </c>
      <c r="F1088">
        <v>13</v>
      </c>
      <c r="G1088">
        <v>8258</v>
      </c>
      <c r="H1088">
        <v>107354</v>
      </c>
      <c r="I1088">
        <f t="shared" si="16"/>
        <v>107354</v>
      </c>
    </row>
    <row r="1089" spans="1:9" x14ac:dyDescent="0.3">
      <c r="A1089">
        <v>11088</v>
      </c>
      <c r="B1089" s="2">
        <v>44951</v>
      </c>
      <c r="C1089" t="s">
        <v>11</v>
      </c>
      <c r="D1089" t="s">
        <v>18</v>
      </c>
      <c r="E1089" t="s">
        <v>22</v>
      </c>
      <c r="F1089">
        <v>10</v>
      </c>
      <c r="G1089">
        <v>26468</v>
      </c>
      <c r="H1089">
        <v>264680</v>
      </c>
      <c r="I1089">
        <f t="shared" si="16"/>
        <v>264680</v>
      </c>
    </row>
    <row r="1090" spans="1:9" x14ac:dyDescent="0.3">
      <c r="A1090">
        <v>11089</v>
      </c>
      <c r="B1090" s="2">
        <v>45283</v>
      </c>
      <c r="C1090" t="s">
        <v>9</v>
      </c>
      <c r="D1090" t="s">
        <v>16</v>
      </c>
      <c r="E1090" t="s">
        <v>23</v>
      </c>
      <c r="F1090">
        <v>2</v>
      </c>
      <c r="G1090">
        <v>51976</v>
      </c>
      <c r="H1090">
        <v>103952</v>
      </c>
      <c r="I1090">
        <f t="shared" si="16"/>
        <v>103952</v>
      </c>
    </row>
    <row r="1091" spans="1:9" x14ac:dyDescent="0.3">
      <c r="A1091">
        <v>11090</v>
      </c>
      <c r="B1091" s="2">
        <v>45182</v>
      </c>
      <c r="C1091" t="s">
        <v>11</v>
      </c>
      <c r="D1091" t="s">
        <v>17</v>
      </c>
      <c r="E1091" t="s">
        <v>24</v>
      </c>
      <c r="F1091">
        <v>5</v>
      </c>
      <c r="G1091">
        <v>50833</v>
      </c>
      <c r="H1091">
        <v>254165</v>
      </c>
      <c r="I1091">
        <f t="shared" ref="I1091:I1154" si="17">G1091*F1091</f>
        <v>254165</v>
      </c>
    </row>
    <row r="1092" spans="1:9" x14ac:dyDescent="0.3">
      <c r="A1092">
        <v>11091</v>
      </c>
      <c r="B1092" s="2">
        <v>45257</v>
      </c>
      <c r="C1092" t="s">
        <v>11</v>
      </c>
      <c r="D1092" t="s">
        <v>17</v>
      </c>
      <c r="E1092" t="s">
        <v>21</v>
      </c>
      <c r="F1092">
        <v>20</v>
      </c>
      <c r="G1092">
        <v>25014</v>
      </c>
      <c r="H1092">
        <v>500280</v>
      </c>
      <c r="I1092">
        <f t="shared" si="17"/>
        <v>500280</v>
      </c>
    </row>
    <row r="1093" spans="1:9" x14ac:dyDescent="0.3">
      <c r="A1093">
        <v>11092</v>
      </c>
      <c r="B1093" s="2">
        <v>45171</v>
      </c>
      <c r="C1093" t="s">
        <v>13</v>
      </c>
      <c r="D1093" t="s">
        <v>15</v>
      </c>
      <c r="E1093" t="s">
        <v>19</v>
      </c>
      <c r="F1093">
        <v>3</v>
      </c>
      <c r="G1093">
        <v>33969</v>
      </c>
      <c r="H1093">
        <v>101907</v>
      </c>
      <c r="I1093">
        <f t="shared" si="17"/>
        <v>101907</v>
      </c>
    </row>
    <row r="1094" spans="1:9" x14ac:dyDescent="0.3">
      <c r="A1094">
        <v>11093</v>
      </c>
      <c r="B1094" s="2">
        <v>44978</v>
      </c>
      <c r="C1094" t="s">
        <v>13</v>
      </c>
      <c r="D1094" t="s">
        <v>18</v>
      </c>
      <c r="E1094" t="s">
        <v>19</v>
      </c>
      <c r="F1094">
        <v>7</v>
      </c>
      <c r="G1094">
        <v>17290</v>
      </c>
      <c r="H1094">
        <v>121030</v>
      </c>
      <c r="I1094">
        <f t="shared" si="17"/>
        <v>121030</v>
      </c>
    </row>
    <row r="1095" spans="1:9" x14ac:dyDescent="0.3">
      <c r="A1095">
        <v>11094</v>
      </c>
      <c r="B1095" s="2">
        <v>45269</v>
      </c>
      <c r="C1095" t="s">
        <v>12</v>
      </c>
      <c r="D1095" t="s">
        <v>15</v>
      </c>
      <c r="E1095" t="s">
        <v>22</v>
      </c>
      <c r="F1095">
        <v>11</v>
      </c>
      <c r="G1095">
        <v>23647</v>
      </c>
      <c r="H1095">
        <v>260117</v>
      </c>
      <c r="I1095">
        <f t="shared" si="17"/>
        <v>260117</v>
      </c>
    </row>
    <row r="1096" spans="1:9" x14ac:dyDescent="0.3">
      <c r="A1096">
        <v>11095</v>
      </c>
      <c r="B1096" s="2">
        <v>45283</v>
      </c>
      <c r="C1096" t="s">
        <v>12</v>
      </c>
      <c r="D1096" t="s">
        <v>16</v>
      </c>
      <c r="E1096" t="s">
        <v>22</v>
      </c>
      <c r="F1096">
        <v>5</v>
      </c>
      <c r="G1096">
        <v>18013</v>
      </c>
      <c r="H1096">
        <v>90065</v>
      </c>
      <c r="I1096">
        <f t="shared" si="17"/>
        <v>90065</v>
      </c>
    </row>
    <row r="1097" spans="1:9" x14ac:dyDescent="0.3">
      <c r="A1097">
        <v>11096</v>
      </c>
      <c r="B1097" s="2">
        <v>45108</v>
      </c>
      <c r="C1097" t="s">
        <v>14</v>
      </c>
      <c r="D1097" t="s">
        <v>15</v>
      </c>
      <c r="E1097" t="s">
        <v>20</v>
      </c>
      <c r="F1097">
        <v>4</v>
      </c>
      <c r="G1097">
        <v>31857</v>
      </c>
      <c r="H1097">
        <v>127428</v>
      </c>
      <c r="I1097">
        <f t="shared" si="17"/>
        <v>127428</v>
      </c>
    </row>
    <row r="1098" spans="1:9" x14ac:dyDescent="0.3">
      <c r="A1098">
        <v>11097</v>
      </c>
      <c r="B1098" s="2">
        <v>45108</v>
      </c>
      <c r="C1098" t="s">
        <v>14</v>
      </c>
      <c r="D1098" t="s">
        <v>18</v>
      </c>
      <c r="E1098" t="s">
        <v>24</v>
      </c>
      <c r="F1098">
        <v>3</v>
      </c>
      <c r="G1098">
        <v>25526</v>
      </c>
      <c r="H1098">
        <v>76578</v>
      </c>
      <c r="I1098">
        <f t="shared" si="17"/>
        <v>76578</v>
      </c>
    </row>
    <row r="1099" spans="1:9" x14ac:dyDescent="0.3">
      <c r="A1099">
        <v>11098</v>
      </c>
      <c r="B1099" s="2">
        <v>45132</v>
      </c>
      <c r="C1099" t="s">
        <v>13</v>
      </c>
      <c r="D1099" t="s">
        <v>17</v>
      </c>
      <c r="E1099" t="s">
        <v>23</v>
      </c>
      <c r="F1099">
        <v>18</v>
      </c>
      <c r="G1099">
        <v>6079</v>
      </c>
      <c r="H1099">
        <v>109422</v>
      </c>
      <c r="I1099">
        <f t="shared" si="17"/>
        <v>109422</v>
      </c>
    </row>
    <row r="1100" spans="1:9" x14ac:dyDescent="0.3">
      <c r="A1100">
        <v>11099</v>
      </c>
      <c r="B1100" s="2">
        <v>44957</v>
      </c>
      <c r="C1100" t="s">
        <v>12</v>
      </c>
      <c r="D1100" t="s">
        <v>18</v>
      </c>
      <c r="E1100" t="s">
        <v>19</v>
      </c>
      <c r="F1100">
        <v>6</v>
      </c>
      <c r="G1100">
        <v>56533</v>
      </c>
      <c r="H1100">
        <v>339198</v>
      </c>
      <c r="I1100">
        <f t="shared" si="17"/>
        <v>339198</v>
      </c>
    </row>
    <row r="1101" spans="1:9" x14ac:dyDescent="0.3">
      <c r="A1101">
        <v>11100</v>
      </c>
      <c r="B1101" s="2">
        <v>45092</v>
      </c>
      <c r="C1101" t="s">
        <v>14</v>
      </c>
      <c r="D1101" t="s">
        <v>15</v>
      </c>
      <c r="E1101" t="s">
        <v>20</v>
      </c>
      <c r="F1101">
        <v>16</v>
      </c>
      <c r="G1101">
        <v>36630</v>
      </c>
      <c r="H1101">
        <v>586080</v>
      </c>
      <c r="I1101">
        <f t="shared" si="17"/>
        <v>586080</v>
      </c>
    </row>
    <row r="1102" spans="1:9" x14ac:dyDescent="0.3">
      <c r="A1102">
        <v>11101</v>
      </c>
      <c r="B1102" s="2">
        <v>44971</v>
      </c>
      <c r="C1102" t="s">
        <v>10</v>
      </c>
      <c r="D1102" t="s">
        <v>18</v>
      </c>
      <c r="E1102" t="s">
        <v>24</v>
      </c>
      <c r="F1102">
        <v>4</v>
      </c>
      <c r="G1102">
        <v>32435</v>
      </c>
      <c r="H1102">
        <v>129740</v>
      </c>
      <c r="I1102">
        <f t="shared" si="17"/>
        <v>129740</v>
      </c>
    </row>
    <row r="1103" spans="1:9" x14ac:dyDescent="0.3">
      <c r="A1103">
        <v>11102</v>
      </c>
      <c r="B1103" s="2">
        <v>45081</v>
      </c>
      <c r="C1103" t="s">
        <v>11</v>
      </c>
      <c r="D1103" t="s">
        <v>17</v>
      </c>
      <c r="E1103" t="s">
        <v>22</v>
      </c>
      <c r="F1103">
        <v>14</v>
      </c>
      <c r="G1103">
        <v>20997</v>
      </c>
      <c r="H1103">
        <v>293958</v>
      </c>
      <c r="I1103">
        <f t="shared" si="17"/>
        <v>293958</v>
      </c>
    </row>
    <row r="1104" spans="1:9" x14ac:dyDescent="0.3">
      <c r="A1104">
        <v>11103</v>
      </c>
      <c r="B1104" s="2">
        <v>45248</v>
      </c>
      <c r="C1104" t="s">
        <v>8</v>
      </c>
      <c r="D1104" t="s">
        <v>17</v>
      </c>
      <c r="E1104" t="s">
        <v>21</v>
      </c>
      <c r="F1104">
        <v>18</v>
      </c>
      <c r="G1104">
        <v>33444</v>
      </c>
      <c r="H1104">
        <v>601992</v>
      </c>
      <c r="I1104">
        <f t="shared" si="17"/>
        <v>601992</v>
      </c>
    </row>
    <row r="1105" spans="1:9" x14ac:dyDescent="0.3">
      <c r="A1105">
        <v>11104</v>
      </c>
      <c r="B1105" s="2">
        <v>44955</v>
      </c>
      <c r="C1105" t="s">
        <v>11</v>
      </c>
      <c r="D1105" t="s">
        <v>17</v>
      </c>
      <c r="E1105" t="s">
        <v>21</v>
      </c>
      <c r="F1105">
        <v>4</v>
      </c>
      <c r="G1105">
        <v>27394</v>
      </c>
      <c r="H1105">
        <v>109576</v>
      </c>
      <c r="I1105">
        <f t="shared" si="17"/>
        <v>109576</v>
      </c>
    </row>
    <row r="1106" spans="1:9" x14ac:dyDescent="0.3">
      <c r="A1106">
        <v>11105</v>
      </c>
      <c r="B1106" s="2">
        <v>44951</v>
      </c>
      <c r="C1106" t="s">
        <v>10</v>
      </c>
      <c r="D1106" t="s">
        <v>15</v>
      </c>
      <c r="E1106" t="s">
        <v>22</v>
      </c>
      <c r="F1106">
        <v>13</v>
      </c>
      <c r="G1106">
        <v>17346</v>
      </c>
      <c r="H1106">
        <v>225498</v>
      </c>
      <c r="I1106">
        <f t="shared" si="17"/>
        <v>225498</v>
      </c>
    </row>
    <row r="1107" spans="1:9" x14ac:dyDescent="0.3">
      <c r="A1107">
        <v>11106</v>
      </c>
      <c r="B1107" s="2">
        <v>45026</v>
      </c>
      <c r="C1107" t="s">
        <v>12</v>
      </c>
      <c r="D1107" t="s">
        <v>16</v>
      </c>
      <c r="E1107" t="s">
        <v>22</v>
      </c>
      <c r="F1107">
        <v>12</v>
      </c>
      <c r="G1107">
        <v>22079</v>
      </c>
      <c r="H1107">
        <v>264948</v>
      </c>
      <c r="I1107">
        <f t="shared" si="17"/>
        <v>264948</v>
      </c>
    </row>
    <row r="1108" spans="1:9" x14ac:dyDescent="0.3">
      <c r="A1108">
        <v>11107</v>
      </c>
      <c r="B1108" s="2">
        <v>45275</v>
      </c>
      <c r="C1108" t="s">
        <v>12</v>
      </c>
      <c r="D1108" t="s">
        <v>17</v>
      </c>
      <c r="E1108" t="s">
        <v>21</v>
      </c>
      <c r="F1108">
        <v>5</v>
      </c>
      <c r="G1108">
        <v>58081</v>
      </c>
      <c r="H1108">
        <v>290405</v>
      </c>
      <c r="I1108">
        <f t="shared" si="17"/>
        <v>290405</v>
      </c>
    </row>
    <row r="1109" spans="1:9" x14ac:dyDescent="0.3">
      <c r="A1109">
        <v>11108</v>
      </c>
      <c r="B1109" s="2">
        <v>45261</v>
      </c>
      <c r="C1109" t="s">
        <v>10</v>
      </c>
      <c r="D1109" t="s">
        <v>15</v>
      </c>
      <c r="E1109" t="s">
        <v>19</v>
      </c>
      <c r="F1109">
        <v>5</v>
      </c>
      <c r="G1109">
        <v>40867</v>
      </c>
      <c r="H1109">
        <v>204335</v>
      </c>
      <c r="I1109">
        <f t="shared" si="17"/>
        <v>204335</v>
      </c>
    </row>
    <row r="1110" spans="1:9" x14ac:dyDescent="0.3">
      <c r="A1110">
        <v>11109</v>
      </c>
      <c r="B1110" s="2">
        <v>44991</v>
      </c>
      <c r="C1110" t="s">
        <v>14</v>
      </c>
      <c r="D1110" t="s">
        <v>15</v>
      </c>
      <c r="E1110" t="s">
        <v>23</v>
      </c>
      <c r="F1110">
        <v>2</v>
      </c>
      <c r="G1110">
        <v>31992</v>
      </c>
      <c r="H1110">
        <v>63984</v>
      </c>
      <c r="I1110">
        <f t="shared" si="17"/>
        <v>63984</v>
      </c>
    </row>
    <row r="1111" spans="1:9" x14ac:dyDescent="0.3">
      <c r="A1111">
        <v>11110</v>
      </c>
      <c r="B1111" s="2">
        <v>44985</v>
      </c>
      <c r="C1111" t="s">
        <v>8</v>
      </c>
      <c r="D1111" t="s">
        <v>17</v>
      </c>
      <c r="E1111" t="s">
        <v>20</v>
      </c>
      <c r="F1111">
        <v>6</v>
      </c>
      <c r="G1111">
        <v>581</v>
      </c>
      <c r="H1111">
        <v>3486</v>
      </c>
      <c r="I1111">
        <f t="shared" si="17"/>
        <v>3486</v>
      </c>
    </row>
    <row r="1112" spans="1:9" x14ac:dyDescent="0.3">
      <c r="A1112">
        <v>11111</v>
      </c>
      <c r="B1112" s="2">
        <v>45220</v>
      </c>
      <c r="C1112" t="s">
        <v>14</v>
      </c>
      <c r="D1112" t="s">
        <v>18</v>
      </c>
      <c r="E1112" t="s">
        <v>20</v>
      </c>
      <c r="F1112">
        <v>19</v>
      </c>
      <c r="G1112">
        <v>35129</v>
      </c>
      <c r="H1112">
        <v>667451</v>
      </c>
      <c r="I1112">
        <f t="shared" si="17"/>
        <v>667451</v>
      </c>
    </row>
    <row r="1113" spans="1:9" x14ac:dyDescent="0.3">
      <c r="A1113">
        <v>11112</v>
      </c>
      <c r="B1113" s="2">
        <v>45118</v>
      </c>
      <c r="C1113" t="s">
        <v>10</v>
      </c>
      <c r="D1113" t="s">
        <v>17</v>
      </c>
      <c r="E1113" t="s">
        <v>22</v>
      </c>
      <c r="F1113">
        <v>12</v>
      </c>
      <c r="G1113">
        <v>22482</v>
      </c>
      <c r="H1113">
        <v>269784</v>
      </c>
      <c r="I1113">
        <f t="shared" si="17"/>
        <v>269784</v>
      </c>
    </row>
    <row r="1114" spans="1:9" x14ac:dyDescent="0.3">
      <c r="A1114">
        <v>11113</v>
      </c>
      <c r="B1114" s="2">
        <v>45104</v>
      </c>
      <c r="C1114" t="s">
        <v>10</v>
      </c>
      <c r="D1114" t="s">
        <v>16</v>
      </c>
      <c r="E1114" t="s">
        <v>22</v>
      </c>
      <c r="F1114">
        <v>10</v>
      </c>
      <c r="G1114">
        <v>41076</v>
      </c>
      <c r="H1114">
        <v>410760</v>
      </c>
      <c r="I1114">
        <f t="shared" si="17"/>
        <v>410760</v>
      </c>
    </row>
    <row r="1115" spans="1:9" x14ac:dyDescent="0.3">
      <c r="A1115">
        <v>11114</v>
      </c>
      <c r="B1115" s="2">
        <v>44962</v>
      </c>
      <c r="C1115" t="s">
        <v>8</v>
      </c>
      <c r="D1115" t="s">
        <v>15</v>
      </c>
      <c r="E1115" t="s">
        <v>22</v>
      </c>
      <c r="F1115">
        <v>4</v>
      </c>
      <c r="G1115">
        <v>47462</v>
      </c>
      <c r="H1115">
        <v>189848</v>
      </c>
      <c r="I1115">
        <f t="shared" si="17"/>
        <v>189848</v>
      </c>
    </row>
    <row r="1116" spans="1:9" x14ac:dyDescent="0.3">
      <c r="A1116">
        <v>11115</v>
      </c>
      <c r="B1116" s="2">
        <v>45167</v>
      </c>
      <c r="C1116" t="s">
        <v>8</v>
      </c>
      <c r="D1116" t="s">
        <v>15</v>
      </c>
      <c r="E1116" t="s">
        <v>19</v>
      </c>
      <c r="F1116">
        <v>8</v>
      </c>
      <c r="G1116">
        <v>9560</v>
      </c>
      <c r="H1116">
        <v>76480</v>
      </c>
      <c r="I1116">
        <f t="shared" si="17"/>
        <v>76480</v>
      </c>
    </row>
    <row r="1117" spans="1:9" x14ac:dyDescent="0.3">
      <c r="A1117">
        <v>11116</v>
      </c>
      <c r="B1117" s="2">
        <v>45042</v>
      </c>
      <c r="C1117" t="s">
        <v>9</v>
      </c>
      <c r="D1117" t="s">
        <v>17</v>
      </c>
      <c r="E1117" t="s">
        <v>21</v>
      </c>
      <c r="F1117">
        <v>14</v>
      </c>
      <c r="G1117">
        <v>28517</v>
      </c>
      <c r="H1117">
        <v>399238</v>
      </c>
      <c r="I1117">
        <f t="shared" si="17"/>
        <v>399238</v>
      </c>
    </row>
    <row r="1118" spans="1:9" x14ac:dyDescent="0.3">
      <c r="A1118">
        <v>11117</v>
      </c>
      <c r="B1118" s="2">
        <v>44963</v>
      </c>
      <c r="C1118" t="s">
        <v>14</v>
      </c>
      <c r="D1118" t="s">
        <v>18</v>
      </c>
      <c r="E1118" t="s">
        <v>21</v>
      </c>
      <c r="F1118">
        <v>2</v>
      </c>
      <c r="G1118">
        <v>47892</v>
      </c>
      <c r="H1118">
        <v>95784</v>
      </c>
      <c r="I1118">
        <f t="shared" si="17"/>
        <v>95784</v>
      </c>
    </row>
    <row r="1119" spans="1:9" x14ac:dyDescent="0.3">
      <c r="A1119">
        <v>11118</v>
      </c>
      <c r="B1119" s="2">
        <v>45043</v>
      </c>
      <c r="C1119" t="s">
        <v>12</v>
      </c>
      <c r="D1119" t="s">
        <v>15</v>
      </c>
      <c r="E1119" t="s">
        <v>20</v>
      </c>
      <c r="F1119">
        <v>13</v>
      </c>
      <c r="G1119">
        <v>8514</v>
      </c>
      <c r="H1119">
        <v>110682</v>
      </c>
      <c r="I1119">
        <f t="shared" si="17"/>
        <v>110682</v>
      </c>
    </row>
    <row r="1120" spans="1:9" x14ac:dyDescent="0.3">
      <c r="A1120">
        <v>11119</v>
      </c>
      <c r="B1120" s="2">
        <v>44928</v>
      </c>
      <c r="C1120" t="s">
        <v>10</v>
      </c>
      <c r="D1120" t="s">
        <v>16</v>
      </c>
      <c r="E1120" t="s">
        <v>20</v>
      </c>
      <c r="F1120">
        <v>7</v>
      </c>
      <c r="G1120">
        <v>32678</v>
      </c>
      <c r="H1120">
        <v>228746</v>
      </c>
      <c r="I1120">
        <f t="shared" si="17"/>
        <v>228746</v>
      </c>
    </row>
    <row r="1121" spans="1:9" x14ac:dyDescent="0.3">
      <c r="A1121">
        <v>11120</v>
      </c>
      <c r="B1121" s="2">
        <v>44931</v>
      </c>
      <c r="C1121" t="s">
        <v>8</v>
      </c>
      <c r="D1121" t="s">
        <v>16</v>
      </c>
      <c r="E1121" t="s">
        <v>19</v>
      </c>
      <c r="F1121">
        <v>12</v>
      </c>
      <c r="G1121">
        <v>21940</v>
      </c>
      <c r="H1121">
        <v>263280</v>
      </c>
      <c r="I1121">
        <f t="shared" si="17"/>
        <v>263280</v>
      </c>
    </row>
    <row r="1122" spans="1:9" x14ac:dyDescent="0.3">
      <c r="A1122">
        <v>11121</v>
      </c>
      <c r="B1122" s="2">
        <v>45044</v>
      </c>
      <c r="C1122" t="s">
        <v>9</v>
      </c>
      <c r="D1122" t="s">
        <v>15</v>
      </c>
      <c r="E1122" t="s">
        <v>21</v>
      </c>
      <c r="F1122">
        <v>17</v>
      </c>
      <c r="G1122">
        <v>34206</v>
      </c>
      <c r="H1122">
        <v>581502</v>
      </c>
      <c r="I1122">
        <f t="shared" si="17"/>
        <v>581502</v>
      </c>
    </row>
    <row r="1123" spans="1:9" x14ac:dyDescent="0.3">
      <c r="A1123">
        <v>11122</v>
      </c>
      <c r="B1123" s="2">
        <v>44975</v>
      </c>
      <c r="C1123" t="s">
        <v>12</v>
      </c>
      <c r="D1123" t="s">
        <v>16</v>
      </c>
      <c r="E1123" t="s">
        <v>20</v>
      </c>
      <c r="F1123">
        <v>18</v>
      </c>
      <c r="G1123">
        <v>57399</v>
      </c>
      <c r="H1123">
        <v>1033182</v>
      </c>
      <c r="I1123">
        <f t="shared" si="17"/>
        <v>1033182</v>
      </c>
    </row>
    <row r="1124" spans="1:9" x14ac:dyDescent="0.3">
      <c r="A1124">
        <v>11123</v>
      </c>
      <c r="B1124" s="2">
        <v>45212</v>
      </c>
      <c r="C1124" t="s">
        <v>10</v>
      </c>
      <c r="D1124" t="s">
        <v>16</v>
      </c>
      <c r="E1124" t="s">
        <v>23</v>
      </c>
      <c r="F1124">
        <v>16</v>
      </c>
      <c r="G1124">
        <v>44976</v>
      </c>
      <c r="H1124">
        <v>719616</v>
      </c>
      <c r="I1124">
        <f t="shared" si="17"/>
        <v>719616</v>
      </c>
    </row>
    <row r="1125" spans="1:9" x14ac:dyDescent="0.3">
      <c r="A1125">
        <v>11124</v>
      </c>
      <c r="B1125" s="2">
        <v>45058</v>
      </c>
      <c r="C1125" t="s">
        <v>14</v>
      </c>
      <c r="D1125" t="s">
        <v>16</v>
      </c>
      <c r="E1125" t="s">
        <v>19</v>
      </c>
      <c r="F1125">
        <v>4</v>
      </c>
      <c r="G1125">
        <v>26516</v>
      </c>
      <c r="H1125">
        <v>106064</v>
      </c>
      <c r="I1125">
        <f t="shared" si="17"/>
        <v>106064</v>
      </c>
    </row>
    <row r="1126" spans="1:9" x14ac:dyDescent="0.3">
      <c r="A1126">
        <v>11125</v>
      </c>
      <c r="B1126" s="2">
        <v>45066</v>
      </c>
      <c r="C1126" t="s">
        <v>10</v>
      </c>
      <c r="D1126" t="s">
        <v>15</v>
      </c>
      <c r="E1126" t="s">
        <v>23</v>
      </c>
      <c r="F1126">
        <v>8</v>
      </c>
      <c r="G1126">
        <v>21649</v>
      </c>
      <c r="H1126">
        <v>173192</v>
      </c>
      <c r="I1126">
        <f t="shared" si="17"/>
        <v>173192</v>
      </c>
    </row>
    <row r="1127" spans="1:9" x14ac:dyDescent="0.3">
      <c r="A1127">
        <v>11126</v>
      </c>
      <c r="B1127" s="2">
        <v>45254</v>
      </c>
      <c r="C1127" t="s">
        <v>13</v>
      </c>
      <c r="D1127" t="s">
        <v>16</v>
      </c>
      <c r="E1127" t="s">
        <v>23</v>
      </c>
      <c r="F1127">
        <v>15</v>
      </c>
      <c r="G1127">
        <v>17617</v>
      </c>
      <c r="H1127">
        <v>264255</v>
      </c>
      <c r="I1127">
        <f t="shared" si="17"/>
        <v>264255</v>
      </c>
    </row>
    <row r="1128" spans="1:9" x14ac:dyDescent="0.3">
      <c r="A1128">
        <v>11127</v>
      </c>
      <c r="B1128" s="2">
        <v>44993</v>
      </c>
      <c r="C1128" t="s">
        <v>8</v>
      </c>
      <c r="D1128" t="s">
        <v>18</v>
      </c>
      <c r="E1128" t="s">
        <v>20</v>
      </c>
      <c r="F1128">
        <v>17</v>
      </c>
      <c r="G1128">
        <v>14282</v>
      </c>
      <c r="H1128">
        <v>242794</v>
      </c>
      <c r="I1128">
        <f t="shared" si="17"/>
        <v>242794</v>
      </c>
    </row>
    <row r="1129" spans="1:9" x14ac:dyDescent="0.3">
      <c r="A1129">
        <v>11128</v>
      </c>
      <c r="B1129" s="2">
        <v>45144</v>
      </c>
      <c r="C1129" t="s">
        <v>12</v>
      </c>
      <c r="D1129" t="s">
        <v>18</v>
      </c>
      <c r="E1129" t="s">
        <v>23</v>
      </c>
      <c r="F1129">
        <v>19</v>
      </c>
      <c r="G1129">
        <v>19636</v>
      </c>
      <c r="H1129">
        <v>373084</v>
      </c>
      <c r="I1129">
        <f t="shared" si="17"/>
        <v>373084</v>
      </c>
    </row>
    <row r="1130" spans="1:9" x14ac:dyDescent="0.3">
      <c r="A1130">
        <v>11129</v>
      </c>
      <c r="B1130" s="2">
        <v>45277</v>
      </c>
      <c r="C1130" t="s">
        <v>12</v>
      </c>
      <c r="D1130" t="s">
        <v>18</v>
      </c>
      <c r="E1130" t="s">
        <v>23</v>
      </c>
      <c r="F1130">
        <v>15</v>
      </c>
      <c r="G1130">
        <v>41010</v>
      </c>
      <c r="H1130">
        <v>615150</v>
      </c>
      <c r="I1130">
        <f t="shared" si="17"/>
        <v>615150</v>
      </c>
    </row>
    <row r="1131" spans="1:9" x14ac:dyDescent="0.3">
      <c r="A1131">
        <v>11130</v>
      </c>
      <c r="B1131" s="2">
        <v>45131</v>
      </c>
      <c r="C1131" t="s">
        <v>12</v>
      </c>
      <c r="D1131" t="s">
        <v>15</v>
      </c>
      <c r="E1131" t="s">
        <v>21</v>
      </c>
      <c r="F1131">
        <v>19</v>
      </c>
      <c r="G1131">
        <v>17585</v>
      </c>
      <c r="H1131">
        <v>334115</v>
      </c>
      <c r="I1131">
        <f t="shared" si="17"/>
        <v>334115</v>
      </c>
    </row>
    <row r="1132" spans="1:9" x14ac:dyDescent="0.3">
      <c r="A1132">
        <v>11131</v>
      </c>
      <c r="B1132" s="2">
        <v>45196</v>
      </c>
      <c r="C1132" t="s">
        <v>8</v>
      </c>
      <c r="D1132" t="s">
        <v>17</v>
      </c>
      <c r="E1132" t="s">
        <v>19</v>
      </c>
      <c r="F1132">
        <v>3</v>
      </c>
      <c r="G1132">
        <v>24644</v>
      </c>
      <c r="H1132">
        <v>73932</v>
      </c>
      <c r="I1132">
        <f t="shared" si="17"/>
        <v>73932</v>
      </c>
    </row>
    <row r="1133" spans="1:9" x14ac:dyDescent="0.3">
      <c r="A1133">
        <v>11132</v>
      </c>
      <c r="B1133" s="2">
        <v>45155</v>
      </c>
      <c r="C1133" t="s">
        <v>12</v>
      </c>
      <c r="D1133" t="s">
        <v>16</v>
      </c>
      <c r="E1133" t="s">
        <v>19</v>
      </c>
      <c r="F1133">
        <v>15</v>
      </c>
      <c r="G1133">
        <v>14782</v>
      </c>
      <c r="H1133">
        <v>221730</v>
      </c>
      <c r="I1133">
        <f t="shared" si="17"/>
        <v>221730</v>
      </c>
    </row>
    <row r="1134" spans="1:9" x14ac:dyDescent="0.3">
      <c r="A1134">
        <v>11133</v>
      </c>
      <c r="B1134" s="2">
        <v>44931</v>
      </c>
      <c r="C1134" t="s">
        <v>13</v>
      </c>
      <c r="D1134" t="s">
        <v>17</v>
      </c>
      <c r="E1134" t="s">
        <v>24</v>
      </c>
      <c r="F1134">
        <v>3</v>
      </c>
      <c r="G1134">
        <v>58247</v>
      </c>
      <c r="H1134">
        <v>174741</v>
      </c>
      <c r="I1134">
        <f t="shared" si="17"/>
        <v>174741</v>
      </c>
    </row>
    <row r="1135" spans="1:9" x14ac:dyDescent="0.3">
      <c r="A1135">
        <v>11134</v>
      </c>
      <c r="B1135" s="2">
        <v>45132</v>
      </c>
      <c r="C1135" t="s">
        <v>12</v>
      </c>
      <c r="D1135" t="s">
        <v>18</v>
      </c>
      <c r="E1135" t="s">
        <v>20</v>
      </c>
      <c r="F1135">
        <v>2</v>
      </c>
      <c r="G1135">
        <v>33089</v>
      </c>
      <c r="H1135">
        <v>66178</v>
      </c>
      <c r="I1135">
        <f t="shared" si="17"/>
        <v>66178</v>
      </c>
    </row>
    <row r="1136" spans="1:9" x14ac:dyDescent="0.3">
      <c r="A1136">
        <v>11135</v>
      </c>
      <c r="B1136" s="2">
        <v>45131</v>
      </c>
      <c r="C1136" t="s">
        <v>10</v>
      </c>
      <c r="D1136" t="s">
        <v>17</v>
      </c>
      <c r="E1136" t="s">
        <v>20</v>
      </c>
      <c r="F1136">
        <v>16</v>
      </c>
      <c r="G1136">
        <v>14293</v>
      </c>
      <c r="H1136">
        <v>228688</v>
      </c>
      <c r="I1136">
        <f t="shared" si="17"/>
        <v>228688</v>
      </c>
    </row>
    <row r="1137" spans="1:9" x14ac:dyDescent="0.3">
      <c r="A1137">
        <v>11136</v>
      </c>
      <c r="B1137" s="2">
        <v>44990</v>
      </c>
      <c r="C1137" t="s">
        <v>12</v>
      </c>
      <c r="D1137" t="s">
        <v>17</v>
      </c>
      <c r="E1137" t="s">
        <v>23</v>
      </c>
      <c r="F1137">
        <v>19</v>
      </c>
      <c r="G1137">
        <v>2658</v>
      </c>
      <c r="H1137">
        <v>50502</v>
      </c>
      <c r="I1137">
        <f t="shared" si="17"/>
        <v>50502</v>
      </c>
    </row>
    <row r="1138" spans="1:9" x14ac:dyDescent="0.3">
      <c r="A1138">
        <v>11137</v>
      </c>
      <c r="B1138" s="2">
        <v>45148</v>
      </c>
      <c r="C1138" t="s">
        <v>13</v>
      </c>
      <c r="D1138" t="s">
        <v>16</v>
      </c>
      <c r="E1138" t="s">
        <v>21</v>
      </c>
      <c r="F1138">
        <v>18</v>
      </c>
      <c r="G1138">
        <v>54844</v>
      </c>
      <c r="H1138">
        <v>987192</v>
      </c>
      <c r="I1138">
        <f t="shared" si="17"/>
        <v>987192</v>
      </c>
    </row>
    <row r="1139" spans="1:9" x14ac:dyDescent="0.3">
      <c r="A1139">
        <v>11138</v>
      </c>
      <c r="B1139" s="2">
        <v>45140</v>
      </c>
      <c r="C1139" t="s">
        <v>8</v>
      </c>
      <c r="D1139" t="s">
        <v>15</v>
      </c>
      <c r="E1139" t="s">
        <v>21</v>
      </c>
      <c r="F1139">
        <v>4</v>
      </c>
      <c r="G1139">
        <v>42501</v>
      </c>
      <c r="H1139">
        <v>170004</v>
      </c>
      <c r="I1139">
        <f t="shared" si="17"/>
        <v>170004</v>
      </c>
    </row>
    <row r="1140" spans="1:9" x14ac:dyDescent="0.3">
      <c r="A1140">
        <v>11139</v>
      </c>
      <c r="B1140" s="2">
        <v>45006</v>
      </c>
      <c r="C1140" t="s">
        <v>12</v>
      </c>
      <c r="D1140" t="s">
        <v>15</v>
      </c>
      <c r="E1140" t="s">
        <v>20</v>
      </c>
      <c r="F1140">
        <v>2</v>
      </c>
      <c r="G1140">
        <v>16665</v>
      </c>
      <c r="H1140">
        <v>33330</v>
      </c>
      <c r="I1140">
        <f t="shared" si="17"/>
        <v>33330</v>
      </c>
    </row>
    <row r="1141" spans="1:9" x14ac:dyDescent="0.3">
      <c r="A1141">
        <v>11140</v>
      </c>
      <c r="B1141" s="2">
        <v>45048</v>
      </c>
      <c r="C1141" t="s">
        <v>11</v>
      </c>
      <c r="D1141" t="s">
        <v>17</v>
      </c>
      <c r="E1141" t="s">
        <v>23</v>
      </c>
      <c r="F1141">
        <v>12</v>
      </c>
      <c r="G1141">
        <v>52600</v>
      </c>
      <c r="H1141">
        <v>631200</v>
      </c>
      <c r="I1141">
        <f t="shared" si="17"/>
        <v>631200</v>
      </c>
    </row>
    <row r="1142" spans="1:9" x14ac:dyDescent="0.3">
      <c r="A1142">
        <v>11141</v>
      </c>
      <c r="B1142" s="2">
        <v>45066</v>
      </c>
      <c r="C1142" t="s">
        <v>13</v>
      </c>
      <c r="D1142" t="s">
        <v>16</v>
      </c>
      <c r="E1142" t="s">
        <v>24</v>
      </c>
      <c r="F1142">
        <v>13</v>
      </c>
      <c r="G1142">
        <v>45741</v>
      </c>
      <c r="H1142">
        <v>594633</v>
      </c>
      <c r="I1142">
        <f t="shared" si="17"/>
        <v>594633</v>
      </c>
    </row>
    <row r="1143" spans="1:9" x14ac:dyDescent="0.3">
      <c r="A1143">
        <v>11142</v>
      </c>
      <c r="B1143" s="2">
        <v>45146</v>
      </c>
      <c r="C1143" t="s">
        <v>11</v>
      </c>
      <c r="D1143" t="s">
        <v>16</v>
      </c>
      <c r="E1143" t="s">
        <v>24</v>
      </c>
      <c r="F1143">
        <v>2</v>
      </c>
      <c r="G1143">
        <v>28613</v>
      </c>
      <c r="H1143">
        <v>57226</v>
      </c>
      <c r="I1143">
        <f t="shared" si="17"/>
        <v>57226</v>
      </c>
    </row>
    <row r="1144" spans="1:9" x14ac:dyDescent="0.3">
      <c r="A1144">
        <v>11143</v>
      </c>
      <c r="B1144" s="2">
        <v>45221</v>
      </c>
      <c r="C1144" t="s">
        <v>8</v>
      </c>
      <c r="D1144" t="s">
        <v>16</v>
      </c>
      <c r="E1144" t="s">
        <v>20</v>
      </c>
      <c r="F1144">
        <v>19</v>
      </c>
      <c r="G1144">
        <v>48631</v>
      </c>
      <c r="H1144">
        <v>923989</v>
      </c>
      <c r="I1144">
        <f t="shared" si="17"/>
        <v>923989</v>
      </c>
    </row>
    <row r="1145" spans="1:9" x14ac:dyDescent="0.3">
      <c r="A1145">
        <v>11144</v>
      </c>
      <c r="B1145" s="2">
        <v>45231</v>
      </c>
      <c r="C1145" t="s">
        <v>10</v>
      </c>
      <c r="D1145" t="s">
        <v>17</v>
      </c>
      <c r="E1145" t="s">
        <v>19</v>
      </c>
      <c r="F1145">
        <v>17</v>
      </c>
      <c r="G1145">
        <v>50590</v>
      </c>
      <c r="H1145">
        <v>860030</v>
      </c>
      <c r="I1145">
        <f t="shared" si="17"/>
        <v>860030</v>
      </c>
    </row>
    <row r="1146" spans="1:9" x14ac:dyDescent="0.3">
      <c r="A1146">
        <v>11145</v>
      </c>
      <c r="B1146" s="2">
        <v>45131</v>
      </c>
      <c r="C1146" t="s">
        <v>12</v>
      </c>
      <c r="D1146" t="s">
        <v>18</v>
      </c>
      <c r="E1146" t="s">
        <v>19</v>
      </c>
      <c r="F1146">
        <v>5</v>
      </c>
      <c r="G1146">
        <v>39800</v>
      </c>
      <c r="H1146">
        <v>199000</v>
      </c>
      <c r="I1146">
        <f t="shared" si="17"/>
        <v>199000</v>
      </c>
    </row>
    <row r="1147" spans="1:9" x14ac:dyDescent="0.3">
      <c r="A1147">
        <v>11146</v>
      </c>
      <c r="B1147" s="2">
        <v>45249</v>
      </c>
      <c r="C1147" t="s">
        <v>9</v>
      </c>
      <c r="D1147" t="s">
        <v>18</v>
      </c>
      <c r="E1147" t="s">
        <v>23</v>
      </c>
      <c r="F1147">
        <v>11</v>
      </c>
      <c r="G1147">
        <v>10278</v>
      </c>
      <c r="H1147">
        <v>113058</v>
      </c>
      <c r="I1147">
        <f t="shared" si="17"/>
        <v>113058</v>
      </c>
    </row>
    <row r="1148" spans="1:9" x14ac:dyDescent="0.3">
      <c r="A1148">
        <v>11147</v>
      </c>
      <c r="B1148" s="2">
        <v>45037</v>
      </c>
      <c r="C1148" t="s">
        <v>13</v>
      </c>
      <c r="D1148" t="s">
        <v>17</v>
      </c>
      <c r="E1148" t="s">
        <v>19</v>
      </c>
      <c r="F1148">
        <v>3</v>
      </c>
      <c r="G1148">
        <v>15129</v>
      </c>
      <c r="H1148">
        <v>45387</v>
      </c>
      <c r="I1148">
        <f t="shared" si="17"/>
        <v>45387</v>
      </c>
    </row>
    <row r="1149" spans="1:9" x14ac:dyDescent="0.3">
      <c r="A1149">
        <v>11148</v>
      </c>
      <c r="B1149" s="2">
        <v>45218</v>
      </c>
      <c r="C1149" t="s">
        <v>11</v>
      </c>
      <c r="D1149" t="s">
        <v>15</v>
      </c>
      <c r="E1149" t="s">
        <v>19</v>
      </c>
      <c r="F1149">
        <v>7</v>
      </c>
      <c r="G1149">
        <v>11579</v>
      </c>
      <c r="H1149">
        <v>81053</v>
      </c>
      <c r="I1149">
        <f t="shared" si="17"/>
        <v>81053</v>
      </c>
    </row>
    <row r="1150" spans="1:9" x14ac:dyDescent="0.3">
      <c r="A1150">
        <v>11149</v>
      </c>
      <c r="B1150" s="2">
        <v>45120</v>
      </c>
      <c r="C1150" t="s">
        <v>9</v>
      </c>
      <c r="D1150" t="s">
        <v>15</v>
      </c>
      <c r="E1150" t="s">
        <v>22</v>
      </c>
      <c r="F1150">
        <v>13</v>
      </c>
      <c r="G1150">
        <v>51963</v>
      </c>
      <c r="H1150">
        <v>675519</v>
      </c>
      <c r="I1150">
        <f t="shared" si="17"/>
        <v>675519</v>
      </c>
    </row>
    <row r="1151" spans="1:9" x14ac:dyDescent="0.3">
      <c r="A1151">
        <v>11150</v>
      </c>
      <c r="B1151" s="2">
        <v>45097</v>
      </c>
      <c r="C1151" t="s">
        <v>10</v>
      </c>
      <c r="D1151" t="s">
        <v>17</v>
      </c>
      <c r="E1151" t="s">
        <v>19</v>
      </c>
      <c r="F1151">
        <v>7</v>
      </c>
      <c r="G1151">
        <v>38374</v>
      </c>
      <c r="H1151">
        <v>268618</v>
      </c>
      <c r="I1151">
        <f t="shared" si="17"/>
        <v>268618</v>
      </c>
    </row>
    <row r="1152" spans="1:9" x14ac:dyDescent="0.3">
      <c r="A1152">
        <v>11151</v>
      </c>
      <c r="B1152" s="2">
        <v>45231</v>
      </c>
      <c r="C1152" t="s">
        <v>9</v>
      </c>
      <c r="D1152" t="s">
        <v>15</v>
      </c>
      <c r="E1152" t="s">
        <v>24</v>
      </c>
      <c r="F1152">
        <v>7</v>
      </c>
      <c r="G1152">
        <v>42468</v>
      </c>
      <c r="H1152">
        <v>297276</v>
      </c>
      <c r="I1152">
        <f t="shared" si="17"/>
        <v>297276</v>
      </c>
    </row>
    <row r="1153" spans="1:9" x14ac:dyDescent="0.3">
      <c r="A1153">
        <v>11152</v>
      </c>
      <c r="B1153" s="2">
        <v>44977</v>
      </c>
      <c r="C1153" t="s">
        <v>8</v>
      </c>
      <c r="D1153" t="s">
        <v>18</v>
      </c>
      <c r="E1153" t="s">
        <v>21</v>
      </c>
      <c r="F1153">
        <v>10</v>
      </c>
      <c r="G1153">
        <v>24504</v>
      </c>
      <c r="H1153">
        <v>245040</v>
      </c>
      <c r="I1153">
        <f t="shared" si="17"/>
        <v>245040</v>
      </c>
    </row>
    <row r="1154" spans="1:9" x14ac:dyDescent="0.3">
      <c r="A1154">
        <v>11153</v>
      </c>
      <c r="B1154" s="2">
        <v>44976</v>
      </c>
      <c r="C1154" t="s">
        <v>9</v>
      </c>
      <c r="D1154" t="s">
        <v>16</v>
      </c>
      <c r="E1154" t="s">
        <v>20</v>
      </c>
      <c r="F1154">
        <v>7</v>
      </c>
      <c r="G1154">
        <v>18449</v>
      </c>
      <c r="H1154">
        <v>129143</v>
      </c>
      <c r="I1154">
        <f t="shared" si="17"/>
        <v>129143</v>
      </c>
    </row>
    <row r="1155" spans="1:9" x14ac:dyDescent="0.3">
      <c r="A1155">
        <v>11154</v>
      </c>
      <c r="B1155" s="2">
        <v>45109</v>
      </c>
      <c r="C1155" t="s">
        <v>12</v>
      </c>
      <c r="D1155" t="s">
        <v>16</v>
      </c>
      <c r="E1155" t="s">
        <v>23</v>
      </c>
      <c r="F1155">
        <v>12</v>
      </c>
      <c r="G1155">
        <v>9677</v>
      </c>
      <c r="H1155">
        <v>116124</v>
      </c>
      <c r="I1155">
        <f t="shared" ref="I1155:I1218" si="18">G1155*F1155</f>
        <v>116124</v>
      </c>
    </row>
    <row r="1156" spans="1:9" x14ac:dyDescent="0.3">
      <c r="A1156">
        <v>11155</v>
      </c>
      <c r="B1156" s="2">
        <v>45070</v>
      </c>
      <c r="C1156" t="s">
        <v>8</v>
      </c>
      <c r="D1156" t="s">
        <v>18</v>
      </c>
      <c r="E1156" t="s">
        <v>21</v>
      </c>
      <c r="F1156">
        <v>18</v>
      </c>
      <c r="G1156">
        <v>47136</v>
      </c>
      <c r="H1156">
        <v>848448</v>
      </c>
      <c r="I1156">
        <f t="shared" si="18"/>
        <v>848448</v>
      </c>
    </row>
    <row r="1157" spans="1:9" x14ac:dyDescent="0.3">
      <c r="A1157">
        <v>11156</v>
      </c>
      <c r="B1157" s="2">
        <v>45225</v>
      </c>
      <c r="C1157" t="s">
        <v>11</v>
      </c>
      <c r="D1157" t="s">
        <v>18</v>
      </c>
      <c r="E1157" t="s">
        <v>21</v>
      </c>
      <c r="F1157">
        <v>6</v>
      </c>
      <c r="G1157">
        <v>7347</v>
      </c>
      <c r="H1157">
        <v>44082</v>
      </c>
      <c r="I1157">
        <f t="shared" si="18"/>
        <v>44082</v>
      </c>
    </row>
    <row r="1158" spans="1:9" x14ac:dyDescent="0.3">
      <c r="A1158">
        <v>11157</v>
      </c>
      <c r="B1158" s="2">
        <v>44991</v>
      </c>
      <c r="C1158" t="s">
        <v>10</v>
      </c>
      <c r="D1158" t="s">
        <v>18</v>
      </c>
      <c r="E1158" t="s">
        <v>24</v>
      </c>
      <c r="F1158">
        <v>14</v>
      </c>
      <c r="G1158">
        <v>12930</v>
      </c>
      <c r="H1158">
        <v>181020</v>
      </c>
      <c r="I1158">
        <f t="shared" si="18"/>
        <v>181020</v>
      </c>
    </row>
    <row r="1159" spans="1:9" x14ac:dyDescent="0.3">
      <c r="A1159">
        <v>11158</v>
      </c>
      <c r="B1159" s="2">
        <v>45269</v>
      </c>
      <c r="C1159" t="s">
        <v>9</v>
      </c>
      <c r="D1159" t="s">
        <v>16</v>
      </c>
      <c r="E1159" t="s">
        <v>20</v>
      </c>
      <c r="F1159">
        <v>17</v>
      </c>
      <c r="G1159">
        <v>19117</v>
      </c>
      <c r="H1159">
        <v>324989</v>
      </c>
      <c r="I1159">
        <f t="shared" si="18"/>
        <v>324989</v>
      </c>
    </row>
    <row r="1160" spans="1:9" x14ac:dyDescent="0.3">
      <c r="A1160">
        <v>11159</v>
      </c>
      <c r="B1160" s="2">
        <v>45005</v>
      </c>
      <c r="C1160" t="s">
        <v>14</v>
      </c>
      <c r="D1160" t="s">
        <v>18</v>
      </c>
      <c r="E1160" t="s">
        <v>23</v>
      </c>
      <c r="F1160">
        <v>12</v>
      </c>
      <c r="G1160">
        <v>38639</v>
      </c>
      <c r="H1160">
        <v>463668</v>
      </c>
      <c r="I1160">
        <f t="shared" si="18"/>
        <v>463668</v>
      </c>
    </row>
    <row r="1161" spans="1:9" x14ac:dyDescent="0.3">
      <c r="A1161">
        <v>11160</v>
      </c>
      <c r="B1161" s="2">
        <v>45182</v>
      </c>
      <c r="C1161" t="s">
        <v>8</v>
      </c>
      <c r="D1161" t="s">
        <v>17</v>
      </c>
      <c r="E1161" t="s">
        <v>21</v>
      </c>
      <c r="F1161">
        <v>10</v>
      </c>
      <c r="G1161">
        <v>9424</v>
      </c>
      <c r="H1161">
        <v>94240</v>
      </c>
      <c r="I1161">
        <f t="shared" si="18"/>
        <v>94240</v>
      </c>
    </row>
    <row r="1162" spans="1:9" x14ac:dyDescent="0.3">
      <c r="A1162">
        <v>11161</v>
      </c>
      <c r="B1162" s="2">
        <v>45260</v>
      </c>
      <c r="C1162" t="s">
        <v>9</v>
      </c>
      <c r="D1162" t="s">
        <v>16</v>
      </c>
      <c r="E1162" t="s">
        <v>19</v>
      </c>
      <c r="F1162">
        <v>5</v>
      </c>
      <c r="G1162">
        <v>50895</v>
      </c>
      <c r="H1162">
        <v>254475</v>
      </c>
      <c r="I1162">
        <f t="shared" si="18"/>
        <v>254475</v>
      </c>
    </row>
    <row r="1163" spans="1:9" x14ac:dyDescent="0.3">
      <c r="A1163">
        <v>11162</v>
      </c>
      <c r="B1163" s="2">
        <v>45150</v>
      </c>
      <c r="C1163" t="s">
        <v>12</v>
      </c>
      <c r="D1163" t="s">
        <v>16</v>
      </c>
      <c r="E1163" t="s">
        <v>19</v>
      </c>
      <c r="F1163">
        <v>17</v>
      </c>
      <c r="G1163">
        <v>50010</v>
      </c>
      <c r="H1163">
        <v>850170</v>
      </c>
      <c r="I1163">
        <f t="shared" si="18"/>
        <v>850170</v>
      </c>
    </row>
    <row r="1164" spans="1:9" x14ac:dyDescent="0.3">
      <c r="A1164">
        <v>11163</v>
      </c>
      <c r="B1164" s="2">
        <v>45169</v>
      </c>
      <c r="C1164" t="s">
        <v>8</v>
      </c>
      <c r="D1164" t="s">
        <v>15</v>
      </c>
      <c r="E1164" t="s">
        <v>24</v>
      </c>
      <c r="F1164">
        <v>14</v>
      </c>
      <c r="G1164">
        <v>17761</v>
      </c>
      <c r="H1164">
        <v>248654</v>
      </c>
      <c r="I1164">
        <f t="shared" si="18"/>
        <v>248654</v>
      </c>
    </row>
    <row r="1165" spans="1:9" x14ac:dyDescent="0.3">
      <c r="A1165">
        <v>11164</v>
      </c>
      <c r="B1165" s="2">
        <v>45016</v>
      </c>
      <c r="C1165" t="s">
        <v>12</v>
      </c>
      <c r="D1165" t="s">
        <v>16</v>
      </c>
      <c r="E1165" t="s">
        <v>20</v>
      </c>
      <c r="F1165">
        <v>1</v>
      </c>
      <c r="G1165">
        <v>48804</v>
      </c>
      <c r="H1165">
        <v>48804</v>
      </c>
      <c r="I1165">
        <f t="shared" si="18"/>
        <v>48804</v>
      </c>
    </row>
    <row r="1166" spans="1:9" x14ac:dyDescent="0.3">
      <c r="A1166">
        <v>11165</v>
      </c>
      <c r="B1166" s="2">
        <v>45221</v>
      </c>
      <c r="C1166" t="s">
        <v>9</v>
      </c>
      <c r="D1166" t="s">
        <v>18</v>
      </c>
      <c r="E1166" t="s">
        <v>24</v>
      </c>
      <c r="F1166">
        <v>5</v>
      </c>
      <c r="G1166">
        <v>50607</v>
      </c>
      <c r="H1166">
        <v>253035</v>
      </c>
      <c r="I1166">
        <f t="shared" si="18"/>
        <v>253035</v>
      </c>
    </row>
    <row r="1167" spans="1:9" x14ac:dyDescent="0.3">
      <c r="A1167">
        <v>11166</v>
      </c>
      <c r="B1167" s="2">
        <v>45041</v>
      </c>
      <c r="C1167" t="s">
        <v>13</v>
      </c>
      <c r="D1167" t="s">
        <v>17</v>
      </c>
      <c r="E1167" t="s">
        <v>21</v>
      </c>
      <c r="F1167">
        <v>20</v>
      </c>
      <c r="G1167">
        <v>47547</v>
      </c>
      <c r="H1167">
        <v>950940</v>
      </c>
      <c r="I1167">
        <f t="shared" si="18"/>
        <v>950940</v>
      </c>
    </row>
    <row r="1168" spans="1:9" x14ac:dyDescent="0.3">
      <c r="A1168">
        <v>11167</v>
      </c>
      <c r="B1168" s="2">
        <v>45137</v>
      </c>
      <c r="C1168" t="s">
        <v>11</v>
      </c>
      <c r="D1168" t="s">
        <v>18</v>
      </c>
      <c r="E1168" t="s">
        <v>23</v>
      </c>
      <c r="F1168">
        <v>1</v>
      </c>
      <c r="G1168">
        <v>18815</v>
      </c>
      <c r="H1168">
        <v>18815</v>
      </c>
      <c r="I1168">
        <f t="shared" si="18"/>
        <v>18815</v>
      </c>
    </row>
    <row r="1169" spans="1:9" x14ac:dyDescent="0.3">
      <c r="A1169">
        <v>11168</v>
      </c>
      <c r="B1169" s="2">
        <v>45149</v>
      </c>
      <c r="C1169" t="s">
        <v>11</v>
      </c>
      <c r="D1169" t="s">
        <v>16</v>
      </c>
      <c r="E1169" t="s">
        <v>23</v>
      </c>
      <c r="F1169">
        <v>17</v>
      </c>
      <c r="G1169">
        <v>40969</v>
      </c>
      <c r="H1169">
        <v>696473</v>
      </c>
      <c r="I1169">
        <f t="shared" si="18"/>
        <v>696473</v>
      </c>
    </row>
    <row r="1170" spans="1:9" x14ac:dyDescent="0.3">
      <c r="A1170">
        <v>11169</v>
      </c>
      <c r="B1170" s="2">
        <v>45212</v>
      </c>
      <c r="C1170" t="s">
        <v>11</v>
      </c>
      <c r="D1170" t="s">
        <v>15</v>
      </c>
      <c r="E1170" t="s">
        <v>20</v>
      </c>
      <c r="F1170">
        <v>8</v>
      </c>
      <c r="G1170">
        <v>31010</v>
      </c>
      <c r="H1170">
        <v>248080</v>
      </c>
      <c r="I1170">
        <f t="shared" si="18"/>
        <v>248080</v>
      </c>
    </row>
    <row r="1171" spans="1:9" x14ac:dyDescent="0.3">
      <c r="A1171">
        <v>11170</v>
      </c>
      <c r="B1171" s="2">
        <v>44942</v>
      </c>
      <c r="C1171" t="s">
        <v>13</v>
      </c>
      <c r="D1171" t="s">
        <v>17</v>
      </c>
      <c r="E1171" t="s">
        <v>19</v>
      </c>
      <c r="F1171">
        <v>5</v>
      </c>
      <c r="G1171">
        <v>17356</v>
      </c>
      <c r="H1171">
        <v>86780</v>
      </c>
      <c r="I1171">
        <f t="shared" si="18"/>
        <v>86780</v>
      </c>
    </row>
    <row r="1172" spans="1:9" x14ac:dyDescent="0.3">
      <c r="A1172">
        <v>11171</v>
      </c>
      <c r="B1172" s="2">
        <v>45011</v>
      </c>
      <c r="C1172" t="s">
        <v>10</v>
      </c>
      <c r="D1172" t="s">
        <v>16</v>
      </c>
      <c r="E1172" t="s">
        <v>24</v>
      </c>
      <c r="F1172">
        <v>12</v>
      </c>
      <c r="G1172">
        <v>31277</v>
      </c>
      <c r="H1172">
        <v>375324</v>
      </c>
      <c r="I1172">
        <f t="shared" si="18"/>
        <v>375324</v>
      </c>
    </row>
    <row r="1173" spans="1:9" x14ac:dyDescent="0.3">
      <c r="A1173">
        <v>11172</v>
      </c>
      <c r="B1173" s="2">
        <v>45139</v>
      </c>
      <c r="C1173" t="s">
        <v>11</v>
      </c>
      <c r="D1173" t="s">
        <v>16</v>
      </c>
      <c r="E1173" t="s">
        <v>19</v>
      </c>
      <c r="F1173">
        <v>20</v>
      </c>
      <c r="G1173">
        <v>25605</v>
      </c>
      <c r="H1173">
        <v>512100</v>
      </c>
      <c r="I1173">
        <f t="shared" si="18"/>
        <v>512100</v>
      </c>
    </row>
    <row r="1174" spans="1:9" x14ac:dyDescent="0.3">
      <c r="A1174">
        <v>11173</v>
      </c>
      <c r="B1174" s="2">
        <v>45233</v>
      </c>
      <c r="C1174" t="s">
        <v>14</v>
      </c>
      <c r="D1174" t="s">
        <v>17</v>
      </c>
      <c r="E1174" t="s">
        <v>20</v>
      </c>
      <c r="F1174">
        <v>5</v>
      </c>
      <c r="G1174">
        <v>49165</v>
      </c>
      <c r="H1174">
        <v>245825</v>
      </c>
      <c r="I1174">
        <f t="shared" si="18"/>
        <v>245825</v>
      </c>
    </row>
    <row r="1175" spans="1:9" x14ac:dyDescent="0.3">
      <c r="A1175">
        <v>11174</v>
      </c>
      <c r="B1175" s="2">
        <v>45195</v>
      </c>
      <c r="C1175" t="s">
        <v>14</v>
      </c>
      <c r="D1175" t="s">
        <v>16</v>
      </c>
      <c r="E1175" t="s">
        <v>21</v>
      </c>
      <c r="F1175">
        <v>1</v>
      </c>
      <c r="G1175">
        <v>34256</v>
      </c>
      <c r="H1175">
        <v>34256</v>
      </c>
      <c r="I1175">
        <f t="shared" si="18"/>
        <v>34256</v>
      </c>
    </row>
    <row r="1176" spans="1:9" x14ac:dyDescent="0.3">
      <c r="A1176">
        <v>11175</v>
      </c>
      <c r="B1176" s="2">
        <v>45235</v>
      </c>
      <c r="C1176" t="s">
        <v>12</v>
      </c>
      <c r="D1176" t="s">
        <v>16</v>
      </c>
      <c r="E1176" t="s">
        <v>24</v>
      </c>
      <c r="F1176">
        <v>18</v>
      </c>
      <c r="G1176">
        <v>52778</v>
      </c>
      <c r="H1176">
        <v>950004</v>
      </c>
      <c r="I1176">
        <f t="shared" si="18"/>
        <v>950004</v>
      </c>
    </row>
    <row r="1177" spans="1:9" x14ac:dyDescent="0.3">
      <c r="A1177">
        <v>11176</v>
      </c>
      <c r="B1177" s="2">
        <v>45107</v>
      </c>
      <c r="C1177" t="s">
        <v>11</v>
      </c>
      <c r="D1177" t="s">
        <v>18</v>
      </c>
      <c r="E1177" t="s">
        <v>21</v>
      </c>
      <c r="F1177">
        <v>4</v>
      </c>
      <c r="G1177">
        <v>27204</v>
      </c>
      <c r="H1177">
        <v>108816</v>
      </c>
      <c r="I1177">
        <f t="shared" si="18"/>
        <v>108816</v>
      </c>
    </row>
    <row r="1178" spans="1:9" x14ac:dyDescent="0.3">
      <c r="A1178">
        <v>11177</v>
      </c>
      <c r="B1178" s="2">
        <v>45114</v>
      </c>
      <c r="C1178" t="s">
        <v>13</v>
      </c>
      <c r="D1178" t="s">
        <v>16</v>
      </c>
      <c r="E1178" t="s">
        <v>21</v>
      </c>
      <c r="F1178">
        <v>14</v>
      </c>
      <c r="G1178">
        <v>28592</v>
      </c>
      <c r="H1178">
        <v>400288</v>
      </c>
      <c r="I1178">
        <f t="shared" si="18"/>
        <v>400288</v>
      </c>
    </row>
    <row r="1179" spans="1:9" x14ac:dyDescent="0.3">
      <c r="A1179">
        <v>11178</v>
      </c>
      <c r="B1179" s="2">
        <v>45072</v>
      </c>
      <c r="C1179" t="s">
        <v>14</v>
      </c>
      <c r="D1179" t="s">
        <v>17</v>
      </c>
      <c r="E1179" t="s">
        <v>22</v>
      </c>
      <c r="F1179">
        <v>2</v>
      </c>
      <c r="G1179">
        <v>2902</v>
      </c>
      <c r="H1179">
        <v>5804</v>
      </c>
      <c r="I1179">
        <f t="shared" si="18"/>
        <v>5804</v>
      </c>
    </row>
    <row r="1180" spans="1:9" x14ac:dyDescent="0.3">
      <c r="A1180">
        <v>11179</v>
      </c>
      <c r="B1180" s="2">
        <v>45240</v>
      </c>
      <c r="C1180" t="s">
        <v>14</v>
      </c>
      <c r="D1180" t="s">
        <v>16</v>
      </c>
      <c r="E1180" t="s">
        <v>23</v>
      </c>
      <c r="F1180">
        <v>13</v>
      </c>
      <c r="G1180">
        <v>39871</v>
      </c>
      <c r="H1180">
        <v>518323</v>
      </c>
      <c r="I1180">
        <f t="shared" si="18"/>
        <v>518323</v>
      </c>
    </row>
    <row r="1181" spans="1:9" x14ac:dyDescent="0.3">
      <c r="A1181">
        <v>11180</v>
      </c>
      <c r="B1181" s="2">
        <v>45138</v>
      </c>
      <c r="C1181" t="s">
        <v>11</v>
      </c>
      <c r="D1181" t="s">
        <v>17</v>
      </c>
      <c r="E1181" t="s">
        <v>23</v>
      </c>
      <c r="F1181">
        <v>3</v>
      </c>
      <c r="G1181">
        <v>44728</v>
      </c>
      <c r="H1181">
        <v>134184</v>
      </c>
      <c r="I1181">
        <f t="shared" si="18"/>
        <v>134184</v>
      </c>
    </row>
    <row r="1182" spans="1:9" x14ac:dyDescent="0.3">
      <c r="A1182">
        <v>11181</v>
      </c>
      <c r="B1182" s="2">
        <v>44940</v>
      </c>
      <c r="C1182" t="s">
        <v>13</v>
      </c>
      <c r="D1182" t="s">
        <v>18</v>
      </c>
      <c r="E1182" t="s">
        <v>22</v>
      </c>
      <c r="F1182">
        <v>12</v>
      </c>
      <c r="G1182">
        <v>41271</v>
      </c>
      <c r="H1182">
        <v>495252</v>
      </c>
      <c r="I1182">
        <f t="shared" si="18"/>
        <v>495252</v>
      </c>
    </row>
    <row r="1183" spans="1:9" x14ac:dyDescent="0.3">
      <c r="A1183">
        <v>11182</v>
      </c>
      <c r="B1183" s="2">
        <v>45256</v>
      </c>
      <c r="C1183" t="s">
        <v>12</v>
      </c>
      <c r="D1183" t="s">
        <v>16</v>
      </c>
      <c r="E1183" t="s">
        <v>19</v>
      </c>
      <c r="F1183">
        <v>3</v>
      </c>
      <c r="G1183">
        <v>20609</v>
      </c>
      <c r="H1183">
        <v>61827</v>
      </c>
      <c r="I1183">
        <f t="shared" si="18"/>
        <v>61827</v>
      </c>
    </row>
    <row r="1184" spans="1:9" x14ac:dyDescent="0.3">
      <c r="A1184">
        <v>11183</v>
      </c>
      <c r="B1184" s="2">
        <v>45101</v>
      </c>
      <c r="C1184" t="s">
        <v>8</v>
      </c>
      <c r="D1184" t="s">
        <v>18</v>
      </c>
      <c r="E1184" t="s">
        <v>19</v>
      </c>
      <c r="F1184">
        <v>16</v>
      </c>
      <c r="G1184">
        <v>23384</v>
      </c>
      <c r="H1184">
        <v>374144</v>
      </c>
      <c r="I1184">
        <f t="shared" si="18"/>
        <v>374144</v>
      </c>
    </row>
    <row r="1185" spans="1:9" x14ac:dyDescent="0.3">
      <c r="A1185">
        <v>11184</v>
      </c>
      <c r="B1185" s="2">
        <v>45270</v>
      </c>
      <c r="C1185" t="s">
        <v>11</v>
      </c>
      <c r="D1185" t="s">
        <v>18</v>
      </c>
      <c r="E1185" t="s">
        <v>24</v>
      </c>
      <c r="F1185">
        <v>13</v>
      </c>
      <c r="G1185">
        <v>9720</v>
      </c>
      <c r="H1185">
        <v>126360</v>
      </c>
      <c r="I1185">
        <f t="shared" si="18"/>
        <v>126360</v>
      </c>
    </row>
    <row r="1186" spans="1:9" x14ac:dyDescent="0.3">
      <c r="A1186">
        <v>11185</v>
      </c>
      <c r="B1186" s="2">
        <v>45133</v>
      </c>
      <c r="C1186" t="s">
        <v>10</v>
      </c>
      <c r="D1186" t="s">
        <v>15</v>
      </c>
      <c r="E1186" t="s">
        <v>19</v>
      </c>
      <c r="F1186">
        <v>13</v>
      </c>
      <c r="G1186">
        <v>36747</v>
      </c>
      <c r="H1186">
        <v>477711</v>
      </c>
      <c r="I1186">
        <f t="shared" si="18"/>
        <v>477711</v>
      </c>
    </row>
    <row r="1187" spans="1:9" x14ac:dyDescent="0.3">
      <c r="A1187">
        <v>11186</v>
      </c>
      <c r="B1187" s="2">
        <v>45249</v>
      </c>
      <c r="C1187" t="s">
        <v>11</v>
      </c>
      <c r="D1187" t="s">
        <v>15</v>
      </c>
      <c r="E1187" t="s">
        <v>22</v>
      </c>
      <c r="F1187">
        <v>15</v>
      </c>
      <c r="G1187">
        <v>23463</v>
      </c>
      <c r="H1187">
        <v>351945</v>
      </c>
      <c r="I1187">
        <f t="shared" si="18"/>
        <v>351945</v>
      </c>
    </row>
    <row r="1188" spans="1:9" x14ac:dyDescent="0.3">
      <c r="A1188">
        <v>11187</v>
      </c>
      <c r="B1188" s="2">
        <v>44930</v>
      </c>
      <c r="C1188" t="s">
        <v>9</v>
      </c>
      <c r="D1188" t="s">
        <v>15</v>
      </c>
      <c r="E1188" t="s">
        <v>20</v>
      </c>
      <c r="F1188">
        <v>3</v>
      </c>
      <c r="G1188">
        <v>36525</v>
      </c>
      <c r="H1188">
        <v>109575</v>
      </c>
      <c r="I1188">
        <f t="shared" si="18"/>
        <v>109575</v>
      </c>
    </row>
    <row r="1189" spans="1:9" x14ac:dyDescent="0.3">
      <c r="A1189">
        <v>11188</v>
      </c>
      <c r="B1189" s="2">
        <v>45292</v>
      </c>
      <c r="C1189" t="s">
        <v>13</v>
      </c>
      <c r="D1189" t="s">
        <v>18</v>
      </c>
      <c r="E1189" t="s">
        <v>22</v>
      </c>
      <c r="F1189">
        <v>7</v>
      </c>
      <c r="G1189">
        <v>23941</v>
      </c>
      <c r="H1189">
        <v>167587</v>
      </c>
      <c r="I1189">
        <f t="shared" si="18"/>
        <v>167587</v>
      </c>
    </row>
    <row r="1190" spans="1:9" x14ac:dyDescent="0.3">
      <c r="A1190">
        <v>11189</v>
      </c>
      <c r="B1190" s="2">
        <v>44975</v>
      </c>
      <c r="C1190" t="s">
        <v>10</v>
      </c>
      <c r="D1190" t="s">
        <v>16</v>
      </c>
      <c r="E1190" t="s">
        <v>20</v>
      </c>
      <c r="F1190">
        <v>6</v>
      </c>
      <c r="G1190">
        <v>33304</v>
      </c>
      <c r="H1190">
        <v>199824</v>
      </c>
      <c r="I1190">
        <f t="shared" si="18"/>
        <v>199824</v>
      </c>
    </row>
    <row r="1191" spans="1:9" x14ac:dyDescent="0.3">
      <c r="A1191">
        <v>11190</v>
      </c>
      <c r="B1191" s="2">
        <v>44944</v>
      </c>
      <c r="C1191" t="s">
        <v>10</v>
      </c>
      <c r="D1191" t="s">
        <v>15</v>
      </c>
      <c r="E1191" t="s">
        <v>23</v>
      </c>
      <c r="F1191">
        <v>2</v>
      </c>
      <c r="G1191">
        <v>23303</v>
      </c>
      <c r="H1191">
        <v>46606</v>
      </c>
      <c r="I1191">
        <f t="shared" si="18"/>
        <v>46606</v>
      </c>
    </row>
    <row r="1192" spans="1:9" x14ac:dyDescent="0.3">
      <c r="A1192">
        <v>11191</v>
      </c>
      <c r="B1192" s="2">
        <v>45226</v>
      </c>
      <c r="C1192" t="s">
        <v>14</v>
      </c>
      <c r="D1192" t="s">
        <v>16</v>
      </c>
      <c r="E1192" t="s">
        <v>24</v>
      </c>
      <c r="F1192">
        <v>10</v>
      </c>
      <c r="G1192">
        <v>55784</v>
      </c>
      <c r="H1192">
        <v>557840</v>
      </c>
      <c r="I1192">
        <f t="shared" si="18"/>
        <v>557840</v>
      </c>
    </row>
    <row r="1193" spans="1:9" x14ac:dyDescent="0.3">
      <c r="A1193">
        <v>11192</v>
      </c>
      <c r="B1193" s="2">
        <v>45250</v>
      </c>
      <c r="C1193" t="s">
        <v>10</v>
      </c>
      <c r="D1193" t="s">
        <v>17</v>
      </c>
      <c r="E1193" t="s">
        <v>21</v>
      </c>
      <c r="F1193">
        <v>6</v>
      </c>
      <c r="G1193">
        <v>21534</v>
      </c>
      <c r="H1193">
        <v>129204</v>
      </c>
      <c r="I1193">
        <f t="shared" si="18"/>
        <v>129204</v>
      </c>
    </row>
    <row r="1194" spans="1:9" x14ac:dyDescent="0.3">
      <c r="A1194">
        <v>11193</v>
      </c>
      <c r="B1194" s="2">
        <v>45141</v>
      </c>
      <c r="C1194" t="s">
        <v>12</v>
      </c>
      <c r="D1194" t="s">
        <v>17</v>
      </c>
      <c r="E1194" t="s">
        <v>23</v>
      </c>
      <c r="F1194">
        <v>14</v>
      </c>
      <c r="G1194">
        <v>48521</v>
      </c>
      <c r="H1194">
        <v>679294</v>
      </c>
      <c r="I1194">
        <f t="shared" si="18"/>
        <v>679294</v>
      </c>
    </row>
    <row r="1195" spans="1:9" x14ac:dyDescent="0.3">
      <c r="A1195">
        <v>11194</v>
      </c>
      <c r="B1195" s="2">
        <v>45113</v>
      </c>
      <c r="C1195" t="s">
        <v>10</v>
      </c>
      <c r="D1195" t="s">
        <v>16</v>
      </c>
      <c r="E1195" t="s">
        <v>23</v>
      </c>
      <c r="F1195">
        <v>10</v>
      </c>
      <c r="G1195">
        <v>53827</v>
      </c>
      <c r="H1195">
        <v>538270</v>
      </c>
      <c r="I1195">
        <f t="shared" si="18"/>
        <v>538270</v>
      </c>
    </row>
    <row r="1196" spans="1:9" x14ac:dyDescent="0.3">
      <c r="A1196">
        <v>11195</v>
      </c>
      <c r="B1196" s="2">
        <v>44998</v>
      </c>
      <c r="C1196" t="s">
        <v>9</v>
      </c>
      <c r="D1196" t="s">
        <v>17</v>
      </c>
      <c r="E1196" t="s">
        <v>24</v>
      </c>
      <c r="F1196">
        <v>18</v>
      </c>
      <c r="G1196">
        <v>43858</v>
      </c>
      <c r="H1196">
        <v>789444</v>
      </c>
      <c r="I1196">
        <f t="shared" si="18"/>
        <v>789444</v>
      </c>
    </row>
    <row r="1197" spans="1:9" x14ac:dyDescent="0.3">
      <c r="A1197">
        <v>11196</v>
      </c>
      <c r="B1197" s="2">
        <v>45255</v>
      </c>
      <c r="C1197" t="s">
        <v>8</v>
      </c>
      <c r="D1197" t="s">
        <v>16</v>
      </c>
      <c r="E1197" t="s">
        <v>23</v>
      </c>
      <c r="F1197">
        <v>2</v>
      </c>
      <c r="G1197">
        <v>9805</v>
      </c>
      <c r="H1197">
        <v>19610</v>
      </c>
      <c r="I1197">
        <f t="shared" si="18"/>
        <v>19610</v>
      </c>
    </row>
    <row r="1198" spans="1:9" x14ac:dyDescent="0.3">
      <c r="A1198">
        <v>11197</v>
      </c>
      <c r="B1198" s="2">
        <v>45076</v>
      </c>
      <c r="C1198" t="s">
        <v>10</v>
      </c>
      <c r="D1198" t="s">
        <v>18</v>
      </c>
      <c r="E1198" t="s">
        <v>22</v>
      </c>
      <c r="F1198">
        <v>16</v>
      </c>
      <c r="G1198">
        <v>47319</v>
      </c>
      <c r="H1198">
        <v>757104</v>
      </c>
      <c r="I1198">
        <f t="shared" si="18"/>
        <v>757104</v>
      </c>
    </row>
    <row r="1199" spans="1:9" x14ac:dyDescent="0.3">
      <c r="A1199">
        <v>11198</v>
      </c>
      <c r="B1199" s="2">
        <v>45226</v>
      </c>
      <c r="C1199" t="s">
        <v>11</v>
      </c>
      <c r="D1199" t="s">
        <v>17</v>
      </c>
      <c r="E1199" t="s">
        <v>24</v>
      </c>
      <c r="F1199">
        <v>16</v>
      </c>
      <c r="G1199">
        <v>14855</v>
      </c>
      <c r="H1199">
        <v>237680</v>
      </c>
      <c r="I1199">
        <f t="shared" si="18"/>
        <v>237680</v>
      </c>
    </row>
    <row r="1200" spans="1:9" x14ac:dyDescent="0.3">
      <c r="A1200">
        <v>11199</v>
      </c>
      <c r="B1200" s="2">
        <v>45143</v>
      </c>
      <c r="C1200" t="s">
        <v>9</v>
      </c>
      <c r="D1200" t="s">
        <v>16</v>
      </c>
      <c r="E1200" t="s">
        <v>23</v>
      </c>
      <c r="F1200">
        <v>16</v>
      </c>
      <c r="G1200">
        <v>7793</v>
      </c>
      <c r="H1200">
        <v>124688</v>
      </c>
      <c r="I1200">
        <f t="shared" si="18"/>
        <v>124688</v>
      </c>
    </row>
    <row r="1201" spans="1:9" x14ac:dyDescent="0.3">
      <c r="A1201">
        <v>11200</v>
      </c>
      <c r="B1201" s="2">
        <v>45239</v>
      </c>
      <c r="C1201" t="s">
        <v>14</v>
      </c>
      <c r="D1201" t="s">
        <v>15</v>
      </c>
      <c r="E1201" t="s">
        <v>21</v>
      </c>
      <c r="F1201">
        <v>18</v>
      </c>
      <c r="G1201">
        <v>1519</v>
      </c>
      <c r="H1201">
        <v>27342</v>
      </c>
      <c r="I1201">
        <f t="shared" si="18"/>
        <v>27342</v>
      </c>
    </row>
    <row r="1202" spans="1:9" x14ac:dyDescent="0.3">
      <c r="A1202">
        <v>11201</v>
      </c>
      <c r="B1202" s="2">
        <v>45233</v>
      </c>
      <c r="C1202" t="s">
        <v>9</v>
      </c>
      <c r="D1202" t="s">
        <v>16</v>
      </c>
      <c r="E1202" t="s">
        <v>24</v>
      </c>
      <c r="F1202">
        <v>20</v>
      </c>
      <c r="G1202">
        <v>23099</v>
      </c>
      <c r="H1202">
        <v>461980</v>
      </c>
      <c r="I1202">
        <f t="shared" si="18"/>
        <v>461980</v>
      </c>
    </row>
    <row r="1203" spans="1:9" x14ac:dyDescent="0.3">
      <c r="A1203">
        <v>11202</v>
      </c>
      <c r="B1203" s="2">
        <v>44948</v>
      </c>
      <c r="C1203" t="s">
        <v>12</v>
      </c>
      <c r="D1203" t="s">
        <v>17</v>
      </c>
      <c r="E1203" t="s">
        <v>21</v>
      </c>
      <c r="F1203">
        <v>15</v>
      </c>
      <c r="G1203">
        <v>42697</v>
      </c>
      <c r="H1203">
        <v>640455</v>
      </c>
      <c r="I1203">
        <f t="shared" si="18"/>
        <v>640455</v>
      </c>
    </row>
    <row r="1204" spans="1:9" x14ac:dyDescent="0.3">
      <c r="A1204">
        <v>11203</v>
      </c>
      <c r="B1204" s="2">
        <v>45022</v>
      </c>
      <c r="C1204" t="s">
        <v>12</v>
      </c>
      <c r="D1204" t="s">
        <v>17</v>
      </c>
      <c r="E1204" t="s">
        <v>20</v>
      </c>
      <c r="F1204">
        <v>10</v>
      </c>
      <c r="G1204">
        <v>47567</v>
      </c>
      <c r="H1204">
        <v>475670</v>
      </c>
      <c r="I1204">
        <f t="shared" si="18"/>
        <v>475670</v>
      </c>
    </row>
    <row r="1205" spans="1:9" x14ac:dyDescent="0.3">
      <c r="A1205">
        <v>11204</v>
      </c>
      <c r="B1205" s="2">
        <v>44953</v>
      </c>
      <c r="C1205" t="s">
        <v>9</v>
      </c>
      <c r="D1205" t="s">
        <v>18</v>
      </c>
      <c r="E1205" t="s">
        <v>22</v>
      </c>
      <c r="F1205">
        <v>7</v>
      </c>
      <c r="G1205">
        <v>28156</v>
      </c>
      <c r="H1205">
        <v>197092</v>
      </c>
      <c r="I1205">
        <f t="shared" si="18"/>
        <v>197092</v>
      </c>
    </row>
    <row r="1206" spans="1:9" x14ac:dyDescent="0.3">
      <c r="A1206">
        <v>11205</v>
      </c>
      <c r="B1206" s="2">
        <v>45249</v>
      </c>
      <c r="C1206" t="s">
        <v>10</v>
      </c>
      <c r="D1206" t="s">
        <v>15</v>
      </c>
      <c r="E1206" t="s">
        <v>19</v>
      </c>
      <c r="F1206">
        <v>5</v>
      </c>
      <c r="G1206">
        <v>11900</v>
      </c>
      <c r="H1206">
        <v>59500</v>
      </c>
      <c r="I1206">
        <f t="shared" si="18"/>
        <v>59500</v>
      </c>
    </row>
    <row r="1207" spans="1:9" x14ac:dyDescent="0.3">
      <c r="A1207">
        <v>11206</v>
      </c>
      <c r="B1207" s="2">
        <v>45069</v>
      </c>
      <c r="C1207" t="s">
        <v>9</v>
      </c>
      <c r="D1207" t="s">
        <v>15</v>
      </c>
      <c r="E1207" t="s">
        <v>23</v>
      </c>
      <c r="F1207">
        <v>8</v>
      </c>
      <c r="G1207">
        <v>18669</v>
      </c>
      <c r="H1207">
        <v>149352</v>
      </c>
      <c r="I1207">
        <f t="shared" si="18"/>
        <v>149352</v>
      </c>
    </row>
    <row r="1208" spans="1:9" x14ac:dyDescent="0.3">
      <c r="A1208">
        <v>11207</v>
      </c>
      <c r="B1208" s="2">
        <v>45187</v>
      </c>
      <c r="C1208" t="s">
        <v>9</v>
      </c>
      <c r="D1208" t="s">
        <v>17</v>
      </c>
      <c r="E1208" t="s">
        <v>20</v>
      </c>
      <c r="F1208">
        <v>3</v>
      </c>
      <c r="G1208">
        <v>56968</v>
      </c>
      <c r="H1208">
        <v>170904</v>
      </c>
      <c r="I1208">
        <f t="shared" si="18"/>
        <v>170904</v>
      </c>
    </row>
    <row r="1209" spans="1:9" x14ac:dyDescent="0.3">
      <c r="A1209">
        <v>11208</v>
      </c>
      <c r="B1209" s="2">
        <v>45186</v>
      </c>
      <c r="C1209" t="s">
        <v>9</v>
      </c>
      <c r="D1209" t="s">
        <v>17</v>
      </c>
      <c r="E1209" t="s">
        <v>21</v>
      </c>
      <c r="F1209">
        <v>15</v>
      </c>
      <c r="G1209">
        <v>3205</v>
      </c>
      <c r="H1209">
        <v>48075</v>
      </c>
      <c r="I1209">
        <f t="shared" si="18"/>
        <v>48075</v>
      </c>
    </row>
    <row r="1210" spans="1:9" x14ac:dyDescent="0.3">
      <c r="A1210">
        <v>11209</v>
      </c>
      <c r="B1210" s="2">
        <v>44931</v>
      </c>
      <c r="C1210" t="s">
        <v>13</v>
      </c>
      <c r="D1210" t="s">
        <v>18</v>
      </c>
      <c r="E1210" t="s">
        <v>22</v>
      </c>
      <c r="F1210">
        <v>7</v>
      </c>
      <c r="G1210">
        <v>51816</v>
      </c>
      <c r="H1210">
        <v>362712</v>
      </c>
      <c r="I1210">
        <f t="shared" si="18"/>
        <v>362712</v>
      </c>
    </row>
    <row r="1211" spans="1:9" x14ac:dyDescent="0.3">
      <c r="A1211">
        <v>11210</v>
      </c>
      <c r="B1211" s="2">
        <v>45074</v>
      </c>
      <c r="C1211" t="s">
        <v>8</v>
      </c>
      <c r="D1211" t="s">
        <v>18</v>
      </c>
      <c r="E1211" t="s">
        <v>23</v>
      </c>
      <c r="F1211">
        <v>15</v>
      </c>
      <c r="G1211">
        <v>38282</v>
      </c>
      <c r="H1211">
        <v>574230</v>
      </c>
      <c r="I1211">
        <f t="shared" si="18"/>
        <v>574230</v>
      </c>
    </row>
    <row r="1212" spans="1:9" x14ac:dyDescent="0.3">
      <c r="A1212">
        <v>11211</v>
      </c>
      <c r="B1212" s="2">
        <v>45086</v>
      </c>
      <c r="C1212" t="s">
        <v>12</v>
      </c>
      <c r="D1212" t="s">
        <v>16</v>
      </c>
      <c r="E1212" t="s">
        <v>24</v>
      </c>
      <c r="F1212">
        <v>14</v>
      </c>
      <c r="G1212">
        <v>36308</v>
      </c>
      <c r="H1212">
        <v>508312</v>
      </c>
      <c r="I1212">
        <f t="shared" si="18"/>
        <v>508312</v>
      </c>
    </row>
    <row r="1213" spans="1:9" x14ac:dyDescent="0.3">
      <c r="A1213">
        <v>11212</v>
      </c>
      <c r="B1213" s="2">
        <v>45276</v>
      </c>
      <c r="C1213" t="s">
        <v>8</v>
      </c>
      <c r="D1213" t="s">
        <v>18</v>
      </c>
      <c r="E1213" t="s">
        <v>20</v>
      </c>
      <c r="F1213">
        <v>13</v>
      </c>
      <c r="G1213">
        <v>41064</v>
      </c>
      <c r="H1213">
        <v>533832</v>
      </c>
      <c r="I1213">
        <f t="shared" si="18"/>
        <v>533832</v>
      </c>
    </row>
    <row r="1214" spans="1:9" x14ac:dyDescent="0.3">
      <c r="A1214">
        <v>11213</v>
      </c>
      <c r="B1214" s="2">
        <v>45289</v>
      </c>
      <c r="C1214" t="s">
        <v>9</v>
      </c>
      <c r="D1214" t="s">
        <v>18</v>
      </c>
      <c r="E1214" t="s">
        <v>24</v>
      </c>
      <c r="F1214">
        <v>7</v>
      </c>
      <c r="G1214">
        <v>1644</v>
      </c>
      <c r="H1214">
        <v>11508</v>
      </c>
      <c r="I1214">
        <f t="shared" si="18"/>
        <v>11508</v>
      </c>
    </row>
    <row r="1215" spans="1:9" x14ac:dyDescent="0.3">
      <c r="A1215">
        <v>11214</v>
      </c>
      <c r="B1215" s="2">
        <v>45233</v>
      </c>
      <c r="C1215" t="s">
        <v>10</v>
      </c>
      <c r="D1215" t="s">
        <v>18</v>
      </c>
      <c r="E1215" t="s">
        <v>24</v>
      </c>
      <c r="F1215">
        <v>1</v>
      </c>
      <c r="G1215">
        <v>15527</v>
      </c>
      <c r="H1215">
        <v>15527</v>
      </c>
      <c r="I1215">
        <f t="shared" si="18"/>
        <v>15527</v>
      </c>
    </row>
    <row r="1216" spans="1:9" x14ac:dyDescent="0.3">
      <c r="A1216">
        <v>11215</v>
      </c>
      <c r="B1216" s="2">
        <v>44948</v>
      </c>
      <c r="C1216" t="s">
        <v>9</v>
      </c>
      <c r="D1216" t="s">
        <v>15</v>
      </c>
      <c r="E1216" t="s">
        <v>22</v>
      </c>
      <c r="F1216">
        <v>17</v>
      </c>
      <c r="G1216">
        <v>15760</v>
      </c>
      <c r="H1216">
        <v>267920</v>
      </c>
      <c r="I1216">
        <f t="shared" si="18"/>
        <v>267920</v>
      </c>
    </row>
    <row r="1217" spans="1:9" x14ac:dyDescent="0.3">
      <c r="A1217">
        <v>11216</v>
      </c>
      <c r="B1217" s="2">
        <v>44981</v>
      </c>
      <c r="C1217" t="s">
        <v>8</v>
      </c>
      <c r="D1217" t="s">
        <v>16</v>
      </c>
      <c r="E1217" t="s">
        <v>19</v>
      </c>
      <c r="F1217">
        <v>11</v>
      </c>
      <c r="G1217">
        <v>10325</v>
      </c>
      <c r="H1217">
        <v>113575</v>
      </c>
      <c r="I1217">
        <f t="shared" si="18"/>
        <v>113575</v>
      </c>
    </row>
    <row r="1218" spans="1:9" x14ac:dyDescent="0.3">
      <c r="A1218">
        <v>11217</v>
      </c>
      <c r="B1218" s="2">
        <v>45169</v>
      </c>
      <c r="C1218" t="s">
        <v>14</v>
      </c>
      <c r="D1218" t="s">
        <v>16</v>
      </c>
      <c r="E1218" t="s">
        <v>21</v>
      </c>
      <c r="F1218">
        <v>16</v>
      </c>
      <c r="G1218">
        <v>6686</v>
      </c>
      <c r="H1218">
        <v>106976</v>
      </c>
      <c r="I1218">
        <f t="shared" si="18"/>
        <v>106976</v>
      </c>
    </row>
    <row r="1219" spans="1:9" x14ac:dyDescent="0.3">
      <c r="A1219">
        <v>11218</v>
      </c>
      <c r="B1219" s="2">
        <v>45218</v>
      </c>
      <c r="C1219" t="s">
        <v>13</v>
      </c>
      <c r="D1219" t="s">
        <v>17</v>
      </c>
      <c r="E1219" t="s">
        <v>23</v>
      </c>
      <c r="F1219">
        <v>2</v>
      </c>
      <c r="G1219">
        <v>9351</v>
      </c>
      <c r="H1219">
        <v>18702</v>
      </c>
      <c r="I1219">
        <f t="shared" ref="I1219:I1282" si="19">G1219*F1219</f>
        <v>18702</v>
      </c>
    </row>
    <row r="1220" spans="1:9" x14ac:dyDescent="0.3">
      <c r="A1220">
        <v>11219</v>
      </c>
      <c r="B1220" s="2">
        <v>45245</v>
      </c>
      <c r="C1220" t="s">
        <v>8</v>
      </c>
      <c r="D1220" t="s">
        <v>17</v>
      </c>
      <c r="E1220" t="s">
        <v>21</v>
      </c>
      <c r="F1220">
        <v>3</v>
      </c>
      <c r="G1220">
        <v>45979</v>
      </c>
      <c r="H1220">
        <v>137937</v>
      </c>
      <c r="I1220">
        <f t="shared" si="19"/>
        <v>137937</v>
      </c>
    </row>
    <row r="1221" spans="1:9" x14ac:dyDescent="0.3">
      <c r="A1221">
        <v>11220</v>
      </c>
      <c r="B1221" s="2">
        <v>45272</v>
      </c>
      <c r="C1221" t="s">
        <v>13</v>
      </c>
      <c r="D1221" t="s">
        <v>18</v>
      </c>
      <c r="E1221" t="s">
        <v>21</v>
      </c>
      <c r="F1221">
        <v>10</v>
      </c>
      <c r="G1221">
        <v>1146</v>
      </c>
      <c r="H1221">
        <v>11460</v>
      </c>
      <c r="I1221">
        <f t="shared" si="19"/>
        <v>11460</v>
      </c>
    </row>
    <row r="1222" spans="1:9" x14ac:dyDescent="0.3">
      <c r="A1222">
        <v>11221</v>
      </c>
      <c r="B1222" s="2">
        <v>45132</v>
      </c>
      <c r="C1222" t="s">
        <v>9</v>
      </c>
      <c r="D1222" t="s">
        <v>18</v>
      </c>
      <c r="E1222" t="s">
        <v>22</v>
      </c>
      <c r="F1222">
        <v>9</v>
      </c>
      <c r="G1222">
        <v>22268</v>
      </c>
      <c r="H1222">
        <v>200412</v>
      </c>
      <c r="I1222">
        <f t="shared" si="19"/>
        <v>200412</v>
      </c>
    </row>
    <row r="1223" spans="1:9" x14ac:dyDescent="0.3">
      <c r="A1223">
        <v>11222</v>
      </c>
      <c r="B1223" s="2">
        <v>45272</v>
      </c>
      <c r="C1223" t="s">
        <v>10</v>
      </c>
      <c r="D1223" t="s">
        <v>15</v>
      </c>
      <c r="E1223" t="s">
        <v>23</v>
      </c>
      <c r="F1223">
        <v>1</v>
      </c>
      <c r="G1223">
        <v>29898</v>
      </c>
      <c r="H1223">
        <v>29898</v>
      </c>
      <c r="I1223">
        <f t="shared" si="19"/>
        <v>29898</v>
      </c>
    </row>
    <row r="1224" spans="1:9" x14ac:dyDescent="0.3">
      <c r="A1224">
        <v>11223</v>
      </c>
      <c r="B1224" s="2">
        <v>45065</v>
      </c>
      <c r="C1224" t="s">
        <v>10</v>
      </c>
      <c r="D1224" t="s">
        <v>18</v>
      </c>
      <c r="E1224" t="s">
        <v>19</v>
      </c>
      <c r="F1224">
        <v>8</v>
      </c>
      <c r="G1224">
        <v>7848</v>
      </c>
      <c r="H1224">
        <v>62784</v>
      </c>
      <c r="I1224">
        <f t="shared" si="19"/>
        <v>62784</v>
      </c>
    </row>
    <row r="1225" spans="1:9" x14ac:dyDescent="0.3">
      <c r="A1225">
        <v>11224</v>
      </c>
      <c r="B1225" s="2">
        <v>45021</v>
      </c>
      <c r="C1225" t="s">
        <v>12</v>
      </c>
      <c r="D1225" t="s">
        <v>16</v>
      </c>
      <c r="E1225" t="s">
        <v>21</v>
      </c>
      <c r="F1225">
        <v>19</v>
      </c>
      <c r="G1225">
        <v>56981</v>
      </c>
      <c r="H1225">
        <v>1082639</v>
      </c>
      <c r="I1225">
        <f t="shared" si="19"/>
        <v>1082639</v>
      </c>
    </row>
    <row r="1226" spans="1:9" x14ac:dyDescent="0.3">
      <c r="A1226">
        <v>11225</v>
      </c>
      <c r="B1226" s="2">
        <v>45184</v>
      </c>
      <c r="C1226" t="s">
        <v>11</v>
      </c>
      <c r="D1226" t="s">
        <v>17</v>
      </c>
      <c r="E1226" t="s">
        <v>24</v>
      </c>
      <c r="F1226">
        <v>3</v>
      </c>
      <c r="G1226">
        <v>43691</v>
      </c>
      <c r="H1226">
        <v>131073</v>
      </c>
      <c r="I1226">
        <f t="shared" si="19"/>
        <v>131073</v>
      </c>
    </row>
    <row r="1227" spans="1:9" x14ac:dyDescent="0.3">
      <c r="A1227">
        <v>11226</v>
      </c>
      <c r="B1227" s="2">
        <v>44927</v>
      </c>
      <c r="C1227" t="s">
        <v>9</v>
      </c>
      <c r="D1227" t="s">
        <v>16</v>
      </c>
      <c r="E1227" t="s">
        <v>19</v>
      </c>
      <c r="F1227">
        <v>15</v>
      </c>
      <c r="G1227">
        <v>14332</v>
      </c>
      <c r="H1227">
        <v>214980</v>
      </c>
      <c r="I1227">
        <f t="shared" si="19"/>
        <v>214980</v>
      </c>
    </row>
    <row r="1228" spans="1:9" x14ac:dyDescent="0.3">
      <c r="A1228">
        <v>11227</v>
      </c>
      <c r="B1228" s="2">
        <v>45012</v>
      </c>
      <c r="C1228" t="s">
        <v>11</v>
      </c>
      <c r="D1228" t="s">
        <v>15</v>
      </c>
      <c r="E1228" t="s">
        <v>23</v>
      </c>
      <c r="F1228">
        <v>16</v>
      </c>
      <c r="G1228">
        <v>55593</v>
      </c>
      <c r="H1228">
        <v>889488</v>
      </c>
      <c r="I1228">
        <f t="shared" si="19"/>
        <v>889488</v>
      </c>
    </row>
    <row r="1229" spans="1:9" x14ac:dyDescent="0.3">
      <c r="A1229">
        <v>11228</v>
      </c>
      <c r="B1229" s="2">
        <v>45273</v>
      </c>
      <c r="C1229" t="s">
        <v>9</v>
      </c>
      <c r="D1229" t="s">
        <v>18</v>
      </c>
      <c r="E1229" t="s">
        <v>22</v>
      </c>
      <c r="F1229">
        <v>16</v>
      </c>
      <c r="G1229">
        <v>16417</v>
      </c>
      <c r="H1229">
        <v>262672</v>
      </c>
      <c r="I1229">
        <f t="shared" si="19"/>
        <v>262672</v>
      </c>
    </row>
    <row r="1230" spans="1:9" x14ac:dyDescent="0.3">
      <c r="A1230">
        <v>11229</v>
      </c>
      <c r="B1230" s="2">
        <v>45010</v>
      </c>
      <c r="C1230" t="s">
        <v>9</v>
      </c>
      <c r="D1230" t="s">
        <v>15</v>
      </c>
      <c r="E1230" t="s">
        <v>19</v>
      </c>
      <c r="F1230">
        <v>6</v>
      </c>
      <c r="G1230">
        <v>54846</v>
      </c>
      <c r="H1230">
        <v>329076</v>
      </c>
      <c r="I1230">
        <f t="shared" si="19"/>
        <v>329076</v>
      </c>
    </row>
    <row r="1231" spans="1:9" x14ac:dyDescent="0.3">
      <c r="A1231">
        <v>11230</v>
      </c>
      <c r="B1231" s="2">
        <v>44985</v>
      </c>
      <c r="C1231" t="s">
        <v>14</v>
      </c>
      <c r="D1231" t="s">
        <v>15</v>
      </c>
      <c r="E1231" t="s">
        <v>24</v>
      </c>
      <c r="F1231">
        <v>8</v>
      </c>
      <c r="G1231">
        <v>18683</v>
      </c>
      <c r="H1231">
        <v>149464</v>
      </c>
      <c r="I1231">
        <f t="shared" si="19"/>
        <v>149464</v>
      </c>
    </row>
    <row r="1232" spans="1:9" x14ac:dyDescent="0.3">
      <c r="A1232">
        <v>11231</v>
      </c>
      <c r="B1232" s="2">
        <v>44927</v>
      </c>
      <c r="C1232" t="s">
        <v>9</v>
      </c>
      <c r="D1232" t="s">
        <v>15</v>
      </c>
      <c r="E1232" t="s">
        <v>22</v>
      </c>
      <c r="F1232">
        <v>14</v>
      </c>
      <c r="G1232">
        <v>37672</v>
      </c>
      <c r="H1232">
        <v>527408</v>
      </c>
      <c r="I1232">
        <f t="shared" si="19"/>
        <v>527408</v>
      </c>
    </row>
    <row r="1233" spans="1:9" x14ac:dyDescent="0.3">
      <c r="A1233">
        <v>11232</v>
      </c>
      <c r="B1233" s="2">
        <v>45028</v>
      </c>
      <c r="C1233" t="s">
        <v>14</v>
      </c>
      <c r="D1233" t="s">
        <v>16</v>
      </c>
      <c r="E1233" t="s">
        <v>19</v>
      </c>
      <c r="F1233">
        <v>18</v>
      </c>
      <c r="G1233">
        <v>37946</v>
      </c>
      <c r="H1233">
        <v>683028</v>
      </c>
      <c r="I1233">
        <f t="shared" si="19"/>
        <v>683028</v>
      </c>
    </row>
    <row r="1234" spans="1:9" x14ac:dyDescent="0.3">
      <c r="A1234">
        <v>11233</v>
      </c>
      <c r="B1234" s="2">
        <v>45203</v>
      </c>
      <c r="C1234" t="s">
        <v>11</v>
      </c>
      <c r="D1234" t="s">
        <v>18</v>
      </c>
      <c r="E1234" t="s">
        <v>23</v>
      </c>
      <c r="F1234">
        <v>11</v>
      </c>
      <c r="G1234">
        <v>41411</v>
      </c>
      <c r="H1234">
        <v>455521</v>
      </c>
      <c r="I1234">
        <f t="shared" si="19"/>
        <v>455521</v>
      </c>
    </row>
    <row r="1235" spans="1:9" x14ac:dyDescent="0.3">
      <c r="A1235">
        <v>11234</v>
      </c>
      <c r="B1235" s="2">
        <v>45168</v>
      </c>
      <c r="C1235" t="s">
        <v>8</v>
      </c>
      <c r="D1235" t="s">
        <v>16</v>
      </c>
      <c r="E1235" t="s">
        <v>21</v>
      </c>
      <c r="F1235">
        <v>1</v>
      </c>
      <c r="G1235">
        <v>36003</v>
      </c>
      <c r="H1235">
        <v>36003</v>
      </c>
      <c r="I1235">
        <f t="shared" si="19"/>
        <v>36003</v>
      </c>
    </row>
    <row r="1236" spans="1:9" x14ac:dyDescent="0.3">
      <c r="A1236">
        <v>11235</v>
      </c>
      <c r="B1236" s="2">
        <v>45229</v>
      </c>
      <c r="C1236" t="s">
        <v>14</v>
      </c>
      <c r="D1236" t="s">
        <v>18</v>
      </c>
      <c r="E1236" t="s">
        <v>22</v>
      </c>
      <c r="F1236">
        <v>11</v>
      </c>
      <c r="G1236">
        <v>38602</v>
      </c>
      <c r="H1236">
        <v>424622</v>
      </c>
      <c r="I1236">
        <f t="shared" si="19"/>
        <v>424622</v>
      </c>
    </row>
    <row r="1237" spans="1:9" x14ac:dyDescent="0.3">
      <c r="A1237">
        <v>11236</v>
      </c>
      <c r="B1237" s="2">
        <v>45166</v>
      </c>
      <c r="C1237" t="s">
        <v>13</v>
      </c>
      <c r="D1237" t="s">
        <v>18</v>
      </c>
      <c r="E1237" t="s">
        <v>19</v>
      </c>
      <c r="F1237">
        <v>14</v>
      </c>
      <c r="G1237">
        <v>46244</v>
      </c>
      <c r="H1237">
        <v>647416</v>
      </c>
      <c r="I1237">
        <f t="shared" si="19"/>
        <v>647416</v>
      </c>
    </row>
    <row r="1238" spans="1:9" x14ac:dyDescent="0.3">
      <c r="A1238">
        <v>11237</v>
      </c>
      <c r="B1238" s="2">
        <v>45287</v>
      </c>
      <c r="C1238" t="s">
        <v>8</v>
      </c>
      <c r="D1238" t="s">
        <v>15</v>
      </c>
      <c r="E1238" t="s">
        <v>19</v>
      </c>
      <c r="F1238">
        <v>4</v>
      </c>
      <c r="G1238">
        <v>13326</v>
      </c>
      <c r="H1238">
        <v>53304</v>
      </c>
      <c r="I1238">
        <f t="shared" si="19"/>
        <v>53304</v>
      </c>
    </row>
    <row r="1239" spans="1:9" x14ac:dyDescent="0.3">
      <c r="A1239">
        <v>11238</v>
      </c>
      <c r="B1239" s="2">
        <v>44961</v>
      </c>
      <c r="C1239" t="s">
        <v>11</v>
      </c>
      <c r="D1239" t="s">
        <v>15</v>
      </c>
      <c r="E1239" t="s">
        <v>21</v>
      </c>
      <c r="F1239">
        <v>12</v>
      </c>
      <c r="G1239">
        <v>40608</v>
      </c>
      <c r="H1239">
        <v>487296</v>
      </c>
      <c r="I1239">
        <f t="shared" si="19"/>
        <v>487296</v>
      </c>
    </row>
    <row r="1240" spans="1:9" x14ac:dyDescent="0.3">
      <c r="A1240">
        <v>11239</v>
      </c>
      <c r="B1240" s="2">
        <v>45098</v>
      </c>
      <c r="C1240" t="s">
        <v>10</v>
      </c>
      <c r="D1240" t="s">
        <v>15</v>
      </c>
      <c r="E1240" t="s">
        <v>20</v>
      </c>
      <c r="F1240">
        <v>18</v>
      </c>
      <c r="G1240">
        <v>54094</v>
      </c>
      <c r="H1240">
        <v>973692</v>
      </c>
      <c r="I1240">
        <f t="shared" si="19"/>
        <v>973692</v>
      </c>
    </row>
    <row r="1241" spans="1:9" x14ac:dyDescent="0.3">
      <c r="A1241">
        <v>11240</v>
      </c>
      <c r="B1241" s="2">
        <v>45210</v>
      </c>
      <c r="C1241" t="s">
        <v>8</v>
      </c>
      <c r="D1241" t="s">
        <v>16</v>
      </c>
      <c r="E1241" t="s">
        <v>23</v>
      </c>
      <c r="F1241">
        <v>9</v>
      </c>
      <c r="G1241">
        <v>52599</v>
      </c>
      <c r="H1241">
        <v>473391</v>
      </c>
      <c r="I1241">
        <f t="shared" si="19"/>
        <v>473391</v>
      </c>
    </row>
    <row r="1242" spans="1:9" x14ac:dyDescent="0.3">
      <c r="A1242">
        <v>11241</v>
      </c>
      <c r="B1242" s="2">
        <v>45181</v>
      </c>
      <c r="C1242" t="s">
        <v>10</v>
      </c>
      <c r="D1242" t="s">
        <v>18</v>
      </c>
      <c r="E1242" t="s">
        <v>19</v>
      </c>
      <c r="F1242">
        <v>13</v>
      </c>
      <c r="G1242">
        <v>9653</v>
      </c>
      <c r="H1242">
        <v>125489</v>
      </c>
      <c r="I1242">
        <f t="shared" si="19"/>
        <v>125489</v>
      </c>
    </row>
    <row r="1243" spans="1:9" x14ac:dyDescent="0.3">
      <c r="A1243">
        <v>11242</v>
      </c>
      <c r="B1243" s="2">
        <v>45082</v>
      </c>
      <c r="C1243" t="s">
        <v>11</v>
      </c>
      <c r="D1243" t="s">
        <v>18</v>
      </c>
      <c r="E1243" t="s">
        <v>22</v>
      </c>
      <c r="F1243">
        <v>7</v>
      </c>
      <c r="G1243">
        <v>4822</v>
      </c>
      <c r="H1243">
        <v>33754</v>
      </c>
      <c r="I1243">
        <f t="shared" si="19"/>
        <v>33754</v>
      </c>
    </row>
    <row r="1244" spans="1:9" x14ac:dyDescent="0.3">
      <c r="A1244">
        <v>11243</v>
      </c>
      <c r="B1244" s="2">
        <v>45184</v>
      </c>
      <c r="C1244" t="s">
        <v>13</v>
      </c>
      <c r="D1244" t="s">
        <v>18</v>
      </c>
      <c r="E1244" t="s">
        <v>20</v>
      </c>
      <c r="F1244">
        <v>17</v>
      </c>
      <c r="G1244">
        <v>54748</v>
      </c>
      <c r="H1244">
        <v>930716</v>
      </c>
      <c r="I1244">
        <f t="shared" si="19"/>
        <v>930716</v>
      </c>
    </row>
    <row r="1245" spans="1:9" x14ac:dyDescent="0.3">
      <c r="A1245">
        <v>11244</v>
      </c>
      <c r="B1245" s="2">
        <v>45042</v>
      </c>
      <c r="C1245" t="s">
        <v>11</v>
      </c>
      <c r="D1245" t="s">
        <v>15</v>
      </c>
      <c r="E1245" t="s">
        <v>20</v>
      </c>
      <c r="F1245">
        <v>9</v>
      </c>
      <c r="G1245">
        <v>30799</v>
      </c>
      <c r="H1245">
        <v>277191</v>
      </c>
      <c r="I1245">
        <f t="shared" si="19"/>
        <v>277191</v>
      </c>
    </row>
    <row r="1246" spans="1:9" x14ac:dyDescent="0.3">
      <c r="A1246">
        <v>11245</v>
      </c>
      <c r="B1246" s="2">
        <v>45022</v>
      </c>
      <c r="C1246" t="s">
        <v>11</v>
      </c>
      <c r="D1246" t="s">
        <v>16</v>
      </c>
      <c r="E1246" t="s">
        <v>23</v>
      </c>
      <c r="F1246">
        <v>13</v>
      </c>
      <c r="G1246">
        <v>36214</v>
      </c>
      <c r="H1246">
        <v>470782</v>
      </c>
      <c r="I1246">
        <f t="shared" si="19"/>
        <v>470782</v>
      </c>
    </row>
    <row r="1247" spans="1:9" x14ac:dyDescent="0.3">
      <c r="A1247">
        <v>11246</v>
      </c>
      <c r="B1247" s="2">
        <v>45124</v>
      </c>
      <c r="C1247" t="s">
        <v>11</v>
      </c>
      <c r="D1247" t="s">
        <v>16</v>
      </c>
      <c r="E1247" t="s">
        <v>21</v>
      </c>
      <c r="F1247">
        <v>16</v>
      </c>
      <c r="G1247">
        <v>4148</v>
      </c>
      <c r="H1247">
        <v>66368</v>
      </c>
      <c r="I1247">
        <f t="shared" si="19"/>
        <v>66368</v>
      </c>
    </row>
    <row r="1248" spans="1:9" x14ac:dyDescent="0.3">
      <c r="A1248">
        <v>11247</v>
      </c>
      <c r="B1248" s="2">
        <v>44988</v>
      </c>
      <c r="C1248" t="s">
        <v>14</v>
      </c>
      <c r="D1248" t="s">
        <v>16</v>
      </c>
      <c r="E1248" t="s">
        <v>19</v>
      </c>
      <c r="F1248">
        <v>19</v>
      </c>
      <c r="G1248">
        <v>59089</v>
      </c>
      <c r="H1248">
        <v>1122691</v>
      </c>
      <c r="I1248">
        <f t="shared" si="19"/>
        <v>1122691</v>
      </c>
    </row>
    <row r="1249" spans="1:9" x14ac:dyDescent="0.3">
      <c r="A1249">
        <v>11248</v>
      </c>
      <c r="B1249" s="2">
        <v>45068</v>
      </c>
      <c r="C1249" t="s">
        <v>14</v>
      </c>
      <c r="D1249" t="s">
        <v>17</v>
      </c>
      <c r="E1249" t="s">
        <v>19</v>
      </c>
      <c r="F1249">
        <v>15</v>
      </c>
      <c r="G1249">
        <v>55329</v>
      </c>
      <c r="H1249">
        <v>829935</v>
      </c>
      <c r="I1249">
        <f t="shared" si="19"/>
        <v>829935</v>
      </c>
    </row>
    <row r="1250" spans="1:9" x14ac:dyDescent="0.3">
      <c r="A1250">
        <v>11249</v>
      </c>
      <c r="B1250" s="2">
        <v>45084</v>
      </c>
      <c r="C1250" t="s">
        <v>9</v>
      </c>
      <c r="D1250" t="s">
        <v>16</v>
      </c>
      <c r="E1250" t="s">
        <v>23</v>
      </c>
      <c r="F1250">
        <v>11</v>
      </c>
      <c r="G1250">
        <v>5834</v>
      </c>
      <c r="H1250">
        <v>64174</v>
      </c>
      <c r="I1250">
        <f t="shared" si="19"/>
        <v>64174</v>
      </c>
    </row>
    <row r="1251" spans="1:9" x14ac:dyDescent="0.3">
      <c r="A1251">
        <v>11250</v>
      </c>
      <c r="B1251" s="2">
        <v>45005</v>
      </c>
      <c r="C1251" t="s">
        <v>8</v>
      </c>
      <c r="D1251" t="s">
        <v>17</v>
      </c>
      <c r="E1251" t="s">
        <v>24</v>
      </c>
      <c r="F1251">
        <v>4</v>
      </c>
      <c r="G1251">
        <v>24092</v>
      </c>
      <c r="H1251">
        <v>96368</v>
      </c>
      <c r="I1251">
        <f t="shared" si="19"/>
        <v>96368</v>
      </c>
    </row>
    <row r="1252" spans="1:9" x14ac:dyDescent="0.3">
      <c r="A1252">
        <v>11251</v>
      </c>
      <c r="B1252" s="2">
        <v>45125</v>
      </c>
      <c r="C1252" t="s">
        <v>8</v>
      </c>
      <c r="D1252" t="s">
        <v>16</v>
      </c>
      <c r="E1252" t="s">
        <v>21</v>
      </c>
      <c r="F1252">
        <v>18</v>
      </c>
      <c r="G1252">
        <v>40080</v>
      </c>
      <c r="H1252">
        <v>721440</v>
      </c>
      <c r="I1252">
        <f t="shared" si="19"/>
        <v>721440</v>
      </c>
    </row>
    <row r="1253" spans="1:9" x14ac:dyDescent="0.3">
      <c r="A1253">
        <v>11252</v>
      </c>
      <c r="B1253" s="2">
        <v>45212</v>
      </c>
      <c r="C1253" t="s">
        <v>11</v>
      </c>
      <c r="D1253" t="s">
        <v>18</v>
      </c>
      <c r="E1253" t="s">
        <v>23</v>
      </c>
      <c r="F1253">
        <v>9</v>
      </c>
      <c r="G1253">
        <v>16280</v>
      </c>
      <c r="H1253">
        <v>146520</v>
      </c>
      <c r="I1253">
        <f t="shared" si="19"/>
        <v>146520</v>
      </c>
    </row>
    <row r="1254" spans="1:9" x14ac:dyDescent="0.3">
      <c r="A1254">
        <v>11253</v>
      </c>
      <c r="B1254" s="2">
        <v>45073</v>
      </c>
      <c r="C1254" t="s">
        <v>9</v>
      </c>
      <c r="D1254" t="s">
        <v>18</v>
      </c>
      <c r="E1254" t="s">
        <v>21</v>
      </c>
      <c r="F1254">
        <v>19</v>
      </c>
      <c r="G1254">
        <v>21284</v>
      </c>
      <c r="H1254">
        <v>404396</v>
      </c>
      <c r="I1254">
        <f t="shared" si="19"/>
        <v>404396</v>
      </c>
    </row>
    <row r="1255" spans="1:9" x14ac:dyDescent="0.3">
      <c r="A1255">
        <v>11254</v>
      </c>
      <c r="B1255" s="2">
        <v>44999</v>
      </c>
      <c r="C1255" t="s">
        <v>10</v>
      </c>
      <c r="D1255" t="s">
        <v>15</v>
      </c>
      <c r="E1255" t="s">
        <v>22</v>
      </c>
      <c r="F1255">
        <v>10</v>
      </c>
      <c r="G1255">
        <v>13966</v>
      </c>
      <c r="H1255">
        <v>139660</v>
      </c>
      <c r="I1255">
        <f t="shared" si="19"/>
        <v>139660</v>
      </c>
    </row>
    <row r="1256" spans="1:9" x14ac:dyDescent="0.3">
      <c r="A1256">
        <v>11255</v>
      </c>
      <c r="B1256" s="2">
        <v>45018</v>
      </c>
      <c r="C1256" t="s">
        <v>13</v>
      </c>
      <c r="D1256" t="s">
        <v>16</v>
      </c>
      <c r="E1256" t="s">
        <v>19</v>
      </c>
      <c r="F1256">
        <v>10</v>
      </c>
      <c r="G1256">
        <v>18300</v>
      </c>
      <c r="H1256">
        <v>183000</v>
      </c>
      <c r="I1256">
        <f t="shared" si="19"/>
        <v>183000</v>
      </c>
    </row>
    <row r="1257" spans="1:9" x14ac:dyDescent="0.3">
      <c r="A1257">
        <v>11256</v>
      </c>
      <c r="B1257" s="2">
        <v>45047</v>
      </c>
      <c r="C1257" t="s">
        <v>10</v>
      </c>
      <c r="D1257" t="s">
        <v>16</v>
      </c>
      <c r="E1257" t="s">
        <v>20</v>
      </c>
      <c r="F1257">
        <v>1</v>
      </c>
      <c r="G1257">
        <v>9464</v>
      </c>
      <c r="H1257">
        <v>9464</v>
      </c>
      <c r="I1257">
        <f t="shared" si="19"/>
        <v>9464</v>
      </c>
    </row>
    <row r="1258" spans="1:9" x14ac:dyDescent="0.3">
      <c r="A1258">
        <v>11257</v>
      </c>
      <c r="B1258" s="2">
        <v>45284</v>
      </c>
      <c r="C1258" t="s">
        <v>11</v>
      </c>
      <c r="D1258" t="s">
        <v>17</v>
      </c>
      <c r="E1258" t="s">
        <v>22</v>
      </c>
      <c r="F1258">
        <v>19</v>
      </c>
      <c r="G1258">
        <v>35197</v>
      </c>
      <c r="H1258">
        <v>668743</v>
      </c>
      <c r="I1258">
        <f t="shared" si="19"/>
        <v>668743</v>
      </c>
    </row>
    <row r="1259" spans="1:9" x14ac:dyDescent="0.3">
      <c r="A1259">
        <v>11258</v>
      </c>
      <c r="B1259" s="2">
        <v>45159</v>
      </c>
      <c r="C1259" t="s">
        <v>12</v>
      </c>
      <c r="D1259" t="s">
        <v>17</v>
      </c>
      <c r="E1259" t="s">
        <v>22</v>
      </c>
      <c r="F1259">
        <v>12</v>
      </c>
      <c r="G1259">
        <v>1966</v>
      </c>
      <c r="H1259">
        <v>23592</v>
      </c>
      <c r="I1259">
        <f t="shared" si="19"/>
        <v>23592</v>
      </c>
    </row>
    <row r="1260" spans="1:9" x14ac:dyDescent="0.3">
      <c r="A1260">
        <v>11259</v>
      </c>
      <c r="B1260" s="2">
        <v>44944</v>
      </c>
      <c r="C1260" t="s">
        <v>13</v>
      </c>
      <c r="D1260" t="s">
        <v>15</v>
      </c>
      <c r="E1260" t="s">
        <v>19</v>
      </c>
      <c r="F1260">
        <v>12</v>
      </c>
      <c r="G1260">
        <v>28028</v>
      </c>
      <c r="H1260">
        <v>336336</v>
      </c>
      <c r="I1260">
        <f t="shared" si="19"/>
        <v>336336</v>
      </c>
    </row>
    <row r="1261" spans="1:9" x14ac:dyDescent="0.3">
      <c r="A1261">
        <v>11260</v>
      </c>
      <c r="B1261" s="2">
        <v>45080</v>
      </c>
      <c r="C1261" t="s">
        <v>12</v>
      </c>
      <c r="D1261" t="s">
        <v>16</v>
      </c>
      <c r="E1261" t="s">
        <v>21</v>
      </c>
      <c r="F1261">
        <v>19</v>
      </c>
      <c r="G1261">
        <v>33577</v>
      </c>
      <c r="H1261">
        <v>637963</v>
      </c>
      <c r="I1261">
        <f t="shared" si="19"/>
        <v>637963</v>
      </c>
    </row>
    <row r="1262" spans="1:9" x14ac:dyDescent="0.3">
      <c r="A1262">
        <v>11261</v>
      </c>
      <c r="B1262" s="2">
        <v>45081</v>
      </c>
      <c r="C1262" t="s">
        <v>14</v>
      </c>
      <c r="D1262" t="s">
        <v>18</v>
      </c>
      <c r="E1262" t="s">
        <v>19</v>
      </c>
      <c r="F1262">
        <v>13</v>
      </c>
      <c r="G1262">
        <v>34095</v>
      </c>
      <c r="H1262">
        <v>443235</v>
      </c>
      <c r="I1262">
        <f t="shared" si="19"/>
        <v>443235</v>
      </c>
    </row>
    <row r="1263" spans="1:9" x14ac:dyDescent="0.3">
      <c r="A1263">
        <v>11262</v>
      </c>
      <c r="B1263" s="2">
        <v>44977</v>
      </c>
      <c r="C1263" t="s">
        <v>10</v>
      </c>
      <c r="D1263" t="s">
        <v>18</v>
      </c>
      <c r="E1263" t="s">
        <v>19</v>
      </c>
      <c r="F1263">
        <v>9</v>
      </c>
      <c r="G1263">
        <v>7108</v>
      </c>
      <c r="H1263">
        <v>63972</v>
      </c>
      <c r="I1263">
        <f t="shared" si="19"/>
        <v>63972</v>
      </c>
    </row>
    <row r="1264" spans="1:9" x14ac:dyDescent="0.3">
      <c r="A1264">
        <v>11263</v>
      </c>
      <c r="B1264" s="2">
        <v>45232</v>
      </c>
      <c r="C1264" t="s">
        <v>10</v>
      </c>
      <c r="D1264" t="s">
        <v>15</v>
      </c>
      <c r="E1264" t="s">
        <v>19</v>
      </c>
      <c r="F1264">
        <v>20</v>
      </c>
      <c r="G1264">
        <v>24548</v>
      </c>
      <c r="H1264">
        <v>490960</v>
      </c>
      <c r="I1264">
        <f t="shared" si="19"/>
        <v>490960</v>
      </c>
    </row>
    <row r="1265" spans="1:9" x14ac:dyDescent="0.3">
      <c r="A1265">
        <v>11264</v>
      </c>
      <c r="B1265" s="2">
        <v>45266</v>
      </c>
      <c r="C1265" t="s">
        <v>8</v>
      </c>
      <c r="D1265" t="s">
        <v>15</v>
      </c>
      <c r="E1265" t="s">
        <v>22</v>
      </c>
      <c r="F1265">
        <v>7</v>
      </c>
      <c r="G1265">
        <v>39427</v>
      </c>
      <c r="H1265">
        <v>275989</v>
      </c>
      <c r="I1265">
        <f t="shared" si="19"/>
        <v>275989</v>
      </c>
    </row>
    <row r="1266" spans="1:9" x14ac:dyDescent="0.3">
      <c r="A1266">
        <v>11265</v>
      </c>
      <c r="B1266" s="2">
        <v>45050</v>
      </c>
      <c r="C1266" t="s">
        <v>12</v>
      </c>
      <c r="D1266" t="s">
        <v>15</v>
      </c>
      <c r="E1266" t="s">
        <v>22</v>
      </c>
      <c r="F1266">
        <v>10</v>
      </c>
      <c r="G1266">
        <v>24685</v>
      </c>
      <c r="H1266">
        <v>246850</v>
      </c>
      <c r="I1266">
        <f t="shared" si="19"/>
        <v>246850</v>
      </c>
    </row>
    <row r="1267" spans="1:9" x14ac:dyDescent="0.3">
      <c r="A1267">
        <v>11266</v>
      </c>
      <c r="B1267" s="2">
        <v>45209</v>
      </c>
      <c r="C1267" t="s">
        <v>14</v>
      </c>
      <c r="D1267" t="s">
        <v>17</v>
      </c>
      <c r="E1267" t="s">
        <v>20</v>
      </c>
      <c r="F1267">
        <v>4</v>
      </c>
      <c r="G1267">
        <v>56741</v>
      </c>
      <c r="H1267">
        <v>226964</v>
      </c>
      <c r="I1267">
        <f t="shared" si="19"/>
        <v>226964</v>
      </c>
    </row>
    <row r="1268" spans="1:9" x14ac:dyDescent="0.3">
      <c r="A1268">
        <v>11267</v>
      </c>
      <c r="B1268" s="2">
        <v>44970</v>
      </c>
      <c r="C1268" t="s">
        <v>10</v>
      </c>
      <c r="D1268" t="s">
        <v>18</v>
      </c>
      <c r="E1268" t="s">
        <v>22</v>
      </c>
      <c r="F1268">
        <v>5</v>
      </c>
      <c r="G1268">
        <v>26033</v>
      </c>
      <c r="H1268">
        <v>130165</v>
      </c>
      <c r="I1268">
        <f t="shared" si="19"/>
        <v>130165</v>
      </c>
    </row>
    <row r="1269" spans="1:9" x14ac:dyDescent="0.3">
      <c r="A1269">
        <v>11268</v>
      </c>
      <c r="B1269" s="2">
        <v>45218</v>
      </c>
      <c r="C1269" t="s">
        <v>8</v>
      </c>
      <c r="D1269" t="s">
        <v>18</v>
      </c>
      <c r="E1269" t="s">
        <v>19</v>
      </c>
      <c r="F1269">
        <v>19</v>
      </c>
      <c r="G1269">
        <v>30507</v>
      </c>
      <c r="H1269">
        <v>579633</v>
      </c>
      <c r="I1269">
        <f t="shared" si="19"/>
        <v>579633</v>
      </c>
    </row>
    <row r="1270" spans="1:9" x14ac:dyDescent="0.3">
      <c r="A1270">
        <v>11269</v>
      </c>
      <c r="B1270" s="2">
        <v>44963</v>
      </c>
      <c r="C1270" t="s">
        <v>9</v>
      </c>
      <c r="D1270" t="s">
        <v>16</v>
      </c>
      <c r="E1270" t="s">
        <v>21</v>
      </c>
      <c r="F1270">
        <v>14</v>
      </c>
      <c r="G1270">
        <v>6868</v>
      </c>
      <c r="H1270">
        <v>96152</v>
      </c>
      <c r="I1270">
        <f t="shared" si="19"/>
        <v>96152</v>
      </c>
    </row>
    <row r="1271" spans="1:9" x14ac:dyDescent="0.3">
      <c r="A1271">
        <v>11270</v>
      </c>
      <c r="B1271" s="2">
        <v>44984</v>
      </c>
      <c r="C1271" t="s">
        <v>10</v>
      </c>
      <c r="D1271" t="s">
        <v>17</v>
      </c>
      <c r="E1271" t="s">
        <v>22</v>
      </c>
      <c r="F1271">
        <v>10</v>
      </c>
      <c r="G1271">
        <v>52931</v>
      </c>
      <c r="H1271">
        <v>529310</v>
      </c>
      <c r="I1271">
        <f t="shared" si="19"/>
        <v>529310</v>
      </c>
    </row>
    <row r="1272" spans="1:9" x14ac:dyDescent="0.3">
      <c r="A1272">
        <v>11271</v>
      </c>
      <c r="B1272" s="2">
        <v>45149</v>
      </c>
      <c r="C1272" t="s">
        <v>14</v>
      </c>
      <c r="D1272" t="s">
        <v>17</v>
      </c>
      <c r="E1272" t="s">
        <v>21</v>
      </c>
      <c r="F1272">
        <v>9</v>
      </c>
      <c r="G1272">
        <v>10577</v>
      </c>
      <c r="H1272">
        <v>95193</v>
      </c>
      <c r="I1272">
        <f t="shared" si="19"/>
        <v>95193</v>
      </c>
    </row>
    <row r="1273" spans="1:9" x14ac:dyDescent="0.3">
      <c r="A1273">
        <v>11272</v>
      </c>
      <c r="B1273" s="2">
        <v>45155</v>
      </c>
      <c r="C1273" t="s">
        <v>13</v>
      </c>
      <c r="D1273" t="s">
        <v>16</v>
      </c>
      <c r="E1273" t="s">
        <v>19</v>
      </c>
      <c r="F1273">
        <v>19</v>
      </c>
      <c r="G1273">
        <v>2778</v>
      </c>
      <c r="H1273">
        <v>52782</v>
      </c>
      <c r="I1273">
        <f t="shared" si="19"/>
        <v>52782</v>
      </c>
    </row>
    <row r="1274" spans="1:9" x14ac:dyDescent="0.3">
      <c r="A1274">
        <v>11273</v>
      </c>
      <c r="B1274" s="2">
        <v>44975</v>
      </c>
      <c r="C1274" t="s">
        <v>12</v>
      </c>
      <c r="D1274" t="s">
        <v>15</v>
      </c>
      <c r="E1274" t="s">
        <v>22</v>
      </c>
      <c r="F1274">
        <v>5</v>
      </c>
      <c r="G1274">
        <v>15973</v>
      </c>
      <c r="H1274">
        <v>79865</v>
      </c>
      <c r="I1274">
        <f t="shared" si="19"/>
        <v>79865</v>
      </c>
    </row>
    <row r="1275" spans="1:9" x14ac:dyDescent="0.3">
      <c r="A1275">
        <v>11274</v>
      </c>
      <c r="B1275" s="2">
        <v>45039</v>
      </c>
      <c r="C1275" t="s">
        <v>12</v>
      </c>
      <c r="D1275" t="s">
        <v>15</v>
      </c>
      <c r="E1275" t="s">
        <v>24</v>
      </c>
      <c r="F1275">
        <v>4</v>
      </c>
      <c r="G1275">
        <v>11481</v>
      </c>
      <c r="H1275">
        <v>45924</v>
      </c>
      <c r="I1275">
        <f t="shared" si="19"/>
        <v>45924</v>
      </c>
    </row>
    <row r="1276" spans="1:9" x14ac:dyDescent="0.3">
      <c r="A1276">
        <v>11275</v>
      </c>
      <c r="B1276" s="2">
        <v>45047</v>
      </c>
      <c r="C1276" t="s">
        <v>11</v>
      </c>
      <c r="D1276" t="s">
        <v>15</v>
      </c>
      <c r="E1276" t="s">
        <v>23</v>
      </c>
      <c r="F1276">
        <v>8</v>
      </c>
      <c r="G1276">
        <v>55180</v>
      </c>
      <c r="H1276">
        <v>441440</v>
      </c>
      <c r="I1276">
        <f t="shared" si="19"/>
        <v>441440</v>
      </c>
    </row>
    <row r="1277" spans="1:9" x14ac:dyDescent="0.3">
      <c r="A1277">
        <v>11276</v>
      </c>
      <c r="B1277" s="2">
        <v>45067</v>
      </c>
      <c r="C1277" t="s">
        <v>14</v>
      </c>
      <c r="D1277" t="s">
        <v>18</v>
      </c>
      <c r="E1277" t="s">
        <v>24</v>
      </c>
      <c r="F1277">
        <v>15</v>
      </c>
      <c r="G1277">
        <v>46319</v>
      </c>
      <c r="H1277">
        <v>694785</v>
      </c>
      <c r="I1277">
        <f t="shared" si="19"/>
        <v>694785</v>
      </c>
    </row>
    <row r="1278" spans="1:9" x14ac:dyDescent="0.3">
      <c r="A1278">
        <v>11277</v>
      </c>
      <c r="B1278" s="2">
        <v>45018</v>
      </c>
      <c r="C1278" t="s">
        <v>11</v>
      </c>
      <c r="D1278" t="s">
        <v>16</v>
      </c>
      <c r="E1278" t="s">
        <v>19</v>
      </c>
      <c r="F1278">
        <v>1</v>
      </c>
      <c r="G1278">
        <v>16450</v>
      </c>
      <c r="H1278">
        <v>16450</v>
      </c>
      <c r="I1278">
        <f t="shared" si="19"/>
        <v>16450</v>
      </c>
    </row>
    <row r="1279" spans="1:9" x14ac:dyDescent="0.3">
      <c r="A1279">
        <v>11278</v>
      </c>
      <c r="B1279" s="2">
        <v>45074</v>
      </c>
      <c r="C1279" t="s">
        <v>8</v>
      </c>
      <c r="D1279" t="s">
        <v>16</v>
      </c>
      <c r="E1279" t="s">
        <v>20</v>
      </c>
      <c r="F1279">
        <v>9</v>
      </c>
      <c r="G1279">
        <v>27507</v>
      </c>
      <c r="H1279">
        <v>247563</v>
      </c>
      <c r="I1279">
        <f t="shared" si="19"/>
        <v>247563</v>
      </c>
    </row>
    <row r="1280" spans="1:9" x14ac:dyDescent="0.3">
      <c r="A1280">
        <v>11279</v>
      </c>
      <c r="B1280" s="2">
        <v>45222</v>
      </c>
      <c r="C1280" t="s">
        <v>10</v>
      </c>
      <c r="D1280" t="s">
        <v>16</v>
      </c>
      <c r="E1280" t="s">
        <v>24</v>
      </c>
      <c r="F1280">
        <v>10</v>
      </c>
      <c r="G1280">
        <v>42763</v>
      </c>
      <c r="H1280">
        <v>427630</v>
      </c>
      <c r="I1280">
        <f t="shared" si="19"/>
        <v>427630</v>
      </c>
    </row>
    <row r="1281" spans="1:9" x14ac:dyDescent="0.3">
      <c r="A1281">
        <v>11280</v>
      </c>
      <c r="B1281" s="2">
        <v>44949</v>
      </c>
      <c r="C1281" t="s">
        <v>14</v>
      </c>
      <c r="D1281" t="s">
        <v>17</v>
      </c>
      <c r="E1281" t="s">
        <v>22</v>
      </c>
      <c r="F1281">
        <v>12</v>
      </c>
      <c r="G1281">
        <v>34963</v>
      </c>
      <c r="H1281">
        <v>419556</v>
      </c>
      <c r="I1281">
        <f t="shared" si="19"/>
        <v>419556</v>
      </c>
    </row>
    <row r="1282" spans="1:9" x14ac:dyDescent="0.3">
      <c r="A1282">
        <v>11281</v>
      </c>
      <c r="B1282" s="2">
        <v>45070</v>
      </c>
      <c r="C1282" t="s">
        <v>13</v>
      </c>
      <c r="D1282" t="s">
        <v>17</v>
      </c>
      <c r="E1282" t="s">
        <v>23</v>
      </c>
      <c r="F1282">
        <v>7</v>
      </c>
      <c r="G1282">
        <v>7191</v>
      </c>
      <c r="H1282">
        <v>50337</v>
      </c>
      <c r="I1282">
        <f t="shared" si="19"/>
        <v>50337</v>
      </c>
    </row>
    <row r="1283" spans="1:9" x14ac:dyDescent="0.3">
      <c r="A1283">
        <v>11282</v>
      </c>
      <c r="B1283" s="2">
        <v>44985</v>
      </c>
      <c r="C1283" t="s">
        <v>12</v>
      </c>
      <c r="D1283" t="s">
        <v>17</v>
      </c>
      <c r="E1283" t="s">
        <v>20</v>
      </c>
      <c r="F1283">
        <v>1</v>
      </c>
      <c r="G1283">
        <v>52154</v>
      </c>
      <c r="H1283">
        <v>52154</v>
      </c>
      <c r="I1283">
        <f t="shared" ref="I1283:I1346" si="20">G1283*F1283</f>
        <v>52154</v>
      </c>
    </row>
    <row r="1284" spans="1:9" x14ac:dyDescent="0.3">
      <c r="A1284">
        <v>11283</v>
      </c>
      <c r="B1284" s="2">
        <v>44969</v>
      </c>
      <c r="C1284" t="s">
        <v>13</v>
      </c>
      <c r="D1284" t="s">
        <v>15</v>
      </c>
      <c r="E1284" t="s">
        <v>23</v>
      </c>
      <c r="F1284">
        <v>1</v>
      </c>
      <c r="G1284">
        <v>56643</v>
      </c>
      <c r="H1284">
        <v>56643</v>
      </c>
      <c r="I1284">
        <f t="shared" si="20"/>
        <v>56643</v>
      </c>
    </row>
    <row r="1285" spans="1:9" x14ac:dyDescent="0.3">
      <c r="A1285">
        <v>11284</v>
      </c>
      <c r="B1285" s="2">
        <v>45222</v>
      </c>
      <c r="C1285" t="s">
        <v>9</v>
      </c>
      <c r="D1285" t="s">
        <v>17</v>
      </c>
      <c r="E1285" t="s">
        <v>23</v>
      </c>
      <c r="F1285">
        <v>14</v>
      </c>
      <c r="G1285">
        <v>14237</v>
      </c>
      <c r="H1285">
        <v>199318</v>
      </c>
      <c r="I1285">
        <f t="shared" si="20"/>
        <v>199318</v>
      </c>
    </row>
    <row r="1286" spans="1:9" x14ac:dyDescent="0.3">
      <c r="A1286">
        <v>11285</v>
      </c>
      <c r="B1286" s="2">
        <v>45218</v>
      </c>
      <c r="C1286" t="s">
        <v>10</v>
      </c>
      <c r="D1286" t="s">
        <v>17</v>
      </c>
      <c r="E1286" t="s">
        <v>24</v>
      </c>
      <c r="F1286">
        <v>14</v>
      </c>
      <c r="G1286">
        <v>48585</v>
      </c>
      <c r="H1286">
        <v>680190</v>
      </c>
      <c r="I1286">
        <f t="shared" si="20"/>
        <v>680190</v>
      </c>
    </row>
    <row r="1287" spans="1:9" x14ac:dyDescent="0.3">
      <c r="A1287">
        <v>11286</v>
      </c>
      <c r="B1287" s="2">
        <v>45128</v>
      </c>
      <c r="C1287" t="s">
        <v>8</v>
      </c>
      <c r="D1287" t="s">
        <v>18</v>
      </c>
      <c r="E1287" t="s">
        <v>20</v>
      </c>
      <c r="F1287">
        <v>5</v>
      </c>
      <c r="G1287">
        <v>41595</v>
      </c>
      <c r="H1287">
        <v>207975</v>
      </c>
      <c r="I1287">
        <f t="shared" si="20"/>
        <v>207975</v>
      </c>
    </row>
    <row r="1288" spans="1:9" x14ac:dyDescent="0.3">
      <c r="A1288">
        <v>11287</v>
      </c>
      <c r="B1288" s="2">
        <v>45014</v>
      </c>
      <c r="C1288" t="s">
        <v>11</v>
      </c>
      <c r="D1288" t="s">
        <v>16</v>
      </c>
      <c r="E1288" t="s">
        <v>20</v>
      </c>
      <c r="F1288">
        <v>13</v>
      </c>
      <c r="G1288">
        <v>2407</v>
      </c>
      <c r="H1288">
        <v>31291</v>
      </c>
      <c r="I1288">
        <f t="shared" si="20"/>
        <v>31291</v>
      </c>
    </row>
    <row r="1289" spans="1:9" x14ac:dyDescent="0.3">
      <c r="A1289">
        <v>11288</v>
      </c>
      <c r="B1289" s="2">
        <v>44930</v>
      </c>
      <c r="C1289" t="s">
        <v>14</v>
      </c>
      <c r="D1289" t="s">
        <v>16</v>
      </c>
      <c r="E1289" t="s">
        <v>22</v>
      </c>
      <c r="F1289">
        <v>7</v>
      </c>
      <c r="G1289">
        <v>22432</v>
      </c>
      <c r="H1289">
        <v>157024</v>
      </c>
      <c r="I1289">
        <f t="shared" si="20"/>
        <v>157024</v>
      </c>
    </row>
    <row r="1290" spans="1:9" x14ac:dyDescent="0.3">
      <c r="A1290">
        <v>11289</v>
      </c>
      <c r="B1290" s="2">
        <v>45256</v>
      </c>
      <c r="C1290" t="s">
        <v>8</v>
      </c>
      <c r="D1290" t="s">
        <v>16</v>
      </c>
      <c r="E1290" t="s">
        <v>21</v>
      </c>
      <c r="F1290">
        <v>5</v>
      </c>
      <c r="G1290">
        <v>52271</v>
      </c>
      <c r="H1290">
        <v>261355</v>
      </c>
      <c r="I1290">
        <f t="shared" si="20"/>
        <v>261355</v>
      </c>
    </row>
    <row r="1291" spans="1:9" x14ac:dyDescent="0.3">
      <c r="A1291">
        <v>11290</v>
      </c>
      <c r="B1291" s="2">
        <v>45049</v>
      </c>
      <c r="C1291" t="s">
        <v>14</v>
      </c>
      <c r="D1291" t="s">
        <v>17</v>
      </c>
      <c r="E1291" t="s">
        <v>19</v>
      </c>
      <c r="F1291">
        <v>2</v>
      </c>
      <c r="G1291">
        <v>15238</v>
      </c>
      <c r="H1291">
        <v>30476</v>
      </c>
      <c r="I1291">
        <f t="shared" si="20"/>
        <v>30476</v>
      </c>
    </row>
    <row r="1292" spans="1:9" x14ac:dyDescent="0.3">
      <c r="A1292">
        <v>11291</v>
      </c>
      <c r="B1292" s="2">
        <v>45211</v>
      </c>
      <c r="C1292" t="s">
        <v>11</v>
      </c>
      <c r="D1292" t="s">
        <v>16</v>
      </c>
      <c r="E1292" t="s">
        <v>19</v>
      </c>
      <c r="F1292">
        <v>10</v>
      </c>
      <c r="G1292">
        <v>55243</v>
      </c>
      <c r="H1292">
        <v>552430</v>
      </c>
      <c r="I1292">
        <f t="shared" si="20"/>
        <v>552430</v>
      </c>
    </row>
    <row r="1293" spans="1:9" x14ac:dyDescent="0.3">
      <c r="A1293">
        <v>11292</v>
      </c>
      <c r="B1293" s="2">
        <v>45196</v>
      </c>
      <c r="C1293" t="s">
        <v>13</v>
      </c>
      <c r="D1293" t="s">
        <v>17</v>
      </c>
      <c r="E1293" t="s">
        <v>21</v>
      </c>
      <c r="F1293">
        <v>5</v>
      </c>
      <c r="G1293">
        <v>2235</v>
      </c>
      <c r="H1293">
        <v>11175</v>
      </c>
      <c r="I1293">
        <f t="shared" si="20"/>
        <v>11175</v>
      </c>
    </row>
    <row r="1294" spans="1:9" x14ac:dyDescent="0.3">
      <c r="A1294">
        <v>11293</v>
      </c>
      <c r="B1294" s="2">
        <v>45128</v>
      </c>
      <c r="C1294" t="s">
        <v>9</v>
      </c>
      <c r="D1294" t="s">
        <v>17</v>
      </c>
      <c r="E1294" t="s">
        <v>23</v>
      </c>
      <c r="F1294">
        <v>11</v>
      </c>
      <c r="G1294">
        <v>1498</v>
      </c>
      <c r="H1294">
        <v>16478</v>
      </c>
      <c r="I1294">
        <f t="shared" si="20"/>
        <v>16478</v>
      </c>
    </row>
    <row r="1295" spans="1:9" x14ac:dyDescent="0.3">
      <c r="A1295">
        <v>11294</v>
      </c>
      <c r="B1295" s="2">
        <v>45292</v>
      </c>
      <c r="C1295" t="s">
        <v>12</v>
      </c>
      <c r="D1295" t="s">
        <v>18</v>
      </c>
      <c r="E1295" t="s">
        <v>22</v>
      </c>
      <c r="F1295">
        <v>8</v>
      </c>
      <c r="G1295">
        <v>17447</v>
      </c>
      <c r="H1295">
        <v>139576</v>
      </c>
      <c r="I1295">
        <f t="shared" si="20"/>
        <v>139576</v>
      </c>
    </row>
    <row r="1296" spans="1:9" x14ac:dyDescent="0.3">
      <c r="A1296">
        <v>11295</v>
      </c>
      <c r="B1296" s="2">
        <v>45140</v>
      </c>
      <c r="C1296" t="s">
        <v>11</v>
      </c>
      <c r="D1296" t="s">
        <v>15</v>
      </c>
      <c r="E1296" t="s">
        <v>23</v>
      </c>
      <c r="F1296">
        <v>2</v>
      </c>
      <c r="G1296">
        <v>24879</v>
      </c>
      <c r="H1296">
        <v>49758</v>
      </c>
      <c r="I1296">
        <f t="shared" si="20"/>
        <v>49758</v>
      </c>
    </row>
    <row r="1297" spans="1:9" x14ac:dyDescent="0.3">
      <c r="A1297">
        <v>11296</v>
      </c>
      <c r="B1297" s="2">
        <v>44967</v>
      </c>
      <c r="C1297" t="s">
        <v>10</v>
      </c>
      <c r="D1297" t="s">
        <v>17</v>
      </c>
      <c r="E1297" t="s">
        <v>23</v>
      </c>
      <c r="F1297">
        <v>10</v>
      </c>
      <c r="G1297">
        <v>6512</v>
      </c>
      <c r="H1297">
        <v>65120</v>
      </c>
      <c r="I1297">
        <f t="shared" si="20"/>
        <v>65120</v>
      </c>
    </row>
    <row r="1298" spans="1:9" x14ac:dyDescent="0.3">
      <c r="A1298">
        <v>11297</v>
      </c>
      <c r="B1298" s="2">
        <v>45054</v>
      </c>
      <c r="C1298" t="s">
        <v>13</v>
      </c>
      <c r="D1298" t="s">
        <v>17</v>
      </c>
      <c r="E1298" t="s">
        <v>21</v>
      </c>
      <c r="F1298">
        <v>15</v>
      </c>
      <c r="G1298">
        <v>38641</v>
      </c>
      <c r="H1298">
        <v>579615</v>
      </c>
      <c r="I1298">
        <f t="shared" si="20"/>
        <v>579615</v>
      </c>
    </row>
    <row r="1299" spans="1:9" x14ac:dyDescent="0.3">
      <c r="A1299">
        <v>11298</v>
      </c>
      <c r="B1299" s="2">
        <v>45229</v>
      </c>
      <c r="C1299" t="s">
        <v>10</v>
      </c>
      <c r="D1299" t="s">
        <v>16</v>
      </c>
      <c r="E1299" t="s">
        <v>22</v>
      </c>
      <c r="F1299">
        <v>9</v>
      </c>
      <c r="G1299">
        <v>8513</v>
      </c>
      <c r="H1299">
        <v>76617</v>
      </c>
      <c r="I1299">
        <f t="shared" si="20"/>
        <v>76617</v>
      </c>
    </row>
    <row r="1300" spans="1:9" x14ac:dyDescent="0.3">
      <c r="A1300">
        <v>11299</v>
      </c>
      <c r="B1300" s="2">
        <v>44943</v>
      </c>
      <c r="C1300" t="s">
        <v>12</v>
      </c>
      <c r="D1300" t="s">
        <v>18</v>
      </c>
      <c r="E1300" t="s">
        <v>20</v>
      </c>
      <c r="F1300">
        <v>4</v>
      </c>
      <c r="G1300">
        <v>13979</v>
      </c>
      <c r="H1300">
        <v>55916</v>
      </c>
      <c r="I1300">
        <f t="shared" si="20"/>
        <v>55916</v>
      </c>
    </row>
    <row r="1301" spans="1:9" x14ac:dyDescent="0.3">
      <c r="A1301">
        <v>11300</v>
      </c>
      <c r="B1301" s="2">
        <v>45194</v>
      </c>
      <c r="C1301" t="s">
        <v>10</v>
      </c>
      <c r="D1301" t="s">
        <v>18</v>
      </c>
      <c r="E1301" t="s">
        <v>21</v>
      </c>
      <c r="F1301">
        <v>3</v>
      </c>
      <c r="G1301">
        <v>6163</v>
      </c>
      <c r="H1301">
        <v>18489</v>
      </c>
      <c r="I1301">
        <f t="shared" si="20"/>
        <v>18489</v>
      </c>
    </row>
    <row r="1302" spans="1:9" x14ac:dyDescent="0.3">
      <c r="A1302">
        <v>11301</v>
      </c>
      <c r="B1302" s="2">
        <v>45278</v>
      </c>
      <c r="C1302" t="s">
        <v>9</v>
      </c>
      <c r="D1302" t="s">
        <v>15</v>
      </c>
      <c r="E1302" t="s">
        <v>23</v>
      </c>
      <c r="F1302">
        <v>13</v>
      </c>
      <c r="G1302">
        <v>50244</v>
      </c>
      <c r="H1302">
        <v>653172</v>
      </c>
      <c r="I1302">
        <f t="shared" si="20"/>
        <v>653172</v>
      </c>
    </row>
    <row r="1303" spans="1:9" x14ac:dyDescent="0.3">
      <c r="A1303">
        <v>11302</v>
      </c>
      <c r="B1303" s="2">
        <v>45110</v>
      </c>
      <c r="C1303" t="s">
        <v>11</v>
      </c>
      <c r="D1303" t="s">
        <v>17</v>
      </c>
      <c r="E1303" t="s">
        <v>23</v>
      </c>
      <c r="F1303">
        <v>8</v>
      </c>
      <c r="G1303">
        <v>39697</v>
      </c>
      <c r="H1303">
        <v>317576</v>
      </c>
      <c r="I1303">
        <f t="shared" si="20"/>
        <v>317576</v>
      </c>
    </row>
    <row r="1304" spans="1:9" x14ac:dyDescent="0.3">
      <c r="A1304">
        <v>11303</v>
      </c>
      <c r="B1304" s="2">
        <v>45011</v>
      </c>
      <c r="C1304" t="s">
        <v>10</v>
      </c>
      <c r="D1304" t="s">
        <v>18</v>
      </c>
      <c r="E1304" t="s">
        <v>23</v>
      </c>
      <c r="F1304">
        <v>13</v>
      </c>
      <c r="G1304">
        <v>34139</v>
      </c>
      <c r="H1304">
        <v>443807</v>
      </c>
      <c r="I1304">
        <f t="shared" si="20"/>
        <v>443807</v>
      </c>
    </row>
    <row r="1305" spans="1:9" x14ac:dyDescent="0.3">
      <c r="A1305">
        <v>11304</v>
      </c>
      <c r="B1305" s="2">
        <v>45248</v>
      </c>
      <c r="C1305" t="s">
        <v>9</v>
      </c>
      <c r="D1305" t="s">
        <v>17</v>
      </c>
      <c r="E1305" t="s">
        <v>24</v>
      </c>
      <c r="F1305">
        <v>3</v>
      </c>
      <c r="G1305">
        <v>49061</v>
      </c>
      <c r="H1305">
        <v>147183</v>
      </c>
      <c r="I1305">
        <f t="shared" si="20"/>
        <v>147183</v>
      </c>
    </row>
    <row r="1306" spans="1:9" x14ac:dyDescent="0.3">
      <c r="A1306">
        <v>11305</v>
      </c>
      <c r="B1306" s="2">
        <v>45166</v>
      </c>
      <c r="C1306" t="s">
        <v>14</v>
      </c>
      <c r="D1306" t="s">
        <v>16</v>
      </c>
      <c r="E1306" t="s">
        <v>19</v>
      </c>
      <c r="F1306">
        <v>2</v>
      </c>
      <c r="G1306">
        <v>31385</v>
      </c>
      <c r="H1306">
        <v>62770</v>
      </c>
      <c r="I1306">
        <f t="shared" si="20"/>
        <v>62770</v>
      </c>
    </row>
    <row r="1307" spans="1:9" x14ac:dyDescent="0.3">
      <c r="A1307">
        <v>11306</v>
      </c>
      <c r="B1307" s="2">
        <v>45114</v>
      </c>
      <c r="C1307" t="s">
        <v>8</v>
      </c>
      <c r="D1307" t="s">
        <v>17</v>
      </c>
      <c r="E1307" t="s">
        <v>24</v>
      </c>
      <c r="F1307">
        <v>8</v>
      </c>
      <c r="G1307">
        <v>14613</v>
      </c>
      <c r="H1307">
        <v>116904</v>
      </c>
      <c r="I1307">
        <f t="shared" si="20"/>
        <v>116904</v>
      </c>
    </row>
    <row r="1308" spans="1:9" x14ac:dyDescent="0.3">
      <c r="A1308">
        <v>11307</v>
      </c>
      <c r="B1308" s="2">
        <v>45163</v>
      </c>
      <c r="C1308" t="s">
        <v>8</v>
      </c>
      <c r="D1308" t="s">
        <v>16</v>
      </c>
      <c r="E1308" t="s">
        <v>23</v>
      </c>
      <c r="F1308">
        <v>16</v>
      </c>
      <c r="G1308">
        <v>31388</v>
      </c>
      <c r="H1308">
        <v>502208</v>
      </c>
      <c r="I1308">
        <f t="shared" si="20"/>
        <v>502208</v>
      </c>
    </row>
    <row r="1309" spans="1:9" x14ac:dyDescent="0.3">
      <c r="A1309">
        <v>11308</v>
      </c>
      <c r="B1309" s="2">
        <v>44930</v>
      </c>
      <c r="C1309" t="s">
        <v>8</v>
      </c>
      <c r="D1309" t="s">
        <v>15</v>
      </c>
      <c r="E1309" t="s">
        <v>20</v>
      </c>
      <c r="F1309">
        <v>15</v>
      </c>
      <c r="G1309">
        <v>59111</v>
      </c>
      <c r="H1309">
        <v>886665</v>
      </c>
      <c r="I1309">
        <f t="shared" si="20"/>
        <v>886665</v>
      </c>
    </row>
    <row r="1310" spans="1:9" x14ac:dyDescent="0.3">
      <c r="A1310">
        <v>11309</v>
      </c>
      <c r="B1310" s="2">
        <v>45003</v>
      </c>
      <c r="C1310" t="s">
        <v>9</v>
      </c>
      <c r="D1310" t="s">
        <v>15</v>
      </c>
      <c r="E1310" t="s">
        <v>19</v>
      </c>
      <c r="F1310">
        <v>9</v>
      </c>
      <c r="G1310">
        <v>34893</v>
      </c>
      <c r="H1310">
        <v>314037</v>
      </c>
      <c r="I1310">
        <f t="shared" si="20"/>
        <v>314037</v>
      </c>
    </row>
    <row r="1311" spans="1:9" x14ac:dyDescent="0.3">
      <c r="A1311">
        <v>11310</v>
      </c>
      <c r="B1311" s="2">
        <v>44976</v>
      </c>
      <c r="C1311" t="s">
        <v>10</v>
      </c>
      <c r="D1311" t="s">
        <v>17</v>
      </c>
      <c r="E1311" t="s">
        <v>19</v>
      </c>
      <c r="F1311">
        <v>12</v>
      </c>
      <c r="G1311">
        <v>10365</v>
      </c>
      <c r="H1311">
        <v>124380</v>
      </c>
      <c r="I1311">
        <f t="shared" si="20"/>
        <v>124380</v>
      </c>
    </row>
    <row r="1312" spans="1:9" x14ac:dyDescent="0.3">
      <c r="A1312">
        <v>11311</v>
      </c>
      <c r="B1312" s="2">
        <v>44962</v>
      </c>
      <c r="C1312" t="s">
        <v>12</v>
      </c>
      <c r="D1312" t="s">
        <v>18</v>
      </c>
      <c r="E1312" t="s">
        <v>19</v>
      </c>
      <c r="F1312">
        <v>4</v>
      </c>
      <c r="G1312">
        <v>7498</v>
      </c>
      <c r="H1312">
        <v>29992</v>
      </c>
      <c r="I1312">
        <f t="shared" si="20"/>
        <v>29992</v>
      </c>
    </row>
    <row r="1313" spans="1:9" x14ac:dyDescent="0.3">
      <c r="A1313">
        <v>11312</v>
      </c>
      <c r="B1313" s="2">
        <v>45075</v>
      </c>
      <c r="C1313" t="s">
        <v>13</v>
      </c>
      <c r="D1313" t="s">
        <v>18</v>
      </c>
      <c r="E1313" t="s">
        <v>21</v>
      </c>
      <c r="F1313">
        <v>13</v>
      </c>
      <c r="G1313">
        <v>48354</v>
      </c>
      <c r="H1313">
        <v>628602</v>
      </c>
      <c r="I1313">
        <f t="shared" si="20"/>
        <v>628602</v>
      </c>
    </row>
    <row r="1314" spans="1:9" x14ac:dyDescent="0.3">
      <c r="A1314">
        <v>11313</v>
      </c>
      <c r="B1314" s="2">
        <v>45075</v>
      </c>
      <c r="C1314" t="s">
        <v>9</v>
      </c>
      <c r="D1314" t="s">
        <v>15</v>
      </c>
      <c r="E1314" t="s">
        <v>19</v>
      </c>
      <c r="F1314">
        <v>2</v>
      </c>
      <c r="G1314">
        <v>32585</v>
      </c>
      <c r="H1314">
        <v>65170</v>
      </c>
      <c r="I1314">
        <f t="shared" si="20"/>
        <v>65170</v>
      </c>
    </row>
    <row r="1315" spans="1:9" x14ac:dyDescent="0.3">
      <c r="A1315">
        <v>11314</v>
      </c>
      <c r="B1315" s="2">
        <v>45095</v>
      </c>
      <c r="C1315" t="s">
        <v>10</v>
      </c>
      <c r="D1315" t="s">
        <v>16</v>
      </c>
      <c r="E1315" t="s">
        <v>19</v>
      </c>
      <c r="F1315">
        <v>16</v>
      </c>
      <c r="G1315">
        <v>50854</v>
      </c>
      <c r="H1315">
        <v>813664</v>
      </c>
      <c r="I1315">
        <f t="shared" si="20"/>
        <v>813664</v>
      </c>
    </row>
    <row r="1316" spans="1:9" x14ac:dyDescent="0.3">
      <c r="A1316">
        <v>11315</v>
      </c>
      <c r="B1316" s="2">
        <v>45095</v>
      </c>
      <c r="C1316" t="s">
        <v>14</v>
      </c>
      <c r="D1316" t="s">
        <v>15</v>
      </c>
      <c r="E1316" t="s">
        <v>22</v>
      </c>
      <c r="F1316">
        <v>8</v>
      </c>
      <c r="G1316">
        <v>57873</v>
      </c>
      <c r="H1316">
        <v>462984</v>
      </c>
      <c r="I1316">
        <f t="shared" si="20"/>
        <v>462984</v>
      </c>
    </row>
    <row r="1317" spans="1:9" x14ac:dyDescent="0.3">
      <c r="A1317">
        <v>11316</v>
      </c>
      <c r="B1317" s="2">
        <v>45291</v>
      </c>
      <c r="C1317" t="s">
        <v>8</v>
      </c>
      <c r="D1317" t="s">
        <v>17</v>
      </c>
      <c r="E1317" t="s">
        <v>22</v>
      </c>
      <c r="F1317">
        <v>9</v>
      </c>
      <c r="G1317">
        <v>7533</v>
      </c>
      <c r="H1317">
        <v>67797</v>
      </c>
      <c r="I1317">
        <f t="shared" si="20"/>
        <v>67797</v>
      </c>
    </row>
    <row r="1318" spans="1:9" x14ac:dyDescent="0.3">
      <c r="A1318">
        <v>11317</v>
      </c>
      <c r="B1318" s="2">
        <v>45011</v>
      </c>
      <c r="C1318" t="s">
        <v>14</v>
      </c>
      <c r="D1318" t="s">
        <v>16</v>
      </c>
      <c r="E1318" t="s">
        <v>22</v>
      </c>
      <c r="F1318">
        <v>8</v>
      </c>
      <c r="G1318">
        <v>19620</v>
      </c>
      <c r="H1318">
        <v>156960</v>
      </c>
      <c r="I1318">
        <f t="shared" si="20"/>
        <v>156960</v>
      </c>
    </row>
    <row r="1319" spans="1:9" x14ac:dyDescent="0.3">
      <c r="A1319">
        <v>11318</v>
      </c>
      <c r="B1319" s="2">
        <v>44980</v>
      </c>
      <c r="C1319" t="s">
        <v>10</v>
      </c>
      <c r="D1319" t="s">
        <v>18</v>
      </c>
      <c r="E1319" t="s">
        <v>23</v>
      </c>
      <c r="F1319">
        <v>6</v>
      </c>
      <c r="G1319">
        <v>56569</v>
      </c>
      <c r="H1319">
        <v>339414</v>
      </c>
      <c r="I1319">
        <f t="shared" si="20"/>
        <v>339414</v>
      </c>
    </row>
    <row r="1320" spans="1:9" x14ac:dyDescent="0.3">
      <c r="A1320">
        <v>11319</v>
      </c>
      <c r="B1320" s="2">
        <v>45065</v>
      </c>
      <c r="C1320" t="s">
        <v>10</v>
      </c>
      <c r="D1320" t="s">
        <v>18</v>
      </c>
      <c r="E1320" t="s">
        <v>22</v>
      </c>
      <c r="F1320">
        <v>2</v>
      </c>
      <c r="G1320">
        <v>17964</v>
      </c>
      <c r="H1320">
        <v>35928</v>
      </c>
      <c r="I1320">
        <f t="shared" si="20"/>
        <v>35928</v>
      </c>
    </row>
    <row r="1321" spans="1:9" x14ac:dyDescent="0.3">
      <c r="A1321">
        <v>11320</v>
      </c>
      <c r="B1321" s="2">
        <v>45179</v>
      </c>
      <c r="C1321" t="s">
        <v>12</v>
      </c>
      <c r="D1321" t="s">
        <v>17</v>
      </c>
      <c r="E1321" t="s">
        <v>19</v>
      </c>
      <c r="F1321">
        <v>18</v>
      </c>
      <c r="G1321">
        <v>34259</v>
      </c>
      <c r="H1321">
        <v>616662</v>
      </c>
      <c r="I1321">
        <f t="shared" si="20"/>
        <v>616662</v>
      </c>
    </row>
    <row r="1322" spans="1:9" x14ac:dyDescent="0.3">
      <c r="A1322">
        <v>11321</v>
      </c>
      <c r="B1322" s="2">
        <v>45041</v>
      </c>
      <c r="C1322" t="s">
        <v>12</v>
      </c>
      <c r="D1322" t="s">
        <v>16</v>
      </c>
      <c r="E1322" t="s">
        <v>23</v>
      </c>
      <c r="F1322">
        <v>10</v>
      </c>
      <c r="G1322">
        <v>30667</v>
      </c>
      <c r="H1322">
        <v>306670</v>
      </c>
      <c r="I1322">
        <f t="shared" si="20"/>
        <v>306670</v>
      </c>
    </row>
    <row r="1323" spans="1:9" x14ac:dyDescent="0.3">
      <c r="A1323">
        <v>11322</v>
      </c>
      <c r="B1323" s="2">
        <v>45065</v>
      </c>
      <c r="C1323" t="s">
        <v>8</v>
      </c>
      <c r="D1323" t="s">
        <v>18</v>
      </c>
      <c r="E1323" t="s">
        <v>24</v>
      </c>
      <c r="F1323">
        <v>17</v>
      </c>
      <c r="G1323">
        <v>29887</v>
      </c>
      <c r="H1323">
        <v>508079</v>
      </c>
      <c r="I1323">
        <f t="shared" si="20"/>
        <v>508079</v>
      </c>
    </row>
    <row r="1324" spans="1:9" x14ac:dyDescent="0.3">
      <c r="A1324">
        <v>11323</v>
      </c>
      <c r="B1324" s="2">
        <v>45208</v>
      </c>
      <c r="C1324" t="s">
        <v>13</v>
      </c>
      <c r="D1324" t="s">
        <v>18</v>
      </c>
      <c r="E1324" t="s">
        <v>23</v>
      </c>
      <c r="F1324">
        <v>20</v>
      </c>
      <c r="G1324">
        <v>21830</v>
      </c>
      <c r="H1324">
        <v>436600</v>
      </c>
      <c r="I1324">
        <f t="shared" si="20"/>
        <v>436600</v>
      </c>
    </row>
    <row r="1325" spans="1:9" x14ac:dyDescent="0.3">
      <c r="A1325">
        <v>11324</v>
      </c>
      <c r="B1325" s="2">
        <v>45035</v>
      </c>
      <c r="C1325" t="s">
        <v>13</v>
      </c>
      <c r="D1325" t="s">
        <v>16</v>
      </c>
      <c r="E1325" t="s">
        <v>22</v>
      </c>
      <c r="F1325">
        <v>8</v>
      </c>
      <c r="G1325">
        <v>7948</v>
      </c>
      <c r="H1325">
        <v>63584</v>
      </c>
      <c r="I1325">
        <f t="shared" si="20"/>
        <v>63584</v>
      </c>
    </row>
    <row r="1326" spans="1:9" x14ac:dyDescent="0.3">
      <c r="A1326">
        <v>11325</v>
      </c>
      <c r="B1326" s="2">
        <v>45036</v>
      </c>
      <c r="C1326" t="s">
        <v>8</v>
      </c>
      <c r="D1326" t="s">
        <v>18</v>
      </c>
      <c r="E1326" t="s">
        <v>24</v>
      </c>
      <c r="F1326">
        <v>11</v>
      </c>
      <c r="G1326">
        <v>53230</v>
      </c>
      <c r="H1326">
        <v>585530</v>
      </c>
      <c r="I1326">
        <f t="shared" si="20"/>
        <v>585530</v>
      </c>
    </row>
    <row r="1327" spans="1:9" x14ac:dyDescent="0.3">
      <c r="A1327">
        <v>11326</v>
      </c>
      <c r="B1327" s="2">
        <v>45141</v>
      </c>
      <c r="C1327" t="s">
        <v>11</v>
      </c>
      <c r="D1327" t="s">
        <v>15</v>
      </c>
      <c r="E1327" t="s">
        <v>23</v>
      </c>
      <c r="F1327">
        <v>19</v>
      </c>
      <c r="G1327">
        <v>18682</v>
      </c>
      <c r="H1327">
        <v>354958</v>
      </c>
      <c r="I1327">
        <f t="shared" si="20"/>
        <v>354958</v>
      </c>
    </row>
    <row r="1328" spans="1:9" x14ac:dyDescent="0.3">
      <c r="A1328">
        <v>11327</v>
      </c>
      <c r="B1328" s="2">
        <v>45175</v>
      </c>
      <c r="C1328" t="s">
        <v>9</v>
      </c>
      <c r="D1328" t="s">
        <v>16</v>
      </c>
      <c r="E1328" t="s">
        <v>22</v>
      </c>
      <c r="F1328">
        <v>7</v>
      </c>
      <c r="G1328">
        <v>644</v>
      </c>
      <c r="H1328">
        <v>4508</v>
      </c>
      <c r="I1328">
        <f t="shared" si="20"/>
        <v>4508</v>
      </c>
    </row>
    <row r="1329" spans="1:9" x14ac:dyDescent="0.3">
      <c r="A1329">
        <v>11328</v>
      </c>
      <c r="B1329" s="2">
        <v>45011</v>
      </c>
      <c r="C1329" t="s">
        <v>11</v>
      </c>
      <c r="D1329" t="s">
        <v>17</v>
      </c>
      <c r="E1329" t="s">
        <v>24</v>
      </c>
      <c r="F1329">
        <v>1</v>
      </c>
      <c r="G1329">
        <v>59161</v>
      </c>
      <c r="H1329">
        <v>59161</v>
      </c>
      <c r="I1329">
        <f t="shared" si="20"/>
        <v>59161</v>
      </c>
    </row>
    <row r="1330" spans="1:9" x14ac:dyDescent="0.3">
      <c r="A1330">
        <v>11329</v>
      </c>
      <c r="B1330" s="2">
        <v>45289</v>
      </c>
      <c r="C1330" t="s">
        <v>14</v>
      </c>
      <c r="D1330" t="s">
        <v>16</v>
      </c>
      <c r="E1330" t="s">
        <v>21</v>
      </c>
      <c r="F1330">
        <v>16</v>
      </c>
      <c r="G1330">
        <v>52148</v>
      </c>
      <c r="H1330">
        <v>834368</v>
      </c>
      <c r="I1330">
        <f t="shared" si="20"/>
        <v>834368</v>
      </c>
    </row>
    <row r="1331" spans="1:9" x14ac:dyDescent="0.3">
      <c r="A1331">
        <v>11330</v>
      </c>
      <c r="B1331" s="2">
        <v>45027</v>
      </c>
      <c r="C1331" t="s">
        <v>14</v>
      </c>
      <c r="D1331" t="s">
        <v>15</v>
      </c>
      <c r="E1331" t="s">
        <v>23</v>
      </c>
      <c r="F1331">
        <v>20</v>
      </c>
      <c r="G1331">
        <v>8968</v>
      </c>
      <c r="H1331">
        <v>179360</v>
      </c>
      <c r="I1331">
        <f t="shared" si="20"/>
        <v>179360</v>
      </c>
    </row>
    <row r="1332" spans="1:9" x14ac:dyDescent="0.3">
      <c r="A1332">
        <v>11331</v>
      </c>
      <c r="B1332" s="2">
        <v>45094</v>
      </c>
      <c r="C1332" t="s">
        <v>9</v>
      </c>
      <c r="D1332" t="s">
        <v>15</v>
      </c>
      <c r="E1332" t="s">
        <v>20</v>
      </c>
      <c r="F1332">
        <v>19</v>
      </c>
      <c r="G1332">
        <v>10656</v>
      </c>
      <c r="H1332">
        <v>202464</v>
      </c>
      <c r="I1332">
        <f t="shared" si="20"/>
        <v>202464</v>
      </c>
    </row>
    <row r="1333" spans="1:9" x14ac:dyDescent="0.3">
      <c r="A1333">
        <v>11332</v>
      </c>
      <c r="B1333" s="2">
        <v>45202</v>
      </c>
      <c r="C1333" t="s">
        <v>9</v>
      </c>
      <c r="D1333" t="s">
        <v>15</v>
      </c>
      <c r="E1333" t="s">
        <v>20</v>
      </c>
      <c r="F1333">
        <v>14</v>
      </c>
      <c r="G1333">
        <v>15851</v>
      </c>
      <c r="H1333">
        <v>221914</v>
      </c>
      <c r="I1333">
        <f t="shared" si="20"/>
        <v>221914</v>
      </c>
    </row>
    <row r="1334" spans="1:9" x14ac:dyDescent="0.3">
      <c r="A1334">
        <v>11333</v>
      </c>
      <c r="B1334" s="2">
        <v>44997</v>
      </c>
      <c r="C1334" t="s">
        <v>13</v>
      </c>
      <c r="D1334" t="s">
        <v>18</v>
      </c>
      <c r="E1334" t="s">
        <v>20</v>
      </c>
      <c r="F1334">
        <v>18</v>
      </c>
      <c r="G1334">
        <v>23567</v>
      </c>
      <c r="H1334">
        <v>424206</v>
      </c>
      <c r="I1334">
        <f t="shared" si="20"/>
        <v>424206</v>
      </c>
    </row>
    <row r="1335" spans="1:9" x14ac:dyDescent="0.3">
      <c r="A1335">
        <v>11334</v>
      </c>
      <c r="B1335" s="2">
        <v>45076</v>
      </c>
      <c r="C1335" t="s">
        <v>13</v>
      </c>
      <c r="D1335" t="s">
        <v>17</v>
      </c>
      <c r="E1335" t="s">
        <v>20</v>
      </c>
      <c r="F1335">
        <v>2</v>
      </c>
      <c r="G1335">
        <v>55752</v>
      </c>
      <c r="H1335">
        <v>111504</v>
      </c>
      <c r="I1335">
        <f t="shared" si="20"/>
        <v>111504</v>
      </c>
    </row>
    <row r="1336" spans="1:9" x14ac:dyDescent="0.3">
      <c r="A1336">
        <v>11335</v>
      </c>
      <c r="B1336" s="2">
        <v>45129</v>
      </c>
      <c r="C1336" t="s">
        <v>11</v>
      </c>
      <c r="D1336" t="s">
        <v>17</v>
      </c>
      <c r="E1336" t="s">
        <v>24</v>
      </c>
      <c r="F1336">
        <v>2</v>
      </c>
      <c r="G1336">
        <v>22892</v>
      </c>
      <c r="H1336">
        <v>45784</v>
      </c>
      <c r="I1336">
        <f t="shared" si="20"/>
        <v>45784</v>
      </c>
    </row>
    <row r="1337" spans="1:9" x14ac:dyDescent="0.3">
      <c r="A1337">
        <v>11336</v>
      </c>
      <c r="B1337" s="2">
        <v>44944</v>
      </c>
      <c r="C1337" t="s">
        <v>9</v>
      </c>
      <c r="D1337" t="s">
        <v>18</v>
      </c>
      <c r="E1337" t="s">
        <v>24</v>
      </c>
      <c r="F1337">
        <v>10</v>
      </c>
      <c r="G1337">
        <v>1137</v>
      </c>
      <c r="H1337">
        <v>11370</v>
      </c>
      <c r="I1337">
        <f t="shared" si="20"/>
        <v>11370</v>
      </c>
    </row>
    <row r="1338" spans="1:9" x14ac:dyDescent="0.3">
      <c r="A1338">
        <v>11337</v>
      </c>
      <c r="B1338" s="2">
        <v>45109</v>
      </c>
      <c r="C1338" t="s">
        <v>12</v>
      </c>
      <c r="D1338" t="s">
        <v>17</v>
      </c>
      <c r="E1338" t="s">
        <v>24</v>
      </c>
      <c r="F1338">
        <v>18</v>
      </c>
      <c r="G1338">
        <v>37012</v>
      </c>
      <c r="H1338">
        <v>666216</v>
      </c>
      <c r="I1338">
        <f t="shared" si="20"/>
        <v>666216</v>
      </c>
    </row>
    <row r="1339" spans="1:9" x14ac:dyDescent="0.3">
      <c r="A1339">
        <v>11338</v>
      </c>
      <c r="B1339" s="2">
        <v>44963</v>
      </c>
      <c r="C1339" t="s">
        <v>10</v>
      </c>
      <c r="D1339" t="s">
        <v>17</v>
      </c>
      <c r="E1339" t="s">
        <v>19</v>
      </c>
      <c r="F1339">
        <v>13</v>
      </c>
      <c r="G1339">
        <v>22745</v>
      </c>
      <c r="H1339">
        <v>295685</v>
      </c>
      <c r="I1339">
        <f t="shared" si="20"/>
        <v>295685</v>
      </c>
    </row>
    <row r="1340" spans="1:9" x14ac:dyDescent="0.3">
      <c r="A1340">
        <v>11339</v>
      </c>
      <c r="B1340" s="2">
        <v>44957</v>
      </c>
      <c r="C1340" t="s">
        <v>11</v>
      </c>
      <c r="D1340" t="s">
        <v>15</v>
      </c>
      <c r="E1340" t="s">
        <v>19</v>
      </c>
      <c r="F1340">
        <v>9</v>
      </c>
      <c r="G1340">
        <v>28906</v>
      </c>
      <c r="H1340">
        <v>260154</v>
      </c>
      <c r="I1340">
        <f t="shared" si="20"/>
        <v>260154</v>
      </c>
    </row>
    <row r="1341" spans="1:9" x14ac:dyDescent="0.3">
      <c r="A1341">
        <v>11340</v>
      </c>
      <c r="B1341" s="2">
        <v>45271</v>
      </c>
      <c r="C1341" t="s">
        <v>9</v>
      </c>
      <c r="D1341" t="s">
        <v>16</v>
      </c>
      <c r="E1341" t="s">
        <v>23</v>
      </c>
      <c r="F1341">
        <v>6</v>
      </c>
      <c r="G1341">
        <v>26257</v>
      </c>
      <c r="H1341">
        <v>157542</v>
      </c>
      <c r="I1341">
        <f t="shared" si="20"/>
        <v>157542</v>
      </c>
    </row>
    <row r="1342" spans="1:9" x14ac:dyDescent="0.3">
      <c r="A1342">
        <v>11341</v>
      </c>
      <c r="B1342" s="2">
        <v>45282</v>
      </c>
      <c r="C1342" t="s">
        <v>14</v>
      </c>
      <c r="D1342" t="s">
        <v>18</v>
      </c>
      <c r="E1342" t="s">
        <v>23</v>
      </c>
      <c r="F1342">
        <v>11</v>
      </c>
      <c r="G1342">
        <v>17432</v>
      </c>
      <c r="H1342">
        <v>191752</v>
      </c>
      <c r="I1342">
        <f t="shared" si="20"/>
        <v>191752</v>
      </c>
    </row>
    <row r="1343" spans="1:9" x14ac:dyDescent="0.3">
      <c r="A1343">
        <v>11342</v>
      </c>
      <c r="B1343" s="2">
        <v>45258</v>
      </c>
      <c r="C1343" t="s">
        <v>9</v>
      </c>
      <c r="D1343" t="s">
        <v>15</v>
      </c>
      <c r="E1343" t="s">
        <v>24</v>
      </c>
      <c r="F1343">
        <v>2</v>
      </c>
      <c r="G1343">
        <v>13951</v>
      </c>
      <c r="H1343">
        <v>27902</v>
      </c>
      <c r="I1343">
        <f t="shared" si="20"/>
        <v>27902</v>
      </c>
    </row>
    <row r="1344" spans="1:9" x14ac:dyDescent="0.3">
      <c r="A1344">
        <v>11343</v>
      </c>
      <c r="B1344" s="2">
        <v>44940</v>
      </c>
      <c r="C1344" t="s">
        <v>13</v>
      </c>
      <c r="D1344" t="s">
        <v>18</v>
      </c>
      <c r="E1344" t="s">
        <v>22</v>
      </c>
      <c r="F1344">
        <v>10</v>
      </c>
      <c r="G1344">
        <v>26612</v>
      </c>
      <c r="H1344">
        <v>266120</v>
      </c>
      <c r="I1344">
        <f t="shared" si="20"/>
        <v>266120</v>
      </c>
    </row>
    <row r="1345" spans="1:9" x14ac:dyDescent="0.3">
      <c r="A1345">
        <v>11344</v>
      </c>
      <c r="B1345" s="2">
        <v>45039</v>
      </c>
      <c r="C1345" t="s">
        <v>9</v>
      </c>
      <c r="D1345" t="s">
        <v>17</v>
      </c>
      <c r="E1345" t="s">
        <v>23</v>
      </c>
      <c r="F1345">
        <v>20</v>
      </c>
      <c r="G1345">
        <v>25765</v>
      </c>
      <c r="H1345">
        <v>515300</v>
      </c>
      <c r="I1345">
        <f t="shared" si="20"/>
        <v>515300</v>
      </c>
    </row>
    <row r="1346" spans="1:9" x14ac:dyDescent="0.3">
      <c r="A1346">
        <v>11345</v>
      </c>
      <c r="B1346" s="2">
        <v>44956</v>
      </c>
      <c r="C1346" t="s">
        <v>13</v>
      </c>
      <c r="D1346" t="s">
        <v>15</v>
      </c>
      <c r="E1346" t="s">
        <v>24</v>
      </c>
      <c r="F1346">
        <v>5</v>
      </c>
      <c r="G1346">
        <v>51224</v>
      </c>
      <c r="H1346">
        <v>256120</v>
      </c>
      <c r="I1346">
        <f t="shared" si="20"/>
        <v>256120</v>
      </c>
    </row>
    <row r="1347" spans="1:9" x14ac:dyDescent="0.3">
      <c r="A1347">
        <v>11346</v>
      </c>
      <c r="B1347" s="2">
        <v>44934</v>
      </c>
      <c r="C1347" t="s">
        <v>9</v>
      </c>
      <c r="D1347" t="s">
        <v>15</v>
      </c>
      <c r="E1347" t="s">
        <v>24</v>
      </c>
      <c r="F1347">
        <v>13</v>
      </c>
      <c r="G1347">
        <v>30472</v>
      </c>
      <c r="H1347">
        <v>396136</v>
      </c>
      <c r="I1347">
        <f t="shared" ref="I1347:I1410" si="21">G1347*F1347</f>
        <v>396136</v>
      </c>
    </row>
    <row r="1348" spans="1:9" x14ac:dyDescent="0.3">
      <c r="A1348">
        <v>11347</v>
      </c>
      <c r="B1348" s="2">
        <v>44999</v>
      </c>
      <c r="C1348" t="s">
        <v>14</v>
      </c>
      <c r="D1348" t="s">
        <v>15</v>
      </c>
      <c r="E1348" t="s">
        <v>23</v>
      </c>
      <c r="F1348">
        <v>13</v>
      </c>
      <c r="G1348">
        <v>43081</v>
      </c>
      <c r="H1348">
        <v>560053</v>
      </c>
      <c r="I1348">
        <f t="shared" si="21"/>
        <v>560053</v>
      </c>
    </row>
    <row r="1349" spans="1:9" x14ac:dyDescent="0.3">
      <c r="A1349">
        <v>11348</v>
      </c>
      <c r="B1349" s="2">
        <v>45131</v>
      </c>
      <c r="C1349" t="s">
        <v>10</v>
      </c>
      <c r="D1349" t="s">
        <v>17</v>
      </c>
      <c r="E1349" t="s">
        <v>22</v>
      </c>
      <c r="F1349">
        <v>7</v>
      </c>
      <c r="G1349">
        <v>6334</v>
      </c>
      <c r="H1349">
        <v>44338</v>
      </c>
      <c r="I1349">
        <f t="shared" si="21"/>
        <v>44338</v>
      </c>
    </row>
    <row r="1350" spans="1:9" x14ac:dyDescent="0.3">
      <c r="A1350">
        <v>11349</v>
      </c>
      <c r="B1350" s="2">
        <v>45116</v>
      </c>
      <c r="C1350" t="s">
        <v>10</v>
      </c>
      <c r="D1350" t="s">
        <v>17</v>
      </c>
      <c r="E1350" t="s">
        <v>23</v>
      </c>
      <c r="F1350">
        <v>6</v>
      </c>
      <c r="G1350">
        <v>6912</v>
      </c>
      <c r="H1350">
        <v>41472</v>
      </c>
      <c r="I1350">
        <f t="shared" si="21"/>
        <v>41472</v>
      </c>
    </row>
    <row r="1351" spans="1:9" x14ac:dyDescent="0.3">
      <c r="A1351">
        <v>11350</v>
      </c>
      <c r="B1351" s="2">
        <v>45274</v>
      </c>
      <c r="C1351" t="s">
        <v>12</v>
      </c>
      <c r="D1351" t="s">
        <v>16</v>
      </c>
      <c r="E1351" t="s">
        <v>22</v>
      </c>
      <c r="F1351">
        <v>2</v>
      </c>
      <c r="G1351">
        <v>10724</v>
      </c>
      <c r="H1351">
        <v>21448</v>
      </c>
      <c r="I1351">
        <f t="shared" si="21"/>
        <v>21448</v>
      </c>
    </row>
    <row r="1352" spans="1:9" x14ac:dyDescent="0.3">
      <c r="A1352">
        <v>11351</v>
      </c>
      <c r="B1352" s="2">
        <v>45259</v>
      </c>
      <c r="C1352" t="s">
        <v>8</v>
      </c>
      <c r="D1352" t="s">
        <v>16</v>
      </c>
      <c r="E1352" t="s">
        <v>21</v>
      </c>
      <c r="F1352">
        <v>1</v>
      </c>
      <c r="G1352">
        <v>6471</v>
      </c>
      <c r="H1352">
        <v>6471</v>
      </c>
      <c r="I1352">
        <f t="shared" si="21"/>
        <v>6471</v>
      </c>
    </row>
    <row r="1353" spans="1:9" x14ac:dyDescent="0.3">
      <c r="A1353">
        <v>11352</v>
      </c>
      <c r="B1353" s="2">
        <v>45150</v>
      </c>
      <c r="C1353" t="s">
        <v>12</v>
      </c>
      <c r="D1353" t="s">
        <v>17</v>
      </c>
      <c r="E1353" t="s">
        <v>19</v>
      </c>
      <c r="F1353">
        <v>1</v>
      </c>
      <c r="G1353">
        <v>55375</v>
      </c>
      <c r="H1353">
        <v>55375</v>
      </c>
      <c r="I1353">
        <f t="shared" si="21"/>
        <v>55375</v>
      </c>
    </row>
    <row r="1354" spans="1:9" x14ac:dyDescent="0.3">
      <c r="A1354">
        <v>11353</v>
      </c>
      <c r="B1354" s="2">
        <v>45265</v>
      </c>
      <c r="C1354" t="s">
        <v>11</v>
      </c>
      <c r="D1354" t="s">
        <v>18</v>
      </c>
      <c r="E1354" t="s">
        <v>20</v>
      </c>
      <c r="F1354">
        <v>6</v>
      </c>
      <c r="G1354">
        <v>31399</v>
      </c>
      <c r="H1354">
        <v>188394</v>
      </c>
      <c r="I1354">
        <f t="shared" si="21"/>
        <v>188394</v>
      </c>
    </row>
    <row r="1355" spans="1:9" x14ac:dyDescent="0.3">
      <c r="A1355">
        <v>11354</v>
      </c>
      <c r="B1355" s="2">
        <v>45158</v>
      </c>
      <c r="C1355" t="s">
        <v>12</v>
      </c>
      <c r="D1355" t="s">
        <v>17</v>
      </c>
      <c r="E1355" t="s">
        <v>22</v>
      </c>
      <c r="F1355">
        <v>11</v>
      </c>
      <c r="G1355">
        <v>10295</v>
      </c>
      <c r="H1355">
        <v>113245</v>
      </c>
      <c r="I1355">
        <f t="shared" si="21"/>
        <v>113245</v>
      </c>
    </row>
    <row r="1356" spans="1:9" x14ac:dyDescent="0.3">
      <c r="A1356">
        <v>11355</v>
      </c>
      <c r="B1356" s="2">
        <v>45124</v>
      </c>
      <c r="C1356" t="s">
        <v>13</v>
      </c>
      <c r="D1356" t="s">
        <v>16</v>
      </c>
      <c r="E1356" t="s">
        <v>24</v>
      </c>
      <c r="F1356">
        <v>5</v>
      </c>
      <c r="G1356">
        <v>19641</v>
      </c>
      <c r="H1356">
        <v>98205</v>
      </c>
      <c r="I1356">
        <f t="shared" si="21"/>
        <v>98205</v>
      </c>
    </row>
    <row r="1357" spans="1:9" x14ac:dyDescent="0.3">
      <c r="A1357">
        <v>11356</v>
      </c>
      <c r="B1357" s="2">
        <v>45218</v>
      </c>
      <c r="C1357" t="s">
        <v>8</v>
      </c>
      <c r="D1357" t="s">
        <v>18</v>
      </c>
      <c r="E1357" t="s">
        <v>24</v>
      </c>
      <c r="F1357">
        <v>19</v>
      </c>
      <c r="G1357">
        <v>39353</v>
      </c>
      <c r="H1357">
        <v>747707</v>
      </c>
      <c r="I1357">
        <f t="shared" si="21"/>
        <v>747707</v>
      </c>
    </row>
    <row r="1358" spans="1:9" x14ac:dyDescent="0.3">
      <c r="A1358">
        <v>11357</v>
      </c>
      <c r="B1358" s="2">
        <v>45028</v>
      </c>
      <c r="C1358" t="s">
        <v>11</v>
      </c>
      <c r="D1358" t="s">
        <v>15</v>
      </c>
      <c r="E1358" t="s">
        <v>22</v>
      </c>
      <c r="F1358">
        <v>5</v>
      </c>
      <c r="G1358">
        <v>44014</v>
      </c>
      <c r="H1358">
        <v>220070</v>
      </c>
      <c r="I1358">
        <f t="shared" si="21"/>
        <v>220070</v>
      </c>
    </row>
    <row r="1359" spans="1:9" x14ac:dyDescent="0.3">
      <c r="A1359">
        <v>11358</v>
      </c>
      <c r="B1359" s="2">
        <v>44991</v>
      </c>
      <c r="C1359" t="s">
        <v>10</v>
      </c>
      <c r="D1359" t="s">
        <v>17</v>
      </c>
      <c r="E1359" t="s">
        <v>20</v>
      </c>
      <c r="F1359">
        <v>13</v>
      </c>
      <c r="G1359">
        <v>36614</v>
      </c>
      <c r="H1359">
        <v>475982</v>
      </c>
      <c r="I1359">
        <f t="shared" si="21"/>
        <v>475982</v>
      </c>
    </row>
    <row r="1360" spans="1:9" x14ac:dyDescent="0.3">
      <c r="A1360">
        <v>11359</v>
      </c>
      <c r="B1360" s="2">
        <v>44954</v>
      </c>
      <c r="C1360" t="s">
        <v>9</v>
      </c>
      <c r="D1360" t="s">
        <v>17</v>
      </c>
      <c r="E1360" t="s">
        <v>19</v>
      </c>
      <c r="F1360">
        <v>18</v>
      </c>
      <c r="G1360">
        <v>1570</v>
      </c>
      <c r="H1360">
        <v>28260</v>
      </c>
      <c r="I1360">
        <f t="shared" si="21"/>
        <v>28260</v>
      </c>
    </row>
    <row r="1361" spans="1:9" x14ac:dyDescent="0.3">
      <c r="A1361">
        <v>11360</v>
      </c>
      <c r="B1361" s="2">
        <v>44947</v>
      </c>
      <c r="C1361" t="s">
        <v>14</v>
      </c>
      <c r="D1361" t="s">
        <v>16</v>
      </c>
      <c r="E1361" t="s">
        <v>21</v>
      </c>
      <c r="F1361">
        <v>14</v>
      </c>
      <c r="G1361">
        <v>51748</v>
      </c>
      <c r="H1361">
        <v>724472</v>
      </c>
      <c r="I1361">
        <f t="shared" si="21"/>
        <v>724472</v>
      </c>
    </row>
    <row r="1362" spans="1:9" x14ac:dyDescent="0.3">
      <c r="A1362">
        <v>11361</v>
      </c>
      <c r="B1362" s="2">
        <v>45237</v>
      </c>
      <c r="C1362" t="s">
        <v>9</v>
      </c>
      <c r="D1362" t="s">
        <v>18</v>
      </c>
      <c r="E1362" t="s">
        <v>19</v>
      </c>
      <c r="F1362">
        <v>20</v>
      </c>
      <c r="G1362">
        <v>730</v>
      </c>
      <c r="H1362">
        <v>14600</v>
      </c>
      <c r="I1362">
        <f t="shared" si="21"/>
        <v>14600</v>
      </c>
    </row>
    <row r="1363" spans="1:9" x14ac:dyDescent="0.3">
      <c r="A1363">
        <v>11362</v>
      </c>
      <c r="B1363" s="2">
        <v>44964</v>
      </c>
      <c r="C1363" t="s">
        <v>12</v>
      </c>
      <c r="D1363" t="s">
        <v>17</v>
      </c>
      <c r="E1363" t="s">
        <v>24</v>
      </c>
      <c r="F1363">
        <v>11</v>
      </c>
      <c r="G1363">
        <v>10557</v>
      </c>
      <c r="H1363">
        <v>116127</v>
      </c>
      <c r="I1363">
        <f t="shared" si="21"/>
        <v>116127</v>
      </c>
    </row>
    <row r="1364" spans="1:9" x14ac:dyDescent="0.3">
      <c r="A1364">
        <v>11363</v>
      </c>
      <c r="B1364" s="2">
        <v>44997</v>
      </c>
      <c r="C1364" t="s">
        <v>14</v>
      </c>
      <c r="D1364" t="s">
        <v>18</v>
      </c>
      <c r="E1364" t="s">
        <v>23</v>
      </c>
      <c r="F1364">
        <v>13</v>
      </c>
      <c r="G1364">
        <v>34954</v>
      </c>
      <c r="H1364">
        <v>454402</v>
      </c>
      <c r="I1364">
        <f t="shared" si="21"/>
        <v>454402</v>
      </c>
    </row>
    <row r="1365" spans="1:9" x14ac:dyDescent="0.3">
      <c r="A1365">
        <v>11364</v>
      </c>
      <c r="B1365" s="2">
        <v>45045</v>
      </c>
      <c r="C1365" t="s">
        <v>13</v>
      </c>
      <c r="D1365" t="s">
        <v>17</v>
      </c>
      <c r="E1365" t="s">
        <v>22</v>
      </c>
      <c r="F1365">
        <v>1</v>
      </c>
      <c r="G1365">
        <v>9569</v>
      </c>
      <c r="H1365">
        <v>9569</v>
      </c>
      <c r="I1365">
        <f t="shared" si="21"/>
        <v>9569</v>
      </c>
    </row>
    <row r="1366" spans="1:9" x14ac:dyDescent="0.3">
      <c r="A1366">
        <v>11365</v>
      </c>
      <c r="B1366" s="2">
        <v>45014</v>
      </c>
      <c r="C1366" t="s">
        <v>11</v>
      </c>
      <c r="D1366" t="s">
        <v>15</v>
      </c>
      <c r="E1366" t="s">
        <v>24</v>
      </c>
      <c r="F1366">
        <v>13</v>
      </c>
      <c r="G1366">
        <v>49426</v>
      </c>
      <c r="H1366">
        <v>642538</v>
      </c>
      <c r="I1366">
        <f t="shared" si="21"/>
        <v>642538</v>
      </c>
    </row>
    <row r="1367" spans="1:9" x14ac:dyDescent="0.3">
      <c r="A1367">
        <v>11366</v>
      </c>
      <c r="B1367" s="2">
        <v>45016</v>
      </c>
      <c r="C1367" t="s">
        <v>13</v>
      </c>
      <c r="D1367" t="s">
        <v>18</v>
      </c>
      <c r="E1367" t="s">
        <v>19</v>
      </c>
      <c r="F1367">
        <v>6</v>
      </c>
      <c r="G1367">
        <v>40605</v>
      </c>
      <c r="H1367">
        <v>243630</v>
      </c>
      <c r="I1367">
        <f t="shared" si="21"/>
        <v>243630</v>
      </c>
    </row>
    <row r="1368" spans="1:9" x14ac:dyDescent="0.3">
      <c r="A1368">
        <v>11367</v>
      </c>
      <c r="B1368" s="2">
        <v>45289</v>
      </c>
      <c r="C1368" t="s">
        <v>9</v>
      </c>
      <c r="D1368" t="s">
        <v>17</v>
      </c>
      <c r="E1368" t="s">
        <v>24</v>
      </c>
      <c r="F1368">
        <v>12</v>
      </c>
      <c r="G1368">
        <v>27594</v>
      </c>
      <c r="H1368">
        <v>331128</v>
      </c>
      <c r="I1368">
        <f t="shared" si="21"/>
        <v>331128</v>
      </c>
    </row>
    <row r="1369" spans="1:9" x14ac:dyDescent="0.3">
      <c r="A1369">
        <v>11368</v>
      </c>
      <c r="B1369" s="2">
        <v>45233</v>
      </c>
      <c r="C1369" t="s">
        <v>11</v>
      </c>
      <c r="D1369" t="s">
        <v>17</v>
      </c>
      <c r="E1369" t="s">
        <v>22</v>
      </c>
      <c r="F1369">
        <v>15</v>
      </c>
      <c r="G1369">
        <v>37163</v>
      </c>
      <c r="H1369">
        <v>557445</v>
      </c>
      <c r="I1369">
        <f t="shared" si="21"/>
        <v>557445</v>
      </c>
    </row>
    <row r="1370" spans="1:9" x14ac:dyDescent="0.3">
      <c r="A1370">
        <v>11369</v>
      </c>
      <c r="B1370" s="2">
        <v>45176</v>
      </c>
      <c r="C1370" t="s">
        <v>10</v>
      </c>
      <c r="D1370" t="s">
        <v>16</v>
      </c>
      <c r="E1370" t="s">
        <v>22</v>
      </c>
      <c r="F1370">
        <v>9</v>
      </c>
      <c r="G1370">
        <v>39020</v>
      </c>
      <c r="H1370">
        <v>351180</v>
      </c>
      <c r="I1370">
        <f t="shared" si="21"/>
        <v>351180</v>
      </c>
    </row>
    <row r="1371" spans="1:9" x14ac:dyDescent="0.3">
      <c r="A1371">
        <v>11370</v>
      </c>
      <c r="B1371" s="2">
        <v>45169</v>
      </c>
      <c r="C1371" t="s">
        <v>12</v>
      </c>
      <c r="D1371" t="s">
        <v>15</v>
      </c>
      <c r="E1371" t="s">
        <v>20</v>
      </c>
      <c r="F1371">
        <v>9</v>
      </c>
      <c r="G1371">
        <v>19035</v>
      </c>
      <c r="H1371">
        <v>171315</v>
      </c>
      <c r="I1371">
        <f t="shared" si="21"/>
        <v>171315</v>
      </c>
    </row>
    <row r="1372" spans="1:9" x14ac:dyDescent="0.3">
      <c r="A1372">
        <v>11371</v>
      </c>
      <c r="B1372" s="2">
        <v>45228</v>
      </c>
      <c r="C1372" t="s">
        <v>13</v>
      </c>
      <c r="D1372" t="s">
        <v>16</v>
      </c>
      <c r="E1372" t="s">
        <v>24</v>
      </c>
      <c r="F1372">
        <v>5</v>
      </c>
      <c r="G1372">
        <v>44587</v>
      </c>
      <c r="H1372">
        <v>222935</v>
      </c>
      <c r="I1372">
        <f t="shared" si="21"/>
        <v>222935</v>
      </c>
    </row>
    <row r="1373" spans="1:9" x14ac:dyDescent="0.3">
      <c r="A1373">
        <v>11372</v>
      </c>
      <c r="B1373" s="2">
        <v>45292</v>
      </c>
      <c r="C1373" t="s">
        <v>9</v>
      </c>
      <c r="D1373" t="s">
        <v>16</v>
      </c>
      <c r="E1373" t="s">
        <v>24</v>
      </c>
      <c r="F1373">
        <v>5</v>
      </c>
      <c r="G1373">
        <v>56406</v>
      </c>
      <c r="H1373">
        <v>282030</v>
      </c>
      <c r="I1373">
        <f t="shared" si="21"/>
        <v>282030</v>
      </c>
    </row>
    <row r="1374" spans="1:9" x14ac:dyDescent="0.3">
      <c r="A1374">
        <v>11373</v>
      </c>
      <c r="B1374" s="2">
        <v>45061</v>
      </c>
      <c r="C1374" t="s">
        <v>10</v>
      </c>
      <c r="D1374" t="s">
        <v>15</v>
      </c>
      <c r="E1374" t="s">
        <v>19</v>
      </c>
      <c r="F1374">
        <v>12</v>
      </c>
      <c r="G1374">
        <v>58117</v>
      </c>
      <c r="H1374">
        <v>697404</v>
      </c>
      <c r="I1374">
        <f t="shared" si="21"/>
        <v>697404</v>
      </c>
    </row>
    <row r="1375" spans="1:9" x14ac:dyDescent="0.3">
      <c r="A1375">
        <v>11374</v>
      </c>
      <c r="B1375" s="2">
        <v>45143</v>
      </c>
      <c r="C1375" t="s">
        <v>8</v>
      </c>
      <c r="D1375" t="s">
        <v>18</v>
      </c>
      <c r="E1375" t="s">
        <v>20</v>
      </c>
      <c r="F1375">
        <v>10</v>
      </c>
      <c r="G1375">
        <v>15035</v>
      </c>
      <c r="H1375">
        <v>150350</v>
      </c>
      <c r="I1375">
        <f t="shared" si="21"/>
        <v>150350</v>
      </c>
    </row>
    <row r="1376" spans="1:9" x14ac:dyDescent="0.3">
      <c r="A1376">
        <v>11375</v>
      </c>
      <c r="B1376" s="2">
        <v>45013</v>
      </c>
      <c r="C1376" t="s">
        <v>11</v>
      </c>
      <c r="D1376" t="s">
        <v>15</v>
      </c>
      <c r="E1376" t="s">
        <v>23</v>
      </c>
      <c r="F1376">
        <v>10</v>
      </c>
      <c r="G1376">
        <v>12490</v>
      </c>
      <c r="H1376">
        <v>124900</v>
      </c>
      <c r="I1376">
        <f t="shared" si="21"/>
        <v>124900</v>
      </c>
    </row>
    <row r="1377" spans="1:9" x14ac:dyDescent="0.3">
      <c r="A1377">
        <v>11376</v>
      </c>
      <c r="B1377" s="2">
        <v>44979</v>
      </c>
      <c r="C1377" t="s">
        <v>11</v>
      </c>
      <c r="D1377" t="s">
        <v>16</v>
      </c>
      <c r="E1377" t="s">
        <v>21</v>
      </c>
      <c r="F1377">
        <v>16</v>
      </c>
      <c r="G1377">
        <v>43054</v>
      </c>
      <c r="H1377">
        <v>688864</v>
      </c>
      <c r="I1377">
        <f t="shared" si="21"/>
        <v>688864</v>
      </c>
    </row>
    <row r="1378" spans="1:9" x14ac:dyDescent="0.3">
      <c r="A1378">
        <v>11377</v>
      </c>
      <c r="B1378" s="2">
        <v>45225</v>
      </c>
      <c r="C1378" t="s">
        <v>14</v>
      </c>
      <c r="D1378" t="s">
        <v>16</v>
      </c>
      <c r="E1378" t="s">
        <v>24</v>
      </c>
      <c r="F1378">
        <v>17</v>
      </c>
      <c r="G1378">
        <v>9521</v>
      </c>
      <c r="H1378">
        <v>161857</v>
      </c>
      <c r="I1378">
        <f t="shared" si="21"/>
        <v>161857</v>
      </c>
    </row>
    <row r="1379" spans="1:9" x14ac:dyDescent="0.3">
      <c r="A1379">
        <v>11378</v>
      </c>
      <c r="B1379" s="2">
        <v>44998</v>
      </c>
      <c r="C1379" t="s">
        <v>9</v>
      </c>
      <c r="D1379" t="s">
        <v>18</v>
      </c>
      <c r="E1379" t="s">
        <v>22</v>
      </c>
      <c r="F1379">
        <v>19</v>
      </c>
      <c r="G1379">
        <v>24465</v>
      </c>
      <c r="H1379">
        <v>464835</v>
      </c>
      <c r="I1379">
        <f t="shared" si="21"/>
        <v>464835</v>
      </c>
    </row>
    <row r="1380" spans="1:9" x14ac:dyDescent="0.3">
      <c r="A1380">
        <v>11379</v>
      </c>
      <c r="B1380" s="2">
        <v>45126</v>
      </c>
      <c r="C1380" t="s">
        <v>10</v>
      </c>
      <c r="D1380" t="s">
        <v>16</v>
      </c>
      <c r="E1380" t="s">
        <v>20</v>
      </c>
      <c r="F1380">
        <v>11</v>
      </c>
      <c r="G1380">
        <v>23001</v>
      </c>
      <c r="H1380">
        <v>253011</v>
      </c>
      <c r="I1380">
        <f t="shared" si="21"/>
        <v>253011</v>
      </c>
    </row>
    <row r="1381" spans="1:9" x14ac:dyDescent="0.3">
      <c r="A1381">
        <v>11380</v>
      </c>
      <c r="B1381" s="2">
        <v>45228</v>
      </c>
      <c r="C1381" t="s">
        <v>12</v>
      </c>
      <c r="D1381" t="s">
        <v>15</v>
      </c>
      <c r="E1381" t="s">
        <v>19</v>
      </c>
      <c r="F1381">
        <v>15</v>
      </c>
      <c r="G1381">
        <v>24524</v>
      </c>
      <c r="H1381">
        <v>367860</v>
      </c>
      <c r="I1381">
        <f t="shared" si="21"/>
        <v>367860</v>
      </c>
    </row>
    <row r="1382" spans="1:9" x14ac:dyDescent="0.3">
      <c r="A1382">
        <v>11381</v>
      </c>
      <c r="B1382" s="2">
        <v>45142</v>
      </c>
      <c r="C1382" t="s">
        <v>14</v>
      </c>
      <c r="D1382" t="s">
        <v>16</v>
      </c>
      <c r="E1382" t="s">
        <v>19</v>
      </c>
      <c r="F1382">
        <v>17</v>
      </c>
      <c r="G1382">
        <v>10427</v>
      </c>
      <c r="H1382">
        <v>177259</v>
      </c>
      <c r="I1382">
        <f t="shared" si="21"/>
        <v>177259</v>
      </c>
    </row>
    <row r="1383" spans="1:9" x14ac:dyDescent="0.3">
      <c r="A1383">
        <v>11382</v>
      </c>
      <c r="B1383" s="2">
        <v>44966</v>
      </c>
      <c r="C1383" t="s">
        <v>11</v>
      </c>
      <c r="D1383" t="s">
        <v>16</v>
      </c>
      <c r="E1383" t="s">
        <v>22</v>
      </c>
      <c r="F1383">
        <v>3</v>
      </c>
      <c r="G1383">
        <v>57188</v>
      </c>
      <c r="H1383">
        <v>171564</v>
      </c>
      <c r="I1383">
        <f t="shared" si="21"/>
        <v>171564</v>
      </c>
    </row>
    <row r="1384" spans="1:9" x14ac:dyDescent="0.3">
      <c r="A1384">
        <v>11383</v>
      </c>
      <c r="B1384" s="2">
        <v>45154</v>
      </c>
      <c r="C1384" t="s">
        <v>9</v>
      </c>
      <c r="D1384" t="s">
        <v>16</v>
      </c>
      <c r="E1384" t="s">
        <v>23</v>
      </c>
      <c r="F1384">
        <v>17</v>
      </c>
      <c r="G1384">
        <v>43300</v>
      </c>
      <c r="H1384">
        <v>736100</v>
      </c>
      <c r="I1384">
        <f t="shared" si="21"/>
        <v>736100</v>
      </c>
    </row>
    <row r="1385" spans="1:9" x14ac:dyDescent="0.3">
      <c r="A1385">
        <v>11384</v>
      </c>
      <c r="B1385" s="2">
        <v>45134</v>
      </c>
      <c r="C1385" t="s">
        <v>11</v>
      </c>
      <c r="D1385" t="s">
        <v>15</v>
      </c>
      <c r="E1385" t="s">
        <v>23</v>
      </c>
      <c r="F1385">
        <v>16</v>
      </c>
      <c r="G1385">
        <v>26513</v>
      </c>
      <c r="H1385">
        <v>424208</v>
      </c>
      <c r="I1385">
        <f t="shared" si="21"/>
        <v>424208</v>
      </c>
    </row>
    <row r="1386" spans="1:9" x14ac:dyDescent="0.3">
      <c r="A1386">
        <v>11385</v>
      </c>
      <c r="B1386" s="2">
        <v>44974</v>
      </c>
      <c r="C1386" t="s">
        <v>11</v>
      </c>
      <c r="D1386" t="s">
        <v>15</v>
      </c>
      <c r="E1386" t="s">
        <v>19</v>
      </c>
      <c r="F1386">
        <v>1</v>
      </c>
      <c r="G1386">
        <v>13926</v>
      </c>
      <c r="H1386">
        <v>13926</v>
      </c>
      <c r="I1386">
        <f t="shared" si="21"/>
        <v>13926</v>
      </c>
    </row>
    <row r="1387" spans="1:9" x14ac:dyDescent="0.3">
      <c r="A1387">
        <v>11386</v>
      </c>
      <c r="B1387" s="2">
        <v>45252</v>
      </c>
      <c r="C1387" t="s">
        <v>13</v>
      </c>
      <c r="D1387" t="s">
        <v>17</v>
      </c>
      <c r="E1387" t="s">
        <v>21</v>
      </c>
      <c r="F1387">
        <v>9</v>
      </c>
      <c r="G1387">
        <v>20740</v>
      </c>
      <c r="H1387">
        <v>186660</v>
      </c>
      <c r="I1387">
        <f t="shared" si="21"/>
        <v>186660</v>
      </c>
    </row>
    <row r="1388" spans="1:9" x14ac:dyDescent="0.3">
      <c r="A1388">
        <v>11387</v>
      </c>
      <c r="B1388" s="2">
        <v>45181</v>
      </c>
      <c r="C1388" t="s">
        <v>12</v>
      </c>
      <c r="D1388" t="s">
        <v>17</v>
      </c>
      <c r="E1388" t="s">
        <v>21</v>
      </c>
      <c r="F1388">
        <v>19</v>
      </c>
      <c r="G1388">
        <v>34166</v>
      </c>
      <c r="H1388">
        <v>649154</v>
      </c>
      <c r="I1388">
        <f t="shared" si="21"/>
        <v>649154</v>
      </c>
    </row>
    <row r="1389" spans="1:9" x14ac:dyDescent="0.3">
      <c r="A1389">
        <v>11388</v>
      </c>
      <c r="B1389" s="2">
        <v>45050</v>
      </c>
      <c r="C1389" t="s">
        <v>10</v>
      </c>
      <c r="D1389" t="s">
        <v>18</v>
      </c>
      <c r="E1389" t="s">
        <v>24</v>
      </c>
      <c r="F1389">
        <v>5</v>
      </c>
      <c r="G1389">
        <v>24591</v>
      </c>
      <c r="H1389">
        <v>122955</v>
      </c>
      <c r="I1389">
        <f t="shared" si="21"/>
        <v>122955</v>
      </c>
    </row>
    <row r="1390" spans="1:9" x14ac:dyDescent="0.3">
      <c r="A1390">
        <v>11389</v>
      </c>
      <c r="B1390" s="2">
        <v>45152</v>
      </c>
      <c r="C1390" t="s">
        <v>11</v>
      </c>
      <c r="D1390" t="s">
        <v>15</v>
      </c>
      <c r="E1390" t="s">
        <v>24</v>
      </c>
      <c r="F1390">
        <v>11</v>
      </c>
      <c r="G1390">
        <v>19887</v>
      </c>
      <c r="H1390">
        <v>218757</v>
      </c>
      <c r="I1390">
        <f t="shared" si="21"/>
        <v>218757</v>
      </c>
    </row>
    <row r="1391" spans="1:9" x14ac:dyDescent="0.3">
      <c r="A1391">
        <v>11390</v>
      </c>
      <c r="B1391" s="2">
        <v>45003</v>
      </c>
      <c r="C1391" t="s">
        <v>9</v>
      </c>
      <c r="D1391" t="s">
        <v>17</v>
      </c>
      <c r="E1391" t="s">
        <v>22</v>
      </c>
      <c r="F1391">
        <v>15</v>
      </c>
      <c r="G1391">
        <v>3406</v>
      </c>
      <c r="H1391">
        <v>51090</v>
      </c>
      <c r="I1391">
        <f t="shared" si="21"/>
        <v>51090</v>
      </c>
    </row>
    <row r="1392" spans="1:9" x14ac:dyDescent="0.3">
      <c r="A1392">
        <v>11391</v>
      </c>
      <c r="B1392" s="2">
        <v>45213</v>
      </c>
      <c r="C1392" t="s">
        <v>9</v>
      </c>
      <c r="D1392" t="s">
        <v>18</v>
      </c>
      <c r="E1392" t="s">
        <v>21</v>
      </c>
      <c r="F1392">
        <v>9</v>
      </c>
      <c r="G1392">
        <v>57515</v>
      </c>
      <c r="H1392">
        <v>517635</v>
      </c>
      <c r="I1392">
        <f t="shared" si="21"/>
        <v>517635</v>
      </c>
    </row>
    <row r="1393" spans="1:9" x14ac:dyDescent="0.3">
      <c r="A1393">
        <v>11392</v>
      </c>
      <c r="B1393" s="2">
        <v>44960</v>
      </c>
      <c r="C1393" t="s">
        <v>8</v>
      </c>
      <c r="D1393" t="s">
        <v>15</v>
      </c>
      <c r="E1393" t="s">
        <v>23</v>
      </c>
      <c r="F1393">
        <v>12</v>
      </c>
      <c r="G1393">
        <v>2424</v>
      </c>
      <c r="H1393">
        <v>29088</v>
      </c>
      <c r="I1393">
        <f t="shared" si="21"/>
        <v>29088</v>
      </c>
    </row>
    <row r="1394" spans="1:9" x14ac:dyDescent="0.3">
      <c r="A1394">
        <v>11393</v>
      </c>
      <c r="B1394" s="2">
        <v>45153</v>
      </c>
      <c r="C1394" t="s">
        <v>11</v>
      </c>
      <c r="D1394" t="s">
        <v>15</v>
      </c>
      <c r="E1394" t="s">
        <v>21</v>
      </c>
      <c r="F1394">
        <v>5</v>
      </c>
      <c r="G1394">
        <v>34572</v>
      </c>
      <c r="H1394">
        <v>172860</v>
      </c>
      <c r="I1394">
        <f t="shared" si="21"/>
        <v>172860</v>
      </c>
    </row>
    <row r="1395" spans="1:9" x14ac:dyDescent="0.3">
      <c r="A1395">
        <v>11394</v>
      </c>
      <c r="B1395" s="2">
        <v>44998</v>
      </c>
      <c r="C1395" t="s">
        <v>10</v>
      </c>
      <c r="D1395" t="s">
        <v>17</v>
      </c>
      <c r="E1395" t="s">
        <v>22</v>
      </c>
      <c r="F1395">
        <v>20</v>
      </c>
      <c r="G1395">
        <v>17573</v>
      </c>
      <c r="H1395">
        <v>351460</v>
      </c>
      <c r="I1395">
        <f t="shared" si="21"/>
        <v>351460</v>
      </c>
    </row>
    <row r="1396" spans="1:9" x14ac:dyDescent="0.3">
      <c r="A1396">
        <v>11395</v>
      </c>
      <c r="B1396" s="2">
        <v>45085</v>
      </c>
      <c r="C1396" t="s">
        <v>14</v>
      </c>
      <c r="D1396" t="s">
        <v>17</v>
      </c>
      <c r="E1396" t="s">
        <v>23</v>
      </c>
      <c r="F1396">
        <v>8</v>
      </c>
      <c r="G1396">
        <v>3648</v>
      </c>
      <c r="H1396">
        <v>29184</v>
      </c>
      <c r="I1396">
        <f t="shared" si="21"/>
        <v>29184</v>
      </c>
    </row>
    <row r="1397" spans="1:9" x14ac:dyDescent="0.3">
      <c r="A1397">
        <v>11396</v>
      </c>
      <c r="B1397" s="2">
        <v>45231</v>
      </c>
      <c r="C1397" t="s">
        <v>13</v>
      </c>
      <c r="D1397" t="s">
        <v>16</v>
      </c>
      <c r="E1397" t="s">
        <v>22</v>
      </c>
      <c r="F1397">
        <v>19</v>
      </c>
      <c r="G1397">
        <v>7140</v>
      </c>
      <c r="H1397">
        <v>135660</v>
      </c>
      <c r="I1397">
        <f t="shared" si="21"/>
        <v>135660</v>
      </c>
    </row>
    <row r="1398" spans="1:9" x14ac:dyDescent="0.3">
      <c r="A1398">
        <v>11397</v>
      </c>
      <c r="B1398" s="2">
        <v>45182</v>
      </c>
      <c r="C1398" t="s">
        <v>8</v>
      </c>
      <c r="D1398" t="s">
        <v>17</v>
      </c>
      <c r="E1398" t="s">
        <v>20</v>
      </c>
      <c r="F1398">
        <v>3</v>
      </c>
      <c r="G1398">
        <v>51009</v>
      </c>
      <c r="H1398">
        <v>153027</v>
      </c>
      <c r="I1398">
        <f t="shared" si="21"/>
        <v>153027</v>
      </c>
    </row>
    <row r="1399" spans="1:9" x14ac:dyDescent="0.3">
      <c r="A1399">
        <v>11398</v>
      </c>
      <c r="B1399" s="2">
        <v>45260</v>
      </c>
      <c r="C1399" t="s">
        <v>14</v>
      </c>
      <c r="D1399" t="s">
        <v>17</v>
      </c>
      <c r="E1399" t="s">
        <v>20</v>
      </c>
      <c r="F1399">
        <v>11</v>
      </c>
      <c r="G1399">
        <v>33760</v>
      </c>
      <c r="H1399">
        <v>371360</v>
      </c>
      <c r="I1399">
        <f t="shared" si="21"/>
        <v>371360</v>
      </c>
    </row>
    <row r="1400" spans="1:9" x14ac:dyDescent="0.3">
      <c r="A1400">
        <v>11399</v>
      </c>
      <c r="B1400" s="2">
        <v>45219</v>
      </c>
      <c r="C1400" t="s">
        <v>11</v>
      </c>
      <c r="D1400" t="s">
        <v>15</v>
      </c>
      <c r="E1400" t="s">
        <v>23</v>
      </c>
      <c r="F1400">
        <v>7</v>
      </c>
      <c r="G1400">
        <v>17911</v>
      </c>
      <c r="H1400">
        <v>125377</v>
      </c>
      <c r="I1400">
        <f t="shared" si="21"/>
        <v>125377</v>
      </c>
    </row>
    <row r="1401" spans="1:9" x14ac:dyDescent="0.3">
      <c r="A1401">
        <v>11400</v>
      </c>
      <c r="B1401" s="2">
        <v>45014</v>
      </c>
      <c r="C1401" t="s">
        <v>13</v>
      </c>
      <c r="D1401" t="s">
        <v>18</v>
      </c>
      <c r="E1401" t="s">
        <v>19</v>
      </c>
      <c r="F1401">
        <v>19</v>
      </c>
      <c r="G1401">
        <v>29545</v>
      </c>
      <c r="H1401">
        <v>561355</v>
      </c>
      <c r="I1401">
        <f t="shared" si="21"/>
        <v>561355</v>
      </c>
    </row>
    <row r="1402" spans="1:9" x14ac:dyDescent="0.3">
      <c r="A1402">
        <v>11401</v>
      </c>
      <c r="B1402" s="2">
        <v>44967</v>
      </c>
      <c r="C1402" t="s">
        <v>12</v>
      </c>
      <c r="D1402" t="s">
        <v>18</v>
      </c>
      <c r="E1402" t="s">
        <v>23</v>
      </c>
      <c r="F1402">
        <v>11</v>
      </c>
      <c r="G1402">
        <v>31846</v>
      </c>
      <c r="H1402">
        <v>350306</v>
      </c>
      <c r="I1402">
        <f t="shared" si="21"/>
        <v>350306</v>
      </c>
    </row>
    <row r="1403" spans="1:9" x14ac:dyDescent="0.3">
      <c r="A1403">
        <v>11402</v>
      </c>
      <c r="B1403" s="2">
        <v>45042</v>
      </c>
      <c r="C1403" t="s">
        <v>9</v>
      </c>
      <c r="D1403" t="s">
        <v>17</v>
      </c>
      <c r="E1403" t="s">
        <v>22</v>
      </c>
      <c r="F1403">
        <v>13</v>
      </c>
      <c r="G1403">
        <v>15719</v>
      </c>
      <c r="H1403">
        <v>204347</v>
      </c>
      <c r="I1403">
        <f t="shared" si="21"/>
        <v>204347</v>
      </c>
    </row>
    <row r="1404" spans="1:9" x14ac:dyDescent="0.3">
      <c r="A1404">
        <v>11403</v>
      </c>
      <c r="B1404" s="2">
        <v>44945</v>
      </c>
      <c r="C1404" t="s">
        <v>10</v>
      </c>
      <c r="D1404" t="s">
        <v>18</v>
      </c>
      <c r="E1404" t="s">
        <v>20</v>
      </c>
      <c r="F1404">
        <v>8</v>
      </c>
      <c r="G1404">
        <v>25076</v>
      </c>
      <c r="H1404">
        <v>200608</v>
      </c>
      <c r="I1404">
        <f t="shared" si="21"/>
        <v>200608</v>
      </c>
    </row>
    <row r="1405" spans="1:9" x14ac:dyDescent="0.3">
      <c r="A1405">
        <v>11404</v>
      </c>
      <c r="B1405" s="2">
        <v>45056</v>
      </c>
      <c r="C1405" t="s">
        <v>8</v>
      </c>
      <c r="D1405" t="s">
        <v>16</v>
      </c>
      <c r="E1405" t="s">
        <v>24</v>
      </c>
      <c r="F1405">
        <v>12</v>
      </c>
      <c r="G1405">
        <v>11652</v>
      </c>
      <c r="H1405">
        <v>139824</v>
      </c>
      <c r="I1405">
        <f t="shared" si="21"/>
        <v>139824</v>
      </c>
    </row>
    <row r="1406" spans="1:9" x14ac:dyDescent="0.3">
      <c r="A1406">
        <v>11405</v>
      </c>
      <c r="B1406" s="2">
        <v>44988</v>
      </c>
      <c r="C1406" t="s">
        <v>9</v>
      </c>
      <c r="D1406" t="s">
        <v>18</v>
      </c>
      <c r="E1406" t="s">
        <v>23</v>
      </c>
      <c r="F1406">
        <v>15</v>
      </c>
      <c r="G1406">
        <v>43265</v>
      </c>
      <c r="H1406">
        <v>648975</v>
      </c>
      <c r="I1406">
        <f t="shared" si="21"/>
        <v>648975</v>
      </c>
    </row>
    <row r="1407" spans="1:9" x14ac:dyDescent="0.3">
      <c r="A1407">
        <v>11406</v>
      </c>
      <c r="B1407" s="2">
        <v>45219</v>
      </c>
      <c r="C1407" t="s">
        <v>9</v>
      </c>
      <c r="D1407" t="s">
        <v>15</v>
      </c>
      <c r="E1407" t="s">
        <v>23</v>
      </c>
      <c r="F1407">
        <v>10</v>
      </c>
      <c r="G1407">
        <v>2325</v>
      </c>
      <c r="H1407">
        <v>23250</v>
      </c>
      <c r="I1407">
        <f t="shared" si="21"/>
        <v>23250</v>
      </c>
    </row>
    <row r="1408" spans="1:9" x14ac:dyDescent="0.3">
      <c r="A1408">
        <v>11407</v>
      </c>
      <c r="B1408" s="2">
        <v>45116</v>
      </c>
      <c r="C1408" t="s">
        <v>10</v>
      </c>
      <c r="D1408" t="s">
        <v>17</v>
      </c>
      <c r="E1408" t="s">
        <v>21</v>
      </c>
      <c r="F1408">
        <v>9</v>
      </c>
      <c r="G1408">
        <v>49457</v>
      </c>
      <c r="H1408">
        <v>445113</v>
      </c>
      <c r="I1408">
        <f t="shared" si="21"/>
        <v>445113</v>
      </c>
    </row>
    <row r="1409" spans="1:9" x14ac:dyDescent="0.3">
      <c r="A1409">
        <v>11408</v>
      </c>
      <c r="B1409" s="2">
        <v>45282</v>
      </c>
      <c r="C1409" t="s">
        <v>8</v>
      </c>
      <c r="D1409" t="s">
        <v>15</v>
      </c>
      <c r="E1409" t="s">
        <v>21</v>
      </c>
      <c r="F1409">
        <v>13</v>
      </c>
      <c r="G1409">
        <v>29238</v>
      </c>
      <c r="H1409">
        <v>380094</v>
      </c>
      <c r="I1409">
        <f t="shared" si="21"/>
        <v>380094</v>
      </c>
    </row>
    <row r="1410" spans="1:9" x14ac:dyDescent="0.3">
      <c r="A1410">
        <v>11409</v>
      </c>
      <c r="B1410" s="2">
        <v>45206</v>
      </c>
      <c r="C1410" t="s">
        <v>9</v>
      </c>
      <c r="D1410" t="s">
        <v>17</v>
      </c>
      <c r="E1410" t="s">
        <v>20</v>
      </c>
      <c r="F1410">
        <v>15</v>
      </c>
      <c r="G1410">
        <v>37679</v>
      </c>
      <c r="H1410">
        <v>565185</v>
      </c>
      <c r="I1410">
        <f t="shared" si="21"/>
        <v>565185</v>
      </c>
    </row>
    <row r="1411" spans="1:9" x14ac:dyDescent="0.3">
      <c r="A1411">
        <v>11410</v>
      </c>
      <c r="B1411" s="2">
        <v>45190</v>
      </c>
      <c r="C1411" t="s">
        <v>10</v>
      </c>
      <c r="D1411" t="s">
        <v>18</v>
      </c>
      <c r="E1411" t="s">
        <v>23</v>
      </c>
      <c r="F1411">
        <v>18</v>
      </c>
      <c r="G1411">
        <v>53921</v>
      </c>
      <c r="H1411">
        <v>970578</v>
      </c>
      <c r="I1411">
        <f t="shared" ref="I1411:I1474" si="22">G1411*F1411</f>
        <v>970578</v>
      </c>
    </row>
    <row r="1412" spans="1:9" x14ac:dyDescent="0.3">
      <c r="A1412">
        <v>11411</v>
      </c>
      <c r="B1412" s="2">
        <v>44946</v>
      </c>
      <c r="C1412" t="s">
        <v>10</v>
      </c>
      <c r="D1412" t="s">
        <v>18</v>
      </c>
      <c r="E1412" t="s">
        <v>22</v>
      </c>
      <c r="F1412">
        <v>12</v>
      </c>
      <c r="G1412">
        <v>38730</v>
      </c>
      <c r="H1412">
        <v>464760</v>
      </c>
      <c r="I1412">
        <f t="shared" si="22"/>
        <v>464760</v>
      </c>
    </row>
    <row r="1413" spans="1:9" x14ac:dyDescent="0.3">
      <c r="A1413">
        <v>11412</v>
      </c>
      <c r="B1413" s="2">
        <v>45022</v>
      </c>
      <c r="C1413" t="s">
        <v>8</v>
      </c>
      <c r="D1413" t="s">
        <v>17</v>
      </c>
      <c r="E1413" t="s">
        <v>22</v>
      </c>
      <c r="F1413">
        <v>13</v>
      </c>
      <c r="G1413">
        <v>9088</v>
      </c>
      <c r="H1413">
        <v>118144</v>
      </c>
      <c r="I1413">
        <f t="shared" si="22"/>
        <v>118144</v>
      </c>
    </row>
    <row r="1414" spans="1:9" x14ac:dyDescent="0.3">
      <c r="A1414">
        <v>11413</v>
      </c>
      <c r="B1414" s="2">
        <v>45278</v>
      </c>
      <c r="C1414" t="s">
        <v>9</v>
      </c>
      <c r="D1414" t="s">
        <v>17</v>
      </c>
      <c r="E1414" t="s">
        <v>20</v>
      </c>
      <c r="F1414">
        <v>17</v>
      </c>
      <c r="G1414">
        <v>42835</v>
      </c>
      <c r="H1414">
        <v>728195</v>
      </c>
      <c r="I1414">
        <f t="shared" si="22"/>
        <v>728195</v>
      </c>
    </row>
    <row r="1415" spans="1:9" x14ac:dyDescent="0.3">
      <c r="A1415">
        <v>11414</v>
      </c>
      <c r="B1415" s="2">
        <v>44973</v>
      </c>
      <c r="C1415" t="s">
        <v>13</v>
      </c>
      <c r="D1415" t="s">
        <v>18</v>
      </c>
      <c r="E1415" t="s">
        <v>20</v>
      </c>
      <c r="F1415">
        <v>17</v>
      </c>
      <c r="G1415">
        <v>53895</v>
      </c>
      <c r="H1415">
        <v>916215</v>
      </c>
      <c r="I1415">
        <f t="shared" si="22"/>
        <v>916215</v>
      </c>
    </row>
    <row r="1416" spans="1:9" x14ac:dyDescent="0.3">
      <c r="A1416">
        <v>11415</v>
      </c>
      <c r="B1416" s="2">
        <v>45280</v>
      </c>
      <c r="C1416" t="s">
        <v>8</v>
      </c>
      <c r="D1416" t="s">
        <v>15</v>
      </c>
      <c r="E1416" t="s">
        <v>21</v>
      </c>
      <c r="F1416">
        <v>14</v>
      </c>
      <c r="G1416">
        <v>37812</v>
      </c>
      <c r="H1416">
        <v>529368</v>
      </c>
      <c r="I1416">
        <f t="shared" si="22"/>
        <v>529368</v>
      </c>
    </row>
    <row r="1417" spans="1:9" x14ac:dyDescent="0.3">
      <c r="A1417">
        <v>11416</v>
      </c>
      <c r="B1417" s="2">
        <v>44968</v>
      </c>
      <c r="C1417" t="s">
        <v>9</v>
      </c>
      <c r="D1417" t="s">
        <v>15</v>
      </c>
      <c r="E1417" t="s">
        <v>24</v>
      </c>
      <c r="F1417">
        <v>13</v>
      </c>
      <c r="G1417">
        <v>4553</v>
      </c>
      <c r="H1417">
        <v>59189</v>
      </c>
      <c r="I1417">
        <f t="shared" si="22"/>
        <v>59189</v>
      </c>
    </row>
    <row r="1418" spans="1:9" x14ac:dyDescent="0.3">
      <c r="A1418">
        <v>11417</v>
      </c>
      <c r="B1418" s="2">
        <v>45241</v>
      </c>
      <c r="C1418" t="s">
        <v>9</v>
      </c>
      <c r="D1418" t="s">
        <v>18</v>
      </c>
      <c r="E1418" t="s">
        <v>20</v>
      </c>
      <c r="F1418">
        <v>19</v>
      </c>
      <c r="G1418">
        <v>32996</v>
      </c>
      <c r="H1418">
        <v>626924</v>
      </c>
      <c r="I1418">
        <f t="shared" si="22"/>
        <v>626924</v>
      </c>
    </row>
    <row r="1419" spans="1:9" x14ac:dyDescent="0.3">
      <c r="A1419">
        <v>11418</v>
      </c>
      <c r="B1419" s="2">
        <v>45223</v>
      </c>
      <c r="C1419" t="s">
        <v>13</v>
      </c>
      <c r="D1419" t="s">
        <v>15</v>
      </c>
      <c r="E1419" t="s">
        <v>24</v>
      </c>
      <c r="F1419">
        <v>14</v>
      </c>
      <c r="G1419">
        <v>17816</v>
      </c>
      <c r="H1419">
        <v>249424</v>
      </c>
      <c r="I1419">
        <f t="shared" si="22"/>
        <v>249424</v>
      </c>
    </row>
    <row r="1420" spans="1:9" x14ac:dyDescent="0.3">
      <c r="A1420">
        <v>11419</v>
      </c>
      <c r="B1420" s="2">
        <v>45218</v>
      </c>
      <c r="C1420" t="s">
        <v>8</v>
      </c>
      <c r="D1420" t="s">
        <v>17</v>
      </c>
      <c r="E1420" t="s">
        <v>21</v>
      </c>
      <c r="F1420">
        <v>14</v>
      </c>
      <c r="G1420">
        <v>9196</v>
      </c>
      <c r="H1420">
        <v>128744</v>
      </c>
      <c r="I1420">
        <f t="shared" si="22"/>
        <v>128744</v>
      </c>
    </row>
    <row r="1421" spans="1:9" x14ac:dyDescent="0.3">
      <c r="A1421">
        <v>11420</v>
      </c>
      <c r="B1421" s="2">
        <v>45243</v>
      </c>
      <c r="C1421" t="s">
        <v>14</v>
      </c>
      <c r="D1421" t="s">
        <v>16</v>
      </c>
      <c r="E1421" t="s">
        <v>22</v>
      </c>
      <c r="F1421">
        <v>2</v>
      </c>
      <c r="G1421">
        <v>55702</v>
      </c>
      <c r="H1421">
        <v>111404</v>
      </c>
      <c r="I1421">
        <f t="shared" si="22"/>
        <v>111404</v>
      </c>
    </row>
    <row r="1422" spans="1:9" x14ac:dyDescent="0.3">
      <c r="A1422">
        <v>11421</v>
      </c>
      <c r="B1422" s="2">
        <v>45095</v>
      </c>
      <c r="C1422" t="s">
        <v>13</v>
      </c>
      <c r="D1422" t="s">
        <v>15</v>
      </c>
      <c r="E1422" t="s">
        <v>21</v>
      </c>
      <c r="F1422">
        <v>8</v>
      </c>
      <c r="G1422">
        <v>39323</v>
      </c>
      <c r="H1422">
        <v>314584</v>
      </c>
      <c r="I1422">
        <f t="shared" si="22"/>
        <v>314584</v>
      </c>
    </row>
    <row r="1423" spans="1:9" x14ac:dyDescent="0.3">
      <c r="A1423">
        <v>11422</v>
      </c>
      <c r="B1423" s="2">
        <v>45223</v>
      </c>
      <c r="C1423" t="s">
        <v>13</v>
      </c>
      <c r="D1423" t="s">
        <v>15</v>
      </c>
      <c r="E1423" t="s">
        <v>20</v>
      </c>
      <c r="F1423">
        <v>16</v>
      </c>
      <c r="G1423">
        <v>57883</v>
      </c>
      <c r="H1423">
        <v>926128</v>
      </c>
      <c r="I1423">
        <f t="shared" si="22"/>
        <v>926128</v>
      </c>
    </row>
    <row r="1424" spans="1:9" x14ac:dyDescent="0.3">
      <c r="A1424">
        <v>11423</v>
      </c>
      <c r="B1424" s="2">
        <v>45197</v>
      </c>
      <c r="C1424" t="s">
        <v>14</v>
      </c>
      <c r="D1424" t="s">
        <v>18</v>
      </c>
      <c r="E1424" t="s">
        <v>23</v>
      </c>
      <c r="F1424">
        <v>19</v>
      </c>
      <c r="G1424">
        <v>35111</v>
      </c>
      <c r="H1424">
        <v>667109</v>
      </c>
      <c r="I1424">
        <f t="shared" si="22"/>
        <v>667109</v>
      </c>
    </row>
    <row r="1425" spans="1:9" x14ac:dyDescent="0.3">
      <c r="A1425">
        <v>11424</v>
      </c>
      <c r="B1425" s="2">
        <v>45172</v>
      </c>
      <c r="C1425" t="s">
        <v>13</v>
      </c>
      <c r="D1425" t="s">
        <v>15</v>
      </c>
      <c r="E1425" t="s">
        <v>20</v>
      </c>
      <c r="F1425">
        <v>8</v>
      </c>
      <c r="G1425">
        <v>10993</v>
      </c>
      <c r="H1425">
        <v>87944</v>
      </c>
      <c r="I1425">
        <f t="shared" si="22"/>
        <v>87944</v>
      </c>
    </row>
    <row r="1426" spans="1:9" x14ac:dyDescent="0.3">
      <c r="A1426">
        <v>11425</v>
      </c>
      <c r="B1426" s="2">
        <v>45100</v>
      </c>
      <c r="C1426" t="s">
        <v>9</v>
      </c>
      <c r="D1426" t="s">
        <v>16</v>
      </c>
      <c r="E1426" t="s">
        <v>24</v>
      </c>
      <c r="F1426">
        <v>19</v>
      </c>
      <c r="G1426">
        <v>40114</v>
      </c>
      <c r="H1426">
        <v>762166</v>
      </c>
      <c r="I1426">
        <f t="shared" si="22"/>
        <v>762166</v>
      </c>
    </row>
    <row r="1427" spans="1:9" x14ac:dyDescent="0.3">
      <c r="A1427">
        <v>11426</v>
      </c>
      <c r="B1427" s="2">
        <v>44959</v>
      </c>
      <c r="C1427" t="s">
        <v>14</v>
      </c>
      <c r="D1427" t="s">
        <v>17</v>
      </c>
      <c r="E1427" t="s">
        <v>23</v>
      </c>
      <c r="F1427">
        <v>5</v>
      </c>
      <c r="G1427">
        <v>17883</v>
      </c>
      <c r="H1427">
        <v>89415</v>
      </c>
      <c r="I1427">
        <f t="shared" si="22"/>
        <v>89415</v>
      </c>
    </row>
    <row r="1428" spans="1:9" x14ac:dyDescent="0.3">
      <c r="A1428">
        <v>11427</v>
      </c>
      <c r="B1428" s="2">
        <v>45064</v>
      </c>
      <c r="C1428" t="s">
        <v>10</v>
      </c>
      <c r="D1428" t="s">
        <v>18</v>
      </c>
      <c r="E1428" t="s">
        <v>24</v>
      </c>
      <c r="F1428">
        <v>19</v>
      </c>
      <c r="G1428">
        <v>26785</v>
      </c>
      <c r="H1428">
        <v>508915</v>
      </c>
      <c r="I1428">
        <f t="shared" si="22"/>
        <v>508915</v>
      </c>
    </row>
    <row r="1429" spans="1:9" x14ac:dyDescent="0.3">
      <c r="A1429">
        <v>11428</v>
      </c>
      <c r="B1429" s="2">
        <v>44986</v>
      </c>
      <c r="C1429" t="s">
        <v>12</v>
      </c>
      <c r="D1429" t="s">
        <v>18</v>
      </c>
      <c r="E1429" t="s">
        <v>22</v>
      </c>
      <c r="F1429">
        <v>20</v>
      </c>
      <c r="G1429">
        <v>1900</v>
      </c>
      <c r="H1429">
        <v>38000</v>
      </c>
      <c r="I1429">
        <f t="shared" si="22"/>
        <v>38000</v>
      </c>
    </row>
    <row r="1430" spans="1:9" x14ac:dyDescent="0.3">
      <c r="A1430">
        <v>11429</v>
      </c>
      <c r="B1430" s="2">
        <v>45192</v>
      </c>
      <c r="C1430" t="s">
        <v>8</v>
      </c>
      <c r="D1430" t="s">
        <v>15</v>
      </c>
      <c r="E1430" t="s">
        <v>20</v>
      </c>
      <c r="F1430">
        <v>11</v>
      </c>
      <c r="G1430">
        <v>22450</v>
      </c>
      <c r="H1430">
        <v>246950</v>
      </c>
      <c r="I1430">
        <f t="shared" si="22"/>
        <v>246950</v>
      </c>
    </row>
    <row r="1431" spans="1:9" x14ac:dyDescent="0.3">
      <c r="A1431">
        <v>11430</v>
      </c>
      <c r="B1431" s="2">
        <v>45107</v>
      </c>
      <c r="C1431" t="s">
        <v>9</v>
      </c>
      <c r="D1431" t="s">
        <v>17</v>
      </c>
      <c r="E1431" t="s">
        <v>22</v>
      </c>
      <c r="F1431">
        <v>5</v>
      </c>
      <c r="G1431">
        <v>29726</v>
      </c>
      <c r="H1431">
        <v>148630</v>
      </c>
      <c r="I1431">
        <f t="shared" si="22"/>
        <v>148630</v>
      </c>
    </row>
    <row r="1432" spans="1:9" x14ac:dyDescent="0.3">
      <c r="A1432">
        <v>11431</v>
      </c>
      <c r="B1432" s="2">
        <v>44998</v>
      </c>
      <c r="C1432" t="s">
        <v>12</v>
      </c>
      <c r="D1432" t="s">
        <v>18</v>
      </c>
      <c r="E1432" t="s">
        <v>23</v>
      </c>
      <c r="F1432">
        <v>12</v>
      </c>
      <c r="G1432">
        <v>6994</v>
      </c>
      <c r="H1432">
        <v>83928</v>
      </c>
      <c r="I1432">
        <f t="shared" si="22"/>
        <v>83928</v>
      </c>
    </row>
    <row r="1433" spans="1:9" x14ac:dyDescent="0.3">
      <c r="A1433">
        <v>11432</v>
      </c>
      <c r="B1433" s="2">
        <v>45025</v>
      </c>
      <c r="C1433" t="s">
        <v>12</v>
      </c>
      <c r="D1433" t="s">
        <v>15</v>
      </c>
      <c r="E1433" t="s">
        <v>20</v>
      </c>
      <c r="F1433">
        <v>17</v>
      </c>
      <c r="G1433">
        <v>41723</v>
      </c>
      <c r="H1433">
        <v>709291</v>
      </c>
      <c r="I1433">
        <f t="shared" si="22"/>
        <v>709291</v>
      </c>
    </row>
    <row r="1434" spans="1:9" x14ac:dyDescent="0.3">
      <c r="A1434">
        <v>11433</v>
      </c>
      <c r="B1434" s="2">
        <v>45064</v>
      </c>
      <c r="C1434" t="s">
        <v>14</v>
      </c>
      <c r="D1434" t="s">
        <v>18</v>
      </c>
      <c r="E1434" t="s">
        <v>23</v>
      </c>
      <c r="F1434">
        <v>5</v>
      </c>
      <c r="G1434">
        <v>41526</v>
      </c>
      <c r="H1434">
        <v>207630</v>
      </c>
      <c r="I1434">
        <f t="shared" si="22"/>
        <v>207630</v>
      </c>
    </row>
    <row r="1435" spans="1:9" x14ac:dyDescent="0.3">
      <c r="A1435">
        <v>11434</v>
      </c>
      <c r="B1435" s="2">
        <v>45010</v>
      </c>
      <c r="C1435" t="s">
        <v>13</v>
      </c>
      <c r="D1435" t="s">
        <v>15</v>
      </c>
      <c r="E1435" t="s">
        <v>23</v>
      </c>
      <c r="F1435">
        <v>11</v>
      </c>
      <c r="G1435">
        <v>32729</v>
      </c>
      <c r="H1435">
        <v>360019</v>
      </c>
      <c r="I1435">
        <f t="shared" si="22"/>
        <v>360019</v>
      </c>
    </row>
    <row r="1436" spans="1:9" x14ac:dyDescent="0.3">
      <c r="A1436">
        <v>11435</v>
      </c>
      <c r="B1436" s="2">
        <v>45027</v>
      </c>
      <c r="C1436" t="s">
        <v>8</v>
      </c>
      <c r="D1436" t="s">
        <v>18</v>
      </c>
      <c r="E1436" t="s">
        <v>23</v>
      </c>
      <c r="F1436">
        <v>10</v>
      </c>
      <c r="G1436">
        <v>9939</v>
      </c>
      <c r="H1436">
        <v>99390</v>
      </c>
      <c r="I1436">
        <f t="shared" si="22"/>
        <v>99390</v>
      </c>
    </row>
    <row r="1437" spans="1:9" x14ac:dyDescent="0.3">
      <c r="A1437">
        <v>11436</v>
      </c>
      <c r="B1437" s="2">
        <v>45106</v>
      </c>
      <c r="C1437" t="s">
        <v>13</v>
      </c>
      <c r="D1437" t="s">
        <v>18</v>
      </c>
      <c r="E1437" t="s">
        <v>23</v>
      </c>
      <c r="F1437">
        <v>6</v>
      </c>
      <c r="G1437">
        <v>47855</v>
      </c>
      <c r="H1437">
        <v>287130</v>
      </c>
      <c r="I1437">
        <f t="shared" si="22"/>
        <v>287130</v>
      </c>
    </row>
    <row r="1438" spans="1:9" x14ac:dyDescent="0.3">
      <c r="A1438">
        <v>11437</v>
      </c>
      <c r="B1438" s="2">
        <v>45079</v>
      </c>
      <c r="C1438" t="s">
        <v>12</v>
      </c>
      <c r="D1438" t="s">
        <v>15</v>
      </c>
      <c r="E1438" t="s">
        <v>23</v>
      </c>
      <c r="F1438">
        <v>12</v>
      </c>
      <c r="G1438">
        <v>33244</v>
      </c>
      <c r="H1438">
        <v>398928</v>
      </c>
      <c r="I1438">
        <f t="shared" si="22"/>
        <v>398928</v>
      </c>
    </row>
    <row r="1439" spans="1:9" x14ac:dyDescent="0.3">
      <c r="A1439">
        <v>11438</v>
      </c>
      <c r="B1439" s="2">
        <v>45084</v>
      </c>
      <c r="C1439" t="s">
        <v>11</v>
      </c>
      <c r="D1439" t="s">
        <v>18</v>
      </c>
      <c r="E1439" t="s">
        <v>24</v>
      </c>
      <c r="F1439">
        <v>9</v>
      </c>
      <c r="G1439">
        <v>53941</v>
      </c>
      <c r="H1439">
        <v>485469</v>
      </c>
      <c r="I1439">
        <f t="shared" si="22"/>
        <v>485469</v>
      </c>
    </row>
    <row r="1440" spans="1:9" x14ac:dyDescent="0.3">
      <c r="A1440">
        <v>11439</v>
      </c>
      <c r="B1440" s="2">
        <v>45035</v>
      </c>
      <c r="C1440" t="s">
        <v>10</v>
      </c>
      <c r="D1440" t="s">
        <v>18</v>
      </c>
      <c r="E1440" t="s">
        <v>23</v>
      </c>
      <c r="F1440">
        <v>12</v>
      </c>
      <c r="G1440">
        <v>33569</v>
      </c>
      <c r="H1440">
        <v>402828</v>
      </c>
      <c r="I1440">
        <f t="shared" si="22"/>
        <v>402828</v>
      </c>
    </row>
    <row r="1441" spans="1:9" x14ac:dyDescent="0.3">
      <c r="A1441">
        <v>11440</v>
      </c>
      <c r="B1441" s="2">
        <v>45056</v>
      </c>
      <c r="C1441" t="s">
        <v>8</v>
      </c>
      <c r="D1441" t="s">
        <v>16</v>
      </c>
      <c r="E1441" t="s">
        <v>22</v>
      </c>
      <c r="F1441">
        <v>5</v>
      </c>
      <c r="G1441">
        <v>44431</v>
      </c>
      <c r="H1441">
        <v>222155</v>
      </c>
      <c r="I1441">
        <f t="shared" si="22"/>
        <v>222155</v>
      </c>
    </row>
    <row r="1442" spans="1:9" x14ac:dyDescent="0.3">
      <c r="A1442">
        <v>11441</v>
      </c>
      <c r="B1442" s="2">
        <v>45097</v>
      </c>
      <c r="C1442" t="s">
        <v>11</v>
      </c>
      <c r="D1442" t="s">
        <v>16</v>
      </c>
      <c r="E1442" t="s">
        <v>19</v>
      </c>
      <c r="F1442">
        <v>8</v>
      </c>
      <c r="G1442">
        <v>18531</v>
      </c>
      <c r="H1442">
        <v>148248</v>
      </c>
      <c r="I1442">
        <f t="shared" si="22"/>
        <v>148248</v>
      </c>
    </row>
    <row r="1443" spans="1:9" x14ac:dyDescent="0.3">
      <c r="A1443">
        <v>11442</v>
      </c>
      <c r="B1443" s="2">
        <v>45288</v>
      </c>
      <c r="C1443" t="s">
        <v>9</v>
      </c>
      <c r="D1443" t="s">
        <v>18</v>
      </c>
      <c r="E1443" t="s">
        <v>20</v>
      </c>
      <c r="F1443">
        <v>4</v>
      </c>
      <c r="G1443">
        <v>32785</v>
      </c>
      <c r="H1443">
        <v>131140</v>
      </c>
      <c r="I1443">
        <f t="shared" si="22"/>
        <v>131140</v>
      </c>
    </row>
    <row r="1444" spans="1:9" x14ac:dyDescent="0.3">
      <c r="A1444">
        <v>11443</v>
      </c>
      <c r="B1444" s="2">
        <v>45063</v>
      </c>
      <c r="C1444" t="s">
        <v>8</v>
      </c>
      <c r="D1444" t="s">
        <v>16</v>
      </c>
      <c r="E1444" t="s">
        <v>24</v>
      </c>
      <c r="F1444">
        <v>10</v>
      </c>
      <c r="G1444">
        <v>26505</v>
      </c>
      <c r="H1444">
        <v>265050</v>
      </c>
      <c r="I1444">
        <f t="shared" si="22"/>
        <v>265050</v>
      </c>
    </row>
    <row r="1445" spans="1:9" x14ac:dyDescent="0.3">
      <c r="A1445">
        <v>11444</v>
      </c>
      <c r="B1445" s="2">
        <v>45154</v>
      </c>
      <c r="C1445" t="s">
        <v>9</v>
      </c>
      <c r="D1445" t="s">
        <v>16</v>
      </c>
      <c r="E1445" t="s">
        <v>22</v>
      </c>
      <c r="F1445">
        <v>6</v>
      </c>
      <c r="G1445">
        <v>30126</v>
      </c>
      <c r="H1445">
        <v>180756</v>
      </c>
      <c r="I1445">
        <f t="shared" si="22"/>
        <v>180756</v>
      </c>
    </row>
    <row r="1446" spans="1:9" x14ac:dyDescent="0.3">
      <c r="A1446">
        <v>11445</v>
      </c>
      <c r="B1446" s="2">
        <v>45030</v>
      </c>
      <c r="C1446" t="s">
        <v>9</v>
      </c>
      <c r="D1446" t="s">
        <v>18</v>
      </c>
      <c r="E1446" t="s">
        <v>23</v>
      </c>
      <c r="F1446">
        <v>9</v>
      </c>
      <c r="G1446">
        <v>4434</v>
      </c>
      <c r="H1446">
        <v>39906</v>
      </c>
      <c r="I1446">
        <f t="shared" si="22"/>
        <v>39906</v>
      </c>
    </row>
    <row r="1447" spans="1:9" x14ac:dyDescent="0.3">
      <c r="A1447">
        <v>11446</v>
      </c>
      <c r="B1447" s="2">
        <v>45176</v>
      </c>
      <c r="C1447" t="s">
        <v>13</v>
      </c>
      <c r="D1447" t="s">
        <v>16</v>
      </c>
      <c r="E1447" t="s">
        <v>20</v>
      </c>
      <c r="F1447">
        <v>3</v>
      </c>
      <c r="G1447">
        <v>39880</v>
      </c>
      <c r="H1447">
        <v>119640</v>
      </c>
      <c r="I1447">
        <f t="shared" si="22"/>
        <v>119640</v>
      </c>
    </row>
    <row r="1448" spans="1:9" x14ac:dyDescent="0.3">
      <c r="A1448">
        <v>11447</v>
      </c>
      <c r="B1448" s="2">
        <v>44939</v>
      </c>
      <c r="C1448" t="s">
        <v>12</v>
      </c>
      <c r="D1448" t="s">
        <v>15</v>
      </c>
      <c r="E1448" t="s">
        <v>24</v>
      </c>
      <c r="F1448">
        <v>1</v>
      </c>
      <c r="G1448">
        <v>50846</v>
      </c>
      <c r="H1448">
        <v>50846</v>
      </c>
      <c r="I1448">
        <f t="shared" si="22"/>
        <v>50846</v>
      </c>
    </row>
    <row r="1449" spans="1:9" x14ac:dyDescent="0.3">
      <c r="A1449">
        <v>11448</v>
      </c>
      <c r="B1449" s="2">
        <v>45156</v>
      </c>
      <c r="C1449" t="s">
        <v>9</v>
      </c>
      <c r="D1449" t="s">
        <v>16</v>
      </c>
      <c r="E1449" t="s">
        <v>20</v>
      </c>
      <c r="F1449">
        <v>8</v>
      </c>
      <c r="G1449">
        <v>10020</v>
      </c>
      <c r="H1449">
        <v>80160</v>
      </c>
      <c r="I1449">
        <f t="shared" si="22"/>
        <v>80160</v>
      </c>
    </row>
    <row r="1450" spans="1:9" x14ac:dyDescent="0.3">
      <c r="A1450">
        <v>11449</v>
      </c>
      <c r="B1450" s="2">
        <v>45199</v>
      </c>
      <c r="C1450" t="s">
        <v>9</v>
      </c>
      <c r="D1450" t="s">
        <v>18</v>
      </c>
      <c r="E1450" t="s">
        <v>20</v>
      </c>
      <c r="F1450">
        <v>14</v>
      </c>
      <c r="G1450">
        <v>56606</v>
      </c>
      <c r="H1450">
        <v>792484</v>
      </c>
      <c r="I1450">
        <f t="shared" si="22"/>
        <v>792484</v>
      </c>
    </row>
    <row r="1451" spans="1:9" x14ac:dyDescent="0.3">
      <c r="A1451">
        <v>11450</v>
      </c>
      <c r="B1451" s="2">
        <v>45218</v>
      </c>
      <c r="C1451" t="s">
        <v>9</v>
      </c>
      <c r="D1451" t="s">
        <v>17</v>
      </c>
      <c r="E1451" t="s">
        <v>24</v>
      </c>
      <c r="F1451">
        <v>11</v>
      </c>
      <c r="G1451">
        <v>29814</v>
      </c>
      <c r="H1451">
        <v>327954</v>
      </c>
      <c r="I1451">
        <f t="shared" si="22"/>
        <v>327954</v>
      </c>
    </row>
    <row r="1452" spans="1:9" x14ac:dyDescent="0.3">
      <c r="A1452">
        <v>11451</v>
      </c>
      <c r="B1452" s="2">
        <v>45109</v>
      </c>
      <c r="C1452" t="s">
        <v>13</v>
      </c>
      <c r="D1452" t="s">
        <v>15</v>
      </c>
      <c r="E1452" t="s">
        <v>24</v>
      </c>
      <c r="F1452">
        <v>13</v>
      </c>
      <c r="G1452">
        <v>30025</v>
      </c>
      <c r="H1452">
        <v>390325</v>
      </c>
      <c r="I1452">
        <f t="shared" si="22"/>
        <v>390325</v>
      </c>
    </row>
    <row r="1453" spans="1:9" x14ac:dyDescent="0.3">
      <c r="A1453">
        <v>11452</v>
      </c>
      <c r="B1453" s="2">
        <v>44968</v>
      </c>
      <c r="C1453" t="s">
        <v>8</v>
      </c>
      <c r="D1453" t="s">
        <v>18</v>
      </c>
      <c r="E1453" t="s">
        <v>22</v>
      </c>
      <c r="F1453">
        <v>18</v>
      </c>
      <c r="G1453">
        <v>54591</v>
      </c>
      <c r="H1453">
        <v>982638</v>
      </c>
      <c r="I1453">
        <f t="shared" si="22"/>
        <v>982638</v>
      </c>
    </row>
    <row r="1454" spans="1:9" x14ac:dyDescent="0.3">
      <c r="A1454">
        <v>11453</v>
      </c>
      <c r="B1454" s="2">
        <v>45204</v>
      </c>
      <c r="C1454" t="s">
        <v>8</v>
      </c>
      <c r="D1454" t="s">
        <v>17</v>
      </c>
      <c r="E1454" t="s">
        <v>20</v>
      </c>
      <c r="F1454">
        <v>20</v>
      </c>
      <c r="G1454">
        <v>2748</v>
      </c>
      <c r="H1454">
        <v>54960</v>
      </c>
      <c r="I1454">
        <f t="shared" si="22"/>
        <v>54960</v>
      </c>
    </row>
    <row r="1455" spans="1:9" x14ac:dyDescent="0.3">
      <c r="A1455">
        <v>11454</v>
      </c>
      <c r="B1455" s="2">
        <v>44945</v>
      </c>
      <c r="C1455" t="s">
        <v>11</v>
      </c>
      <c r="D1455" t="s">
        <v>18</v>
      </c>
      <c r="E1455" t="s">
        <v>20</v>
      </c>
      <c r="F1455">
        <v>4</v>
      </c>
      <c r="G1455">
        <v>36085</v>
      </c>
      <c r="H1455">
        <v>144340</v>
      </c>
      <c r="I1455">
        <f t="shared" si="22"/>
        <v>144340</v>
      </c>
    </row>
    <row r="1456" spans="1:9" x14ac:dyDescent="0.3">
      <c r="A1456">
        <v>11455</v>
      </c>
      <c r="B1456" s="2">
        <v>45231</v>
      </c>
      <c r="C1456" t="s">
        <v>9</v>
      </c>
      <c r="D1456" t="s">
        <v>18</v>
      </c>
      <c r="E1456" t="s">
        <v>20</v>
      </c>
      <c r="F1456">
        <v>12</v>
      </c>
      <c r="G1456">
        <v>51222</v>
      </c>
      <c r="H1456">
        <v>614664</v>
      </c>
      <c r="I1456">
        <f t="shared" si="22"/>
        <v>614664</v>
      </c>
    </row>
    <row r="1457" spans="1:9" x14ac:dyDescent="0.3">
      <c r="A1457">
        <v>11456</v>
      </c>
      <c r="B1457" s="2">
        <v>44941</v>
      </c>
      <c r="C1457" t="s">
        <v>14</v>
      </c>
      <c r="D1457" t="s">
        <v>16</v>
      </c>
      <c r="E1457" t="s">
        <v>20</v>
      </c>
      <c r="F1457">
        <v>4</v>
      </c>
      <c r="G1457">
        <v>41921</v>
      </c>
      <c r="H1457">
        <v>167684</v>
      </c>
      <c r="I1457">
        <f t="shared" si="22"/>
        <v>167684</v>
      </c>
    </row>
    <row r="1458" spans="1:9" x14ac:dyDescent="0.3">
      <c r="A1458">
        <v>11457</v>
      </c>
      <c r="B1458" s="2">
        <v>45169</v>
      </c>
      <c r="C1458" t="s">
        <v>10</v>
      </c>
      <c r="D1458" t="s">
        <v>16</v>
      </c>
      <c r="E1458" t="s">
        <v>19</v>
      </c>
      <c r="F1458">
        <v>6</v>
      </c>
      <c r="G1458">
        <v>2041</v>
      </c>
      <c r="H1458">
        <v>12246</v>
      </c>
      <c r="I1458">
        <f t="shared" si="22"/>
        <v>12246</v>
      </c>
    </row>
    <row r="1459" spans="1:9" x14ac:dyDescent="0.3">
      <c r="A1459">
        <v>11458</v>
      </c>
      <c r="B1459" s="2">
        <v>45141</v>
      </c>
      <c r="C1459" t="s">
        <v>14</v>
      </c>
      <c r="D1459" t="s">
        <v>16</v>
      </c>
      <c r="E1459" t="s">
        <v>19</v>
      </c>
      <c r="F1459">
        <v>10</v>
      </c>
      <c r="G1459">
        <v>35406</v>
      </c>
      <c r="H1459">
        <v>354060</v>
      </c>
      <c r="I1459">
        <f t="shared" si="22"/>
        <v>354060</v>
      </c>
    </row>
    <row r="1460" spans="1:9" x14ac:dyDescent="0.3">
      <c r="A1460">
        <v>11459</v>
      </c>
      <c r="B1460" s="2">
        <v>44975</v>
      </c>
      <c r="C1460" t="s">
        <v>8</v>
      </c>
      <c r="D1460" t="s">
        <v>17</v>
      </c>
      <c r="E1460" t="s">
        <v>23</v>
      </c>
      <c r="F1460">
        <v>13</v>
      </c>
      <c r="G1460">
        <v>44245</v>
      </c>
      <c r="H1460">
        <v>575185</v>
      </c>
      <c r="I1460">
        <f t="shared" si="22"/>
        <v>575185</v>
      </c>
    </row>
    <row r="1461" spans="1:9" x14ac:dyDescent="0.3">
      <c r="A1461">
        <v>11460</v>
      </c>
      <c r="B1461" s="2">
        <v>44968</v>
      </c>
      <c r="C1461" t="s">
        <v>9</v>
      </c>
      <c r="D1461" t="s">
        <v>17</v>
      </c>
      <c r="E1461" t="s">
        <v>19</v>
      </c>
      <c r="F1461">
        <v>19</v>
      </c>
      <c r="G1461">
        <v>56866</v>
      </c>
      <c r="H1461">
        <v>1080454</v>
      </c>
      <c r="I1461">
        <f t="shared" si="22"/>
        <v>1080454</v>
      </c>
    </row>
    <row r="1462" spans="1:9" x14ac:dyDescent="0.3">
      <c r="A1462">
        <v>11461</v>
      </c>
      <c r="B1462" s="2">
        <v>45063</v>
      </c>
      <c r="C1462" t="s">
        <v>14</v>
      </c>
      <c r="D1462" t="s">
        <v>15</v>
      </c>
      <c r="E1462" t="s">
        <v>21</v>
      </c>
      <c r="F1462">
        <v>3</v>
      </c>
      <c r="G1462">
        <v>22063</v>
      </c>
      <c r="H1462">
        <v>66189</v>
      </c>
      <c r="I1462">
        <f t="shared" si="22"/>
        <v>66189</v>
      </c>
    </row>
    <row r="1463" spans="1:9" x14ac:dyDescent="0.3">
      <c r="A1463">
        <v>11462</v>
      </c>
      <c r="B1463" s="2">
        <v>45162</v>
      </c>
      <c r="C1463" t="s">
        <v>8</v>
      </c>
      <c r="D1463" t="s">
        <v>15</v>
      </c>
      <c r="E1463" t="s">
        <v>23</v>
      </c>
      <c r="F1463">
        <v>11</v>
      </c>
      <c r="G1463">
        <v>54675</v>
      </c>
      <c r="H1463">
        <v>601425</v>
      </c>
      <c r="I1463">
        <f t="shared" si="22"/>
        <v>601425</v>
      </c>
    </row>
    <row r="1464" spans="1:9" x14ac:dyDescent="0.3">
      <c r="A1464">
        <v>11463</v>
      </c>
      <c r="B1464" s="2">
        <v>45292</v>
      </c>
      <c r="C1464" t="s">
        <v>13</v>
      </c>
      <c r="D1464" t="s">
        <v>18</v>
      </c>
      <c r="E1464" t="s">
        <v>24</v>
      </c>
      <c r="F1464">
        <v>9</v>
      </c>
      <c r="G1464">
        <v>39357</v>
      </c>
      <c r="H1464">
        <v>354213</v>
      </c>
      <c r="I1464">
        <f t="shared" si="22"/>
        <v>354213</v>
      </c>
    </row>
    <row r="1465" spans="1:9" x14ac:dyDescent="0.3">
      <c r="A1465">
        <v>11464</v>
      </c>
      <c r="B1465" s="2">
        <v>44929</v>
      </c>
      <c r="C1465" t="s">
        <v>11</v>
      </c>
      <c r="D1465" t="s">
        <v>15</v>
      </c>
      <c r="E1465" t="s">
        <v>22</v>
      </c>
      <c r="F1465">
        <v>3</v>
      </c>
      <c r="G1465">
        <v>45081</v>
      </c>
      <c r="H1465">
        <v>135243</v>
      </c>
      <c r="I1465">
        <f t="shared" si="22"/>
        <v>135243</v>
      </c>
    </row>
    <row r="1466" spans="1:9" x14ac:dyDescent="0.3">
      <c r="A1466">
        <v>11465</v>
      </c>
      <c r="B1466" s="2">
        <v>45233</v>
      </c>
      <c r="C1466" t="s">
        <v>11</v>
      </c>
      <c r="D1466" t="s">
        <v>17</v>
      </c>
      <c r="E1466" t="s">
        <v>19</v>
      </c>
      <c r="F1466">
        <v>7</v>
      </c>
      <c r="G1466">
        <v>5621</v>
      </c>
      <c r="H1466">
        <v>39347</v>
      </c>
      <c r="I1466">
        <f t="shared" si="22"/>
        <v>39347</v>
      </c>
    </row>
    <row r="1467" spans="1:9" x14ac:dyDescent="0.3">
      <c r="A1467">
        <v>11466</v>
      </c>
      <c r="B1467" s="2">
        <v>44928</v>
      </c>
      <c r="C1467" t="s">
        <v>14</v>
      </c>
      <c r="D1467" t="s">
        <v>17</v>
      </c>
      <c r="E1467" t="s">
        <v>22</v>
      </c>
      <c r="F1467">
        <v>4</v>
      </c>
      <c r="G1467">
        <v>3595</v>
      </c>
      <c r="H1467">
        <v>14380</v>
      </c>
      <c r="I1467">
        <f t="shared" si="22"/>
        <v>14380</v>
      </c>
    </row>
    <row r="1468" spans="1:9" x14ac:dyDescent="0.3">
      <c r="A1468">
        <v>11467</v>
      </c>
      <c r="B1468" s="2">
        <v>45137</v>
      </c>
      <c r="C1468" t="s">
        <v>11</v>
      </c>
      <c r="D1468" t="s">
        <v>15</v>
      </c>
      <c r="E1468" t="s">
        <v>23</v>
      </c>
      <c r="F1468">
        <v>4</v>
      </c>
      <c r="G1468">
        <v>28465</v>
      </c>
      <c r="H1468">
        <v>113860</v>
      </c>
      <c r="I1468">
        <f t="shared" si="22"/>
        <v>113860</v>
      </c>
    </row>
    <row r="1469" spans="1:9" x14ac:dyDescent="0.3">
      <c r="A1469">
        <v>11468</v>
      </c>
      <c r="B1469" s="2">
        <v>45087</v>
      </c>
      <c r="C1469" t="s">
        <v>11</v>
      </c>
      <c r="D1469" t="s">
        <v>16</v>
      </c>
      <c r="E1469" t="s">
        <v>20</v>
      </c>
      <c r="F1469">
        <v>16</v>
      </c>
      <c r="G1469">
        <v>41170</v>
      </c>
      <c r="H1469">
        <v>658720</v>
      </c>
      <c r="I1469">
        <f t="shared" si="22"/>
        <v>658720</v>
      </c>
    </row>
    <row r="1470" spans="1:9" x14ac:dyDescent="0.3">
      <c r="A1470">
        <v>11469</v>
      </c>
      <c r="B1470" s="2">
        <v>44980</v>
      </c>
      <c r="C1470" t="s">
        <v>8</v>
      </c>
      <c r="D1470" t="s">
        <v>16</v>
      </c>
      <c r="E1470" t="s">
        <v>21</v>
      </c>
      <c r="F1470">
        <v>7</v>
      </c>
      <c r="G1470">
        <v>16869</v>
      </c>
      <c r="H1470">
        <v>118083</v>
      </c>
      <c r="I1470">
        <f t="shared" si="22"/>
        <v>118083</v>
      </c>
    </row>
    <row r="1471" spans="1:9" x14ac:dyDescent="0.3">
      <c r="A1471">
        <v>11470</v>
      </c>
      <c r="B1471" s="2">
        <v>45004</v>
      </c>
      <c r="C1471" t="s">
        <v>8</v>
      </c>
      <c r="D1471" t="s">
        <v>17</v>
      </c>
      <c r="E1471" t="s">
        <v>22</v>
      </c>
      <c r="F1471">
        <v>7</v>
      </c>
      <c r="G1471">
        <v>22130</v>
      </c>
      <c r="H1471">
        <v>154910</v>
      </c>
      <c r="I1471">
        <f t="shared" si="22"/>
        <v>154910</v>
      </c>
    </row>
    <row r="1472" spans="1:9" x14ac:dyDescent="0.3">
      <c r="A1472">
        <v>11471</v>
      </c>
      <c r="B1472" s="2">
        <v>44958</v>
      </c>
      <c r="C1472" t="s">
        <v>13</v>
      </c>
      <c r="D1472" t="s">
        <v>15</v>
      </c>
      <c r="E1472" t="s">
        <v>19</v>
      </c>
      <c r="F1472">
        <v>12</v>
      </c>
      <c r="G1472">
        <v>29551</v>
      </c>
      <c r="H1472">
        <v>354612</v>
      </c>
      <c r="I1472">
        <f t="shared" si="22"/>
        <v>354612</v>
      </c>
    </row>
    <row r="1473" spans="1:9" x14ac:dyDescent="0.3">
      <c r="A1473">
        <v>11472</v>
      </c>
      <c r="B1473" s="2">
        <v>45216</v>
      </c>
      <c r="C1473" t="s">
        <v>14</v>
      </c>
      <c r="D1473" t="s">
        <v>15</v>
      </c>
      <c r="E1473" t="s">
        <v>24</v>
      </c>
      <c r="F1473">
        <v>3</v>
      </c>
      <c r="G1473">
        <v>39477</v>
      </c>
      <c r="H1473">
        <v>118431</v>
      </c>
      <c r="I1473">
        <f t="shared" si="22"/>
        <v>118431</v>
      </c>
    </row>
    <row r="1474" spans="1:9" x14ac:dyDescent="0.3">
      <c r="A1474">
        <v>11473</v>
      </c>
      <c r="B1474" s="2">
        <v>45268</v>
      </c>
      <c r="C1474" t="s">
        <v>12</v>
      </c>
      <c r="D1474" t="s">
        <v>17</v>
      </c>
      <c r="E1474" t="s">
        <v>22</v>
      </c>
      <c r="F1474">
        <v>8</v>
      </c>
      <c r="G1474">
        <v>35564</v>
      </c>
      <c r="H1474">
        <v>284512</v>
      </c>
      <c r="I1474">
        <f t="shared" si="22"/>
        <v>284512</v>
      </c>
    </row>
    <row r="1475" spans="1:9" x14ac:dyDescent="0.3">
      <c r="A1475">
        <v>11474</v>
      </c>
      <c r="B1475" s="2">
        <v>45162</v>
      </c>
      <c r="C1475" t="s">
        <v>8</v>
      </c>
      <c r="D1475" t="s">
        <v>15</v>
      </c>
      <c r="E1475" t="s">
        <v>23</v>
      </c>
      <c r="F1475">
        <v>3</v>
      </c>
      <c r="G1475">
        <v>26320</v>
      </c>
      <c r="H1475">
        <v>78960</v>
      </c>
      <c r="I1475">
        <f t="shared" ref="I1475:I1538" si="23">G1475*F1475</f>
        <v>78960</v>
      </c>
    </row>
    <row r="1476" spans="1:9" x14ac:dyDescent="0.3">
      <c r="A1476">
        <v>11475</v>
      </c>
      <c r="B1476" s="2">
        <v>45015</v>
      </c>
      <c r="C1476" t="s">
        <v>9</v>
      </c>
      <c r="D1476" t="s">
        <v>18</v>
      </c>
      <c r="E1476" t="s">
        <v>23</v>
      </c>
      <c r="F1476">
        <v>4</v>
      </c>
      <c r="G1476">
        <v>36849</v>
      </c>
      <c r="H1476">
        <v>147396</v>
      </c>
      <c r="I1476">
        <f t="shared" si="23"/>
        <v>147396</v>
      </c>
    </row>
    <row r="1477" spans="1:9" x14ac:dyDescent="0.3">
      <c r="A1477">
        <v>11476</v>
      </c>
      <c r="B1477" s="2">
        <v>45099</v>
      </c>
      <c r="C1477" t="s">
        <v>12</v>
      </c>
      <c r="D1477" t="s">
        <v>16</v>
      </c>
      <c r="E1477" t="s">
        <v>19</v>
      </c>
      <c r="F1477">
        <v>5</v>
      </c>
      <c r="G1477">
        <v>23042</v>
      </c>
      <c r="H1477">
        <v>115210</v>
      </c>
      <c r="I1477">
        <f t="shared" si="23"/>
        <v>115210</v>
      </c>
    </row>
    <row r="1478" spans="1:9" x14ac:dyDescent="0.3">
      <c r="A1478">
        <v>11477</v>
      </c>
      <c r="B1478" s="2">
        <v>45103</v>
      </c>
      <c r="C1478" t="s">
        <v>12</v>
      </c>
      <c r="D1478" t="s">
        <v>16</v>
      </c>
      <c r="E1478" t="s">
        <v>23</v>
      </c>
      <c r="F1478">
        <v>14</v>
      </c>
      <c r="G1478">
        <v>32184</v>
      </c>
      <c r="H1478">
        <v>450576</v>
      </c>
      <c r="I1478">
        <f t="shared" si="23"/>
        <v>450576</v>
      </c>
    </row>
    <row r="1479" spans="1:9" x14ac:dyDescent="0.3">
      <c r="A1479">
        <v>11478</v>
      </c>
      <c r="B1479" s="2">
        <v>45190</v>
      </c>
      <c r="C1479" t="s">
        <v>14</v>
      </c>
      <c r="D1479" t="s">
        <v>16</v>
      </c>
      <c r="E1479" t="s">
        <v>24</v>
      </c>
      <c r="F1479">
        <v>19</v>
      </c>
      <c r="G1479">
        <v>39431</v>
      </c>
      <c r="H1479">
        <v>749189</v>
      </c>
      <c r="I1479">
        <f t="shared" si="23"/>
        <v>749189</v>
      </c>
    </row>
    <row r="1480" spans="1:9" x14ac:dyDescent="0.3">
      <c r="A1480">
        <v>11479</v>
      </c>
      <c r="B1480" s="2">
        <v>45285</v>
      </c>
      <c r="C1480" t="s">
        <v>12</v>
      </c>
      <c r="D1480" t="s">
        <v>18</v>
      </c>
      <c r="E1480" t="s">
        <v>21</v>
      </c>
      <c r="F1480">
        <v>3</v>
      </c>
      <c r="G1480">
        <v>43624</v>
      </c>
      <c r="H1480">
        <v>130872</v>
      </c>
      <c r="I1480">
        <f t="shared" si="23"/>
        <v>130872</v>
      </c>
    </row>
    <row r="1481" spans="1:9" x14ac:dyDescent="0.3">
      <c r="A1481">
        <v>11480</v>
      </c>
      <c r="B1481" s="2">
        <v>45260</v>
      </c>
      <c r="C1481" t="s">
        <v>11</v>
      </c>
      <c r="D1481" t="s">
        <v>16</v>
      </c>
      <c r="E1481" t="s">
        <v>22</v>
      </c>
      <c r="F1481">
        <v>12</v>
      </c>
      <c r="G1481">
        <v>41358</v>
      </c>
      <c r="H1481">
        <v>496296</v>
      </c>
      <c r="I1481">
        <f t="shared" si="23"/>
        <v>496296</v>
      </c>
    </row>
    <row r="1482" spans="1:9" x14ac:dyDescent="0.3">
      <c r="A1482">
        <v>11481</v>
      </c>
      <c r="B1482" s="2">
        <v>45032</v>
      </c>
      <c r="C1482" t="s">
        <v>12</v>
      </c>
      <c r="D1482" t="s">
        <v>15</v>
      </c>
      <c r="E1482" t="s">
        <v>23</v>
      </c>
      <c r="F1482">
        <v>12</v>
      </c>
      <c r="G1482">
        <v>14262</v>
      </c>
      <c r="H1482">
        <v>171144</v>
      </c>
      <c r="I1482">
        <f t="shared" si="23"/>
        <v>171144</v>
      </c>
    </row>
    <row r="1483" spans="1:9" x14ac:dyDescent="0.3">
      <c r="A1483">
        <v>11482</v>
      </c>
      <c r="B1483" s="2">
        <v>45134</v>
      </c>
      <c r="C1483" t="s">
        <v>12</v>
      </c>
      <c r="D1483" t="s">
        <v>17</v>
      </c>
      <c r="E1483" t="s">
        <v>20</v>
      </c>
      <c r="F1483">
        <v>13</v>
      </c>
      <c r="G1483">
        <v>25951</v>
      </c>
      <c r="H1483">
        <v>337363</v>
      </c>
      <c r="I1483">
        <f t="shared" si="23"/>
        <v>337363</v>
      </c>
    </row>
    <row r="1484" spans="1:9" x14ac:dyDescent="0.3">
      <c r="A1484">
        <v>11483</v>
      </c>
      <c r="B1484" s="2">
        <v>45212</v>
      </c>
      <c r="C1484" t="s">
        <v>10</v>
      </c>
      <c r="D1484" t="s">
        <v>18</v>
      </c>
      <c r="E1484" t="s">
        <v>24</v>
      </c>
      <c r="F1484">
        <v>2</v>
      </c>
      <c r="G1484">
        <v>52103</v>
      </c>
      <c r="H1484">
        <v>104206</v>
      </c>
      <c r="I1484">
        <f t="shared" si="23"/>
        <v>104206</v>
      </c>
    </row>
    <row r="1485" spans="1:9" x14ac:dyDescent="0.3">
      <c r="A1485">
        <v>11484</v>
      </c>
      <c r="B1485" s="2">
        <v>45144</v>
      </c>
      <c r="C1485" t="s">
        <v>13</v>
      </c>
      <c r="D1485" t="s">
        <v>16</v>
      </c>
      <c r="E1485" t="s">
        <v>24</v>
      </c>
      <c r="F1485">
        <v>14</v>
      </c>
      <c r="G1485">
        <v>44213</v>
      </c>
      <c r="H1485">
        <v>618982</v>
      </c>
      <c r="I1485">
        <f t="shared" si="23"/>
        <v>618982</v>
      </c>
    </row>
    <row r="1486" spans="1:9" x14ac:dyDescent="0.3">
      <c r="A1486">
        <v>11485</v>
      </c>
      <c r="B1486" s="2">
        <v>45186</v>
      </c>
      <c r="C1486" t="s">
        <v>14</v>
      </c>
      <c r="D1486" t="s">
        <v>15</v>
      </c>
      <c r="E1486" t="s">
        <v>19</v>
      </c>
      <c r="F1486">
        <v>15</v>
      </c>
      <c r="G1486">
        <v>37038</v>
      </c>
      <c r="H1486">
        <v>555570</v>
      </c>
      <c r="I1486">
        <f t="shared" si="23"/>
        <v>555570</v>
      </c>
    </row>
    <row r="1487" spans="1:9" x14ac:dyDescent="0.3">
      <c r="A1487">
        <v>11486</v>
      </c>
      <c r="B1487" s="2">
        <v>44936</v>
      </c>
      <c r="C1487" t="s">
        <v>9</v>
      </c>
      <c r="D1487" t="s">
        <v>15</v>
      </c>
      <c r="E1487" t="s">
        <v>22</v>
      </c>
      <c r="F1487">
        <v>16</v>
      </c>
      <c r="G1487">
        <v>52824</v>
      </c>
      <c r="H1487">
        <v>845184</v>
      </c>
      <c r="I1487">
        <f t="shared" si="23"/>
        <v>845184</v>
      </c>
    </row>
    <row r="1488" spans="1:9" x14ac:dyDescent="0.3">
      <c r="A1488">
        <v>11487</v>
      </c>
      <c r="B1488" s="2">
        <v>45169</v>
      </c>
      <c r="C1488" t="s">
        <v>10</v>
      </c>
      <c r="D1488" t="s">
        <v>18</v>
      </c>
      <c r="E1488" t="s">
        <v>24</v>
      </c>
      <c r="F1488">
        <v>1</v>
      </c>
      <c r="G1488">
        <v>40621</v>
      </c>
      <c r="H1488">
        <v>40621</v>
      </c>
      <c r="I1488">
        <f t="shared" si="23"/>
        <v>40621</v>
      </c>
    </row>
    <row r="1489" spans="1:9" x14ac:dyDescent="0.3">
      <c r="A1489">
        <v>11488</v>
      </c>
      <c r="B1489" s="2">
        <v>45163</v>
      </c>
      <c r="C1489" t="s">
        <v>10</v>
      </c>
      <c r="D1489" t="s">
        <v>18</v>
      </c>
      <c r="E1489" t="s">
        <v>21</v>
      </c>
      <c r="F1489">
        <v>13</v>
      </c>
      <c r="G1489">
        <v>2171</v>
      </c>
      <c r="H1489">
        <v>28223</v>
      </c>
      <c r="I1489">
        <f t="shared" si="23"/>
        <v>28223</v>
      </c>
    </row>
    <row r="1490" spans="1:9" x14ac:dyDescent="0.3">
      <c r="A1490">
        <v>11489</v>
      </c>
      <c r="B1490" s="2">
        <v>45150</v>
      </c>
      <c r="C1490" t="s">
        <v>8</v>
      </c>
      <c r="D1490" t="s">
        <v>18</v>
      </c>
      <c r="E1490" t="s">
        <v>22</v>
      </c>
      <c r="F1490">
        <v>6</v>
      </c>
      <c r="G1490">
        <v>6049</v>
      </c>
      <c r="H1490">
        <v>36294</v>
      </c>
      <c r="I1490">
        <f t="shared" si="23"/>
        <v>36294</v>
      </c>
    </row>
    <row r="1491" spans="1:9" x14ac:dyDescent="0.3">
      <c r="A1491">
        <v>11490</v>
      </c>
      <c r="B1491" s="2">
        <v>45086</v>
      </c>
      <c r="C1491" t="s">
        <v>14</v>
      </c>
      <c r="D1491" t="s">
        <v>17</v>
      </c>
      <c r="E1491" t="s">
        <v>19</v>
      </c>
      <c r="F1491">
        <v>9</v>
      </c>
      <c r="G1491">
        <v>14870</v>
      </c>
      <c r="H1491">
        <v>133830</v>
      </c>
      <c r="I1491">
        <f t="shared" si="23"/>
        <v>133830</v>
      </c>
    </row>
    <row r="1492" spans="1:9" x14ac:dyDescent="0.3">
      <c r="A1492">
        <v>11491</v>
      </c>
      <c r="B1492" s="2">
        <v>45012</v>
      </c>
      <c r="C1492" t="s">
        <v>9</v>
      </c>
      <c r="D1492" t="s">
        <v>15</v>
      </c>
      <c r="E1492" t="s">
        <v>20</v>
      </c>
      <c r="F1492">
        <v>6</v>
      </c>
      <c r="G1492">
        <v>1778</v>
      </c>
      <c r="H1492">
        <v>10668</v>
      </c>
      <c r="I1492">
        <f t="shared" si="23"/>
        <v>10668</v>
      </c>
    </row>
    <row r="1493" spans="1:9" x14ac:dyDescent="0.3">
      <c r="A1493">
        <v>11492</v>
      </c>
      <c r="B1493" s="2">
        <v>45152</v>
      </c>
      <c r="C1493" t="s">
        <v>14</v>
      </c>
      <c r="D1493" t="s">
        <v>15</v>
      </c>
      <c r="E1493" t="s">
        <v>24</v>
      </c>
      <c r="F1493">
        <v>6</v>
      </c>
      <c r="G1493">
        <v>23887</v>
      </c>
      <c r="H1493">
        <v>143322</v>
      </c>
      <c r="I1493">
        <f t="shared" si="23"/>
        <v>143322</v>
      </c>
    </row>
    <row r="1494" spans="1:9" x14ac:dyDescent="0.3">
      <c r="A1494">
        <v>11493</v>
      </c>
      <c r="B1494" s="2">
        <v>45211</v>
      </c>
      <c r="C1494" t="s">
        <v>13</v>
      </c>
      <c r="D1494" t="s">
        <v>17</v>
      </c>
      <c r="E1494" t="s">
        <v>22</v>
      </c>
      <c r="F1494">
        <v>12</v>
      </c>
      <c r="G1494">
        <v>48466</v>
      </c>
      <c r="H1494">
        <v>581592</v>
      </c>
      <c r="I1494">
        <f t="shared" si="23"/>
        <v>581592</v>
      </c>
    </row>
    <row r="1495" spans="1:9" x14ac:dyDescent="0.3">
      <c r="A1495">
        <v>11494</v>
      </c>
      <c r="B1495" s="2">
        <v>44970</v>
      </c>
      <c r="C1495" t="s">
        <v>8</v>
      </c>
      <c r="D1495" t="s">
        <v>18</v>
      </c>
      <c r="E1495" t="s">
        <v>24</v>
      </c>
      <c r="F1495">
        <v>8</v>
      </c>
      <c r="G1495">
        <v>32689</v>
      </c>
      <c r="H1495">
        <v>261512</v>
      </c>
      <c r="I1495">
        <f t="shared" si="23"/>
        <v>261512</v>
      </c>
    </row>
    <row r="1496" spans="1:9" x14ac:dyDescent="0.3">
      <c r="A1496">
        <v>11495</v>
      </c>
      <c r="B1496" s="2">
        <v>45281</v>
      </c>
      <c r="C1496" t="s">
        <v>8</v>
      </c>
      <c r="D1496" t="s">
        <v>16</v>
      </c>
      <c r="E1496" t="s">
        <v>19</v>
      </c>
      <c r="F1496">
        <v>9</v>
      </c>
      <c r="G1496">
        <v>1581</v>
      </c>
      <c r="H1496">
        <v>14229</v>
      </c>
      <c r="I1496">
        <f t="shared" si="23"/>
        <v>14229</v>
      </c>
    </row>
    <row r="1497" spans="1:9" x14ac:dyDescent="0.3">
      <c r="A1497">
        <v>11496</v>
      </c>
      <c r="B1497" s="2">
        <v>45282</v>
      </c>
      <c r="C1497" t="s">
        <v>9</v>
      </c>
      <c r="D1497" t="s">
        <v>15</v>
      </c>
      <c r="E1497" t="s">
        <v>19</v>
      </c>
      <c r="F1497">
        <v>4</v>
      </c>
      <c r="G1497">
        <v>43904</v>
      </c>
      <c r="H1497">
        <v>175616</v>
      </c>
      <c r="I1497">
        <f t="shared" si="23"/>
        <v>175616</v>
      </c>
    </row>
    <row r="1498" spans="1:9" x14ac:dyDescent="0.3">
      <c r="A1498">
        <v>11497</v>
      </c>
      <c r="B1498" s="2">
        <v>44958</v>
      </c>
      <c r="C1498" t="s">
        <v>10</v>
      </c>
      <c r="D1498" t="s">
        <v>15</v>
      </c>
      <c r="E1498" t="s">
        <v>20</v>
      </c>
      <c r="F1498">
        <v>17</v>
      </c>
      <c r="G1498">
        <v>20249</v>
      </c>
      <c r="H1498">
        <v>344233</v>
      </c>
      <c r="I1498">
        <f t="shared" si="23"/>
        <v>344233</v>
      </c>
    </row>
    <row r="1499" spans="1:9" x14ac:dyDescent="0.3">
      <c r="A1499">
        <v>11498</v>
      </c>
      <c r="B1499" s="2">
        <v>45166</v>
      </c>
      <c r="C1499" t="s">
        <v>10</v>
      </c>
      <c r="D1499" t="s">
        <v>17</v>
      </c>
      <c r="E1499" t="s">
        <v>23</v>
      </c>
      <c r="F1499">
        <v>1</v>
      </c>
      <c r="G1499">
        <v>13402</v>
      </c>
      <c r="H1499">
        <v>13402</v>
      </c>
      <c r="I1499">
        <f t="shared" si="23"/>
        <v>13402</v>
      </c>
    </row>
    <row r="1500" spans="1:9" x14ac:dyDescent="0.3">
      <c r="A1500">
        <v>11499</v>
      </c>
      <c r="B1500" s="2">
        <v>44956</v>
      </c>
      <c r="C1500" t="s">
        <v>13</v>
      </c>
      <c r="D1500" t="s">
        <v>15</v>
      </c>
      <c r="E1500" t="s">
        <v>24</v>
      </c>
      <c r="F1500">
        <v>4</v>
      </c>
      <c r="G1500">
        <v>21183</v>
      </c>
      <c r="H1500">
        <v>84732</v>
      </c>
      <c r="I1500">
        <f t="shared" si="23"/>
        <v>84732</v>
      </c>
    </row>
    <row r="1501" spans="1:9" x14ac:dyDescent="0.3">
      <c r="A1501">
        <v>11500</v>
      </c>
      <c r="B1501" s="2">
        <v>45234</v>
      </c>
      <c r="C1501" t="s">
        <v>9</v>
      </c>
      <c r="D1501" t="s">
        <v>17</v>
      </c>
      <c r="E1501" t="s">
        <v>21</v>
      </c>
      <c r="F1501">
        <v>4</v>
      </c>
      <c r="G1501">
        <v>11826</v>
      </c>
      <c r="H1501">
        <v>47304</v>
      </c>
      <c r="I1501">
        <f t="shared" si="23"/>
        <v>47304</v>
      </c>
    </row>
    <row r="1502" spans="1:9" x14ac:dyDescent="0.3">
      <c r="A1502">
        <v>11501</v>
      </c>
      <c r="B1502" s="2">
        <v>44955</v>
      </c>
      <c r="C1502" t="s">
        <v>12</v>
      </c>
      <c r="D1502" t="s">
        <v>17</v>
      </c>
      <c r="E1502" t="s">
        <v>24</v>
      </c>
      <c r="F1502">
        <v>16</v>
      </c>
      <c r="G1502">
        <v>51369</v>
      </c>
      <c r="H1502">
        <v>821904</v>
      </c>
      <c r="I1502">
        <f t="shared" si="23"/>
        <v>821904</v>
      </c>
    </row>
    <row r="1503" spans="1:9" x14ac:dyDescent="0.3">
      <c r="A1503">
        <v>11502</v>
      </c>
      <c r="B1503" s="2">
        <v>45157</v>
      </c>
      <c r="C1503" t="s">
        <v>10</v>
      </c>
      <c r="D1503" t="s">
        <v>16</v>
      </c>
      <c r="E1503" t="s">
        <v>19</v>
      </c>
      <c r="F1503">
        <v>14</v>
      </c>
      <c r="G1503">
        <v>26993</v>
      </c>
      <c r="H1503">
        <v>377902</v>
      </c>
      <c r="I1503">
        <f t="shared" si="23"/>
        <v>377902</v>
      </c>
    </row>
    <row r="1504" spans="1:9" x14ac:dyDescent="0.3">
      <c r="A1504">
        <v>11503</v>
      </c>
      <c r="B1504" s="2">
        <v>45257</v>
      </c>
      <c r="C1504" t="s">
        <v>11</v>
      </c>
      <c r="D1504" t="s">
        <v>18</v>
      </c>
      <c r="E1504" t="s">
        <v>22</v>
      </c>
      <c r="F1504">
        <v>15</v>
      </c>
      <c r="G1504">
        <v>31554</v>
      </c>
      <c r="H1504">
        <v>473310</v>
      </c>
      <c r="I1504">
        <f t="shared" si="23"/>
        <v>473310</v>
      </c>
    </row>
    <row r="1505" spans="1:9" x14ac:dyDescent="0.3">
      <c r="A1505">
        <v>11504</v>
      </c>
      <c r="B1505" s="2">
        <v>44942</v>
      </c>
      <c r="C1505" t="s">
        <v>9</v>
      </c>
      <c r="D1505" t="s">
        <v>17</v>
      </c>
      <c r="E1505" t="s">
        <v>22</v>
      </c>
      <c r="F1505">
        <v>13</v>
      </c>
      <c r="G1505">
        <v>37393</v>
      </c>
      <c r="H1505">
        <v>486109</v>
      </c>
      <c r="I1505">
        <f t="shared" si="23"/>
        <v>486109</v>
      </c>
    </row>
    <row r="1506" spans="1:9" x14ac:dyDescent="0.3">
      <c r="A1506">
        <v>11505</v>
      </c>
      <c r="B1506" s="2">
        <v>45251</v>
      </c>
      <c r="C1506" t="s">
        <v>12</v>
      </c>
      <c r="D1506" t="s">
        <v>17</v>
      </c>
      <c r="E1506" t="s">
        <v>19</v>
      </c>
      <c r="F1506">
        <v>9</v>
      </c>
      <c r="G1506">
        <v>28877</v>
      </c>
      <c r="H1506">
        <v>259893</v>
      </c>
      <c r="I1506">
        <f t="shared" si="23"/>
        <v>259893</v>
      </c>
    </row>
    <row r="1507" spans="1:9" x14ac:dyDescent="0.3">
      <c r="A1507">
        <v>11506</v>
      </c>
      <c r="B1507" s="2">
        <v>45002</v>
      </c>
      <c r="C1507" t="s">
        <v>10</v>
      </c>
      <c r="D1507" t="s">
        <v>18</v>
      </c>
      <c r="E1507" t="s">
        <v>21</v>
      </c>
      <c r="F1507">
        <v>19</v>
      </c>
      <c r="G1507">
        <v>25772</v>
      </c>
      <c r="H1507">
        <v>489668</v>
      </c>
      <c r="I1507">
        <f t="shared" si="23"/>
        <v>489668</v>
      </c>
    </row>
    <row r="1508" spans="1:9" x14ac:dyDescent="0.3">
      <c r="A1508">
        <v>11507</v>
      </c>
      <c r="B1508" s="2">
        <v>44937</v>
      </c>
      <c r="C1508" t="s">
        <v>12</v>
      </c>
      <c r="D1508" t="s">
        <v>18</v>
      </c>
      <c r="E1508" t="s">
        <v>23</v>
      </c>
      <c r="F1508">
        <v>20</v>
      </c>
      <c r="G1508">
        <v>19434</v>
      </c>
      <c r="H1508">
        <v>388680</v>
      </c>
      <c r="I1508">
        <f t="shared" si="23"/>
        <v>388680</v>
      </c>
    </row>
    <row r="1509" spans="1:9" x14ac:dyDescent="0.3">
      <c r="A1509">
        <v>11508</v>
      </c>
      <c r="B1509" s="2">
        <v>45084</v>
      </c>
      <c r="C1509" t="s">
        <v>10</v>
      </c>
      <c r="D1509" t="s">
        <v>18</v>
      </c>
      <c r="E1509" t="s">
        <v>21</v>
      </c>
      <c r="F1509">
        <v>20</v>
      </c>
      <c r="G1509">
        <v>55964</v>
      </c>
      <c r="H1509">
        <v>1119280</v>
      </c>
      <c r="I1509">
        <f t="shared" si="23"/>
        <v>1119280</v>
      </c>
    </row>
    <row r="1510" spans="1:9" x14ac:dyDescent="0.3">
      <c r="A1510">
        <v>11509</v>
      </c>
      <c r="B1510" s="2">
        <v>45258</v>
      </c>
      <c r="C1510" t="s">
        <v>13</v>
      </c>
      <c r="D1510" t="s">
        <v>17</v>
      </c>
      <c r="E1510" t="s">
        <v>19</v>
      </c>
      <c r="F1510">
        <v>14</v>
      </c>
      <c r="G1510">
        <v>13654</v>
      </c>
      <c r="H1510">
        <v>191156</v>
      </c>
      <c r="I1510">
        <f t="shared" si="23"/>
        <v>191156</v>
      </c>
    </row>
    <row r="1511" spans="1:9" x14ac:dyDescent="0.3">
      <c r="A1511">
        <v>11510</v>
      </c>
      <c r="B1511" s="2">
        <v>45257</v>
      </c>
      <c r="C1511" t="s">
        <v>14</v>
      </c>
      <c r="D1511" t="s">
        <v>15</v>
      </c>
      <c r="E1511" t="s">
        <v>22</v>
      </c>
      <c r="F1511">
        <v>1</v>
      </c>
      <c r="G1511">
        <v>11348</v>
      </c>
      <c r="H1511">
        <v>11348</v>
      </c>
      <c r="I1511">
        <f t="shared" si="23"/>
        <v>11348</v>
      </c>
    </row>
    <row r="1512" spans="1:9" x14ac:dyDescent="0.3">
      <c r="A1512">
        <v>11511</v>
      </c>
      <c r="B1512" s="2">
        <v>44979</v>
      </c>
      <c r="C1512" t="s">
        <v>9</v>
      </c>
      <c r="D1512" t="s">
        <v>16</v>
      </c>
      <c r="E1512" t="s">
        <v>24</v>
      </c>
      <c r="F1512">
        <v>7</v>
      </c>
      <c r="G1512">
        <v>17331</v>
      </c>
      <c r="H1512">
        <v>121317</v>
      </c>
      <c r="I1512">
        <f t="shared" si="23"/>
        <v>121317</v>
      </c>
    </row>
    <row r="1513" spans="1:9" x14ac:dyDescent="0.3">
      <c r="A1513">
        <v>11512</v>
      </c>
      <c r="B1513" s="2">
        <v>45044</v>
      </c>
      <c r="C1513" t="s">
        <v>13</v>
      </c>
      <c r="D1513" t="s">
        <v>16</v>
      </c>
      <c r="E1513" t="s">
        <v>20</v>
      </c>
      <c r="F1513">
        <v>6</v>
      </c>
      <c r="G1513">
        <v>48449</v>
      </c>
      <c r="H1513">
        <v>290694</v>
      </c>
      <c r="I1513">
        <f t="shared" si="23"/>
        <v>290694</v>
      </c>
    </row>
    <row r="1514" spans="1:9" x14ac:dyDescent="0.3">
      <c r="A1514">
        <v>11513</v>
      </c>
      <c r="B1514" s="2">
        <v>45246</v>
      </c>
      <c r="C1514" t="s">
        <v>11</v>
      </c>
      <c r="D1514" t="s">
        <v>16</v>
      </c>
      <c r="E1514" t="s">
        <v>20</v>
      </c>
      <c r="F1514">
        <v>16</v>
      </c>
      <c r="G1514">
        <v>56260</v>
      </c>
      <c r="H1514">
        <v>900160</v>
      </c>
      <c r="I1514">
        <f t="shared" si="23"/>
        <v>900160</v>
      </c>
    </row>
    <row r="1515" spans="1:9" x14ac:dyDescent="0.3">
      <c r="A1515">
        <v>11514</v>
      </c>
      <c r="B1515" s="2">
        <v>45253</v>
      </c>
      <c r="C1515" t="s">
        <v>12</v>
      </c>
      <c r="D1515" t="s">
        <v>16</v>
      </c>
      <c r="E1515" t="s">
        <v>23</v>
      </c>
      <c r="F1515">
        <v>15</v>
      </c>
      <c r="G1515">
        <v>19810</v>
      </c>
      <c r="H1515">
        <v>297150</v>
      </c>
      <c r="I1515">
        <f t="shared" si="23"/>
        <v>297150</v>
      </c>
    </row>
    <row r="1516" spans="1:9" x14ac:dyDescent="0.3">
      <c r="A1516">
        <v>11515</v>
      </c>
      <c r="B1516" s="2">
        <v>45247</v>
      </c>
      <c r="C1516" t="s">
        <v>12</v>
      </c>
      <c r="D1516" t="s">
        <v>18</v>
      </c>
      <c r="E1516" t="s">
        <v>24</v>
      </c>
      <c r="F1516">
        <v>9</v>
      </c>
      <c r="G1516">
        <v>30642</v>
      </c>
      <c r="H1516">
        <v>275778</v>
      </c>
      <c r="I1516">
        <f t="shared" si="23"/>
        <v>275778</v>
      </c>
    </row>
    <row r="1517" spans="1:9" x14ac:dyDescent="0.3">
      <c r="A1517">
        <v>11516</v>
      </c>
      <c r="B1517" s="2">
        <v>45224</v>
      </c>
      <c r="C1517" t="s">
        <v>13</v>
      </c>
      <c r="D1517" t="s">
        <v>17</v>
      </c>
      <c r="E1517" t="s">
        <v>24</v>
      </c>
      <c r="F1517">
        <v>20</v>
      </c>
      <c r="G1517">
        <v>33128</v>
      </c>
      <c r="H1517">
        <v>662560</v>
      </c>
      <c r="I1517">
        <f t="shared" si="23"/>
        <v>662560</v>
      </c>
    </row>
    <row r="1518" spans="1:9" x14ac:dyDescent="0.3">
      <c r="A1518">
        <v>11517</v>
      </c>
      <c r="B1518" s="2">
        <v>45028</v>
      </c>
      <c r="C1518" t="s">
        <v>12</v>
      </c>
      <c r="D1518" t="s">
        <v>18</v>
      </c>
      <c r="E1518" t="s">
        <v>19</v>
      </c>
      <c r="F1518">
        <v>11</v>
      </c>
      <c r="G1518">
        <v>18651</v>
      </c>
      <c r="H1518">
        <v>205161</v>
      </c>
      <c r="I1518">
        <f t="shared" si="23"/>
        <v>205161</v>
      </c>
    </row>
    <row r="1519" spans="1:9" x14ac:dyDescent="0.3">
      <c r="A1519">
        <v>11518</v>
      </c>
      <c r="B1519" s="2">
        <v>44944</v>
      </c>
      <c r="C1519" t="s">
        <v>11</v>
      </c>
      <c r="D1519" t="s">
        <v>15</v>
      </c>
      <c r="E1519" t="s">
        <v>24</v>
      </c>
      <c r="F1519">
        <v>3</v>
      </c>
      <c r="G1519">
        <v>8386</v>
      </c>
      <c r="H1519">
        <v>25158</v>
      </c>
      <c r="I1519">
        <f t="shared" si="23"/>
        <v>25158</v>
      </c>
    </row>
    <row r="1520" spans="1:9" x14ac:dyDescent="0.3">
      <c r="A1520">
        <v>11519</v>
      </c>
      <c r="B1520" s="2">
        <v>45227</v>
      </c>
      <c r="C1520" t="s">
        <v>11</v>
      </c>
      <c r="D1520" t="s">
        <v>17</v>
      </c>
      <c r="E1520" t="s">
        <v>21</v>
      </c>
      <c r="F1520">
        <v>12</v>
      </c>
      <c r="G1520">
        <v>52590</v>
      </c>
      <c r="H1520">
        <v>631080</v>
      </c>
      <c r="I1520">
        <f t="shared" si="23"/>
        <v>631080</v>
      </c>
    </row>
    <row r="1521" spans="1:9" x14ac:dyDescent="0.3">
      <c r="A1521">
        <v>11520</v>
      </c>
      <c r="B1521" s="2">
        <v>45136</v>
      </c>
      <c r="C1521" t="s">
        <v>14</v>
      </c>
      <c r="D1521" t="s">
        <v>18</v>
      </c>
      <c r="E1521" t="s">
        <v>20</v>
      </c>
      <c r="F1521">
        <v>3</v>
      </c>
      <c r="G1521">
        <v>15158</v>
      </c>
      <c r="H1521">
        <v>45474</v>
      </c>
      <c r="I1521">
        <f t="shared" si="23"/>
        <v>45474</v>
      </c>
    </row>
    <row r="1522" spans="1:9" x14ac:dyDescent="0.3">
      <c r="A1522">
        <v>11521</v>
      </c>
      <c r="B1522" s="2">
        <v>45179</v>
      </c>
      <c r="C1522" t="s">
        <v>9</v>
      </c>
      <c r="D1522" t="s">
        <v>16</v>
      </c>
      <c r="E1522" t="s">
        <v>19</v>
      </c>
      <c r="F1522">
        <v>11</v>
      </c>
      <c r="G1522">
        <v>7672</v>
      </c>
      <c r="H1522">
        <v>84392</v>
      </c>
      <c r="I1522">
        <f t="shared" si="23"/>
        <v>84392</v>
      </c>
    </row>
    <row r="1523" spans="1:9" x14ac:dyDescent="0.3">
      <c r="A1523">
        <v>11522</v>
      </c>
      <c r="B1523" s="2">
        <v>45119</v>
      </c>
      <c r="C1523" t="s">
        <v>9</v>
      </c>
      <c r="D1523" t="s">
        <v>17</v>
      </c>
      <c r="E1523" t="s">
        <v>21</v>
      </c>
      <c r="F1523">
        <v>16</v>
      </c>
      <c r="G1523">
        <v>41394</v>
      </c>
      <c r="H1523">
        <v>662304</v>
      </c>
      <c r="I1523">
        <f t="shared" si="23"/>
        <v>662304</v>
      </c>
    </row>
    <row r="1524" spans="1:9" x14ac:dyDescent="0.3">
      <c r="A1524">
        <v>11523</v>
      </c>
      <c r="B1524" s="2">
        <v>45257</v>
      </c>
      <c r="C1524" t="s">
        <v>14</v>
      </c>
      <c r="D1524" t="s">
        <v>17</v>
      </c>
      <c r="E1524" t="s">
        <v>23</v>
      </c>
      <c r="F1524">
        <v>11</v>
      </c>
      <c r="G1524">
        <v>38868</v>
      </c>
      <c r="H1524">
        <v>427548</v>
      </c>
      <c r="I1524">
        <f t="shared" si="23"/>
        <v>427548</v>
      </c>
    </row>
    <row r="1525" spans="1:9" x14ac:dyDescent="0.3">
      <c r="A1525">
        <v>11524</v>
      </c>
      <c r="B1525" s="2">
        <v>45247</v>
      </c>
      <c r="C1525" t="s">
        <v>13</v>
      </c>
      <c r="D1525" t="s">
        <v>18</v>
      </c>
      <c r="E1525" t="s">
        <v>22</v>
      </c>
      <c r="F1525">
        <v>10</v>
      </c>
      <c r="G1525">
        <v>5198</v>
      </c>
      <c r="H1525">
        <v>51980</v>
      </c>
      <c r="I1525">
        <f t="shared" si="23"/>
        <v>51980</v>
      </c>
    </row>
    <row r="1526" spans="1:9" x14ac:dyDescent="0.3">
      <c r="A1526">
        <v>11525</v>
      </c>
      <c r="B1526" s="2">
        <v>45084</v>
      </c>
      <c r="C1526" t="s">
        <v>9</v>
      </c>
      <c r="D1526" t="s">
        <v>16</v>
      </c>
      <c r="E1526" t="s">
        <v>21</v>
      </c>
      <c r="F1526">
        <v>4</v>
      </c>
      <c r="G1526">
        <v>3530</v>
      </c>
      <c r="H1526">
        <v>14120</v>
      </c>
      <c r="I1526">
        <f t="shared" si="23"/>
        <v>14120</v>
      </c>
    </row>
    <row r="1527" spans="1:9" x14ac:dyDescent="0.3">
      <c r="A1527">
        <v>11526</v>
      </c>
      <c r="B1527" s="2">
        <v>45157</v>
      </c>
      <c r="C1527" t="s">
        <v>8</v>
      </c>
      <c r="D1527" t="s">
        <v>17</v>
      </c>
      <c r="E1527" t="s">
        <v>24</v>
      </c>
      <c r="F1527">
        <v>17</v>
      </c>
      <c r="G1527">
        <v>38343</v>
      </c>
      <c r="H1527">
        <v>651831</v>
      </c>
      <c r="I1527">
        <f t="shared" si="23"/>
        <v>651831</v>
      </c>
    </row>
    <row r="1528" spans="1:9" x14ac:dyDescent="0.3">
      <c r="A1528">
        <v>11527</v>
      </c>
      <c r="B1528" s="2">
        <v>45284</v>
      </c>
      <c r="C1528" t="s">
        <v>9</v>
      </c>
      <c r="D1528" t="s">
        <v>15</v>
      </c>
      <c r="E1528" t="s">
        <v>21</v>
      </c>
      <c r="F1528">
        <v>18</v>
      </c>
      <c r="G1528">
        <v>11601</v>
      </c>
      <c r="H1528">
        <v>208818</v>
      </c>
      <c r="I1528">
        <f t="shared" si="23"/>
        <v>208818</v>
      </c>
    </row>
    <row r="1529" spans="1:9" x14ac:dyDescent="0.3">
      <c r="A1529">
        <v>11528</v>
      </c>
      <c r="B1529" s="2">
        <v>45094</v>
      </c>
      <c r="C1529" t="s">
        <v>9</v>
      </c>
      <c r="D1529" t="s">
        <v>16</v>
      </c>
      <c r="E1529" t="s">
        <v>22</v>
      </c>
      <c r="F1529">
        <v>5</v>
      </c>
      <c r="G1529">
        <v>29614</v>
      </c>
      <c r="H1529">
        <v>148070</v>
      </c>
      <c r="I1529">
        <f t="shared" si="23"/>
        <v>148070</v>
      </c>
    </row>
    <row r="1530" spans="1:9" x14ac:dyDescent="0.3">
      <c r="A1530">
        <v>11529</v>
      </c>
      <c r="B1530" s="2">
        <v>45288</v>
      </c>
      <c r="C1530" t="s">
        <v>11</v>
      </c>
      <c r="D1530" t="s">
        <v>18</v>
      </c>
      <c r="E1530" t="s">
        <v>21</v>
      </c>
      <c r="F1530">
        <v>13</v>
      </c>
      <c r="G1530">
        <v>14215</v>
      </c>
      <c r="H1530">
        <v>184795</v>
      </c>
      <c r="I1530">
        <f t="shared" si="23"/>
        <v>184795</v>
      </c>
    </row>
    <row r="1531" spans="1:9" x14ac:dyDescent="0.3">
      <c r="A1531">
        <v>11530</v>
      </c>
      <c r="B1531" s="2">
        <v>45181</v>
      </c>
      <c r="C1531" t="s">
        <v>10</v>
      </c>
      <c r="D1531" t="s">
        <v>18</v>
      </c>
      <c r="E1531" t="s">
        <v>24</v>
      </c>
      <c r="F1531">
        <v>14</v>
      </c>
      <c r="G1531">
        <v>14830</v>
      </c>
      <c r="H1531">
        <v>207620</v>
      </c>
      <c r="I1531">
        <f t="shared" si="23"/>
        <v>207620</v>
      </c>
    </row>
    <row r="1532" spans="1:9" x14ac:dyDescent="0.3">
      <c r="A1532">
        <v>11531</v>
      </c>
      <c r="B1532" s="2">
        <v>45136</v>
      </c>
      <c r="C1532" t="s">
        <v>14</v>
      </c>
      <c r="D1532" t="s">
        <v>15</v>
      </c>
      <c r="E1532" t="s">
        <v>24</v>
      </c>
      <c r="F1532">
        <v>18</v>
      </c>
      <c r="G1532">
        <v>34162</v>
      </c>
      <c r="H1532">
        <v>614916</v>
      </c>
      <c r="I1532">
        <f t="shared" si="23"/>
        <v>614916</v>
      </c>
    </row>
    <row r="1533" spans="1:9" x14ac:dyDescent="0.3">
      <c r="A1533">
        <v>11532</v>
      </c>
      <c r="B1533" s="2">
        <v>44995</v>
      </c>
      <c r="C1533" t="s">
        <v>12</v>
      </c>
      <c r="D1533" t="s">
        <v>15</v>
      </c>
      <c r="E1533" t="s">
        <v>23</v>
      </c>
      <c r="F1533">
        <v>20</v>
      </c>
      <c r="G1533">
        <v>52065</v>
      </c>
      <c r="H1533">
        <v>1041300</v>
      </c>
      <c r="I1533">
        <f t="shared" si="23"/>
        <v>1041300</v>
      </c>
    </row>
    <row r="1534" spans="1:9" x14ac:dyDescent="0.3">
      <c r="A1534">
        <v>11533</v>
      </c>
      <c r="B1534" s="2">
        <v>45177</v>
      </c>
      <c r="C1534" t="s">
        <v>10</v>
      </c>
      <c r="D1534" t="s">
        <v>15</v>
      </c>
      <c r="E1534" t="s">
        <v>21</v>
      </c>
      <c r="F1534">
        <v>3</v>
      </c>
      <c r="G1534">
        <v>23023</v>
      </c>
      <c r="H1534">
        <v>69069</v>
      </c>
      <c r="I1534">
        <f t="shared" si="23"/>
        <v>69069</v>
      </c>
    </row>
    <row r="1535" spans="1:9" x14ac:dyDescent="0.3">
      <c r="A1535">
        <v>11534</v>
      </c>
      <c r="B1535" s="2">
        <v>45157</v>
      </c>
      <c r="C1535" t="s">
        <v>11</v>
      </c>
      <c r="D1535" t="s">
        <v>16</v>
      </c>
      <c r="E1535" t="s">
        <v>20</v>
      </c>
      <c r="F1535">
        <v>4</v>
      </c>
      <c r="G1535">
        <v>12776</v>
      </c>
      <c r="H1535">
        <v>51104</v>
      </c>
      <c r="I1535">
        <f t="shared" si="23"/>
        <v>51104</v>
      </c>
    </row>
    <row r="1536" spans="1:9" x14ac:dyDescent="0.3">
      <c r="A1536">
        <v>11535</v>
      </c>
      <c r="B1536" s="2">
        <v>45007</v>
      </c>
      <c r="C1536" t="s">
        <v>10</v>
      </c>
      <c r="D1536" t="s">
        <v>17</v>
      </c>
      <c r="E1536" t="s">
        <v>22</v>
      </c>
      <c r="F1536">
        <v>14</v>
      </c>
      <c r="G1536">
        <v>10717</v>
      </c>
      <c r="H1536">
        <v>150038</v>
      </c>
      <c r="I1536">
        <f t="shared" si="23"/>
        <v>150038</v>
      </c>
    </row>
    <row r="1537" spans="1:9" x14ac:dyDescent="0.3">
      <c r="A1537">
        <v>11536</v>
      </c>
      <c r="B1537" s="2">
        <v>45194</v>
      </c>
      <c r="C1537" t="s">
        <v>10</v>
      </c>
      <c r="D1537" t="s">
        <v>15</v>
      </c>
      <c r="E1537" t="s">
        <v>24</v>
      </c>
      <c r="F1537">
        <v>20</v>
      </c>
      <c r="G1537">
        <v>38414</v>
      </c>
      <c r="H1537">
        <v>768280</v>
      </c>
      <c r="I1537">
        <f t="shared" si="23"/>
        <v>768280</v>
      </c>
    </row>
    <row r="1538" spans="1:9" x14ac:dyDescent="0.3">
      <c r="A1538">
        <v>11537</v>
      </c>
      <c r="B1538" s="2">
        <v>45082</v>
      </c>
      <c r="C1538" t="s">
        <v>12</v>
      </c>
      <c r="D1538" t="s">
        <v>17</v>
      </c>
      <c r="E1538" t="s">
        <v>20</v>
      </c>
      <c r="F1538">
        <v>7</v>
      </c>
      <c r="G1538">
        <v>36017</v>
      </c>
      <c r="H1538">
        <v>252119</v>
      </c>
      <c r="I1538">
        <f t="shared" si="23"/>
        <v>252119</v>
      </c>
    </row>
    <row r="1539" spans="1:9" x14ac:dyDescent="0.3">
      <c r="A1539">
        <v>11538</v>
      </c>
      <c r="B1539" s="2">
        <v>45050</v>
      </c>
      <c r="C1539" t="s">
        <v>11</v>
      </c>
      <c r="D1539" t="s">
        <v>15</v>
      </c>
      <c r="E1539" t="s">
        <v>21</v>
      </c>
      <c r="F1539">
        <v>12</v>
      </c>
      <c r="G1539">
        <v>34659</v>
      </c>
      <c r="H1539">
        <v>415908</v>
      </c>
      <c r="I1539">
        <f t="shared" ref="I1539:I1602" si="24">G1539*F1539</f>
        <v>415908</v>
      </c>
    </row>
    <row r="1540" spans="1:9" x14ac:dyDescent="0.3">
      <c r="A1540">
        <v>11539</v>
      </c>
      <c r="B1540" s="2">
        <v>45292</v>
      </c>
      <c r="C1540" t="s">
        <v>13</v>
      </c>
      <c r="D1540" t="s">
        <v>15</v>
      </c>
      <c r="E1540" t="s">
        <v>19</v>
      </c>
      <c r="F1540">
        <v>4</v>
      </c>
      <c r="G1540">
        <v>19638</v>
      </c>
      <c r="H1540">
        <v>78552</v>
      </c>
      <c r="I1540">
        <f t="shared" si="24"/>
        <v>78552</v>
      </c>
    </row>
    <row r="1541" spans="1:9" x14ac:dyDescent="0.3">
      <c r="A1541">
        <v>11540</v>
      </c>
      <c r="B1541" s="2">
        <v>45156</v>
      </c>
      <c r="C1541" t="s">
        <v>14</v>
      </c>
      <c r="D1541" t="s">
        <v>18</v>
      </c>
      <c r="E1541" t="s">
        <v>23</v>
      </c>
      <c r="F1541">
        <v>13</v>
      </c>
      <c r="G1541">
        <v>15029</v>
      </c>
      <c r="H1541">
        <v>195377</v>
      </c>
      <c r="I1541">
        <f t="shared" si="24"/>
        <v>195377</v>
      </c>
    </row>
    <row r="1542" spans="1:9" x14ac:dyDescent="0.3">
      <c r="A1542">
        <v>11541</v>
      </c>
      <c r="B1542" s="2">
        <v>45280</v>
      </c>
      <c r="C1542" t="s">
        <v>9</v>
      </c>
      <c r="D1542" t="s">
        <v>18</v>
      </c>
      <c r="E1542" t="s">
        <v>22</v>
      </c>
      <c r="F1542">
        <v>6</v>
      </c>
      <c r="G1542">
        <v>59013</v>
      </c>
      <c r="H1542">
        <v>354078</v>
      </c>
      <c r="I1542">
        <f t="shared" si="24"/>
        <v>354078</v>
      </c>
    </row>
    <row r="1543" spans="1:9" x14ac:dyDescent="0.3">
      <c r="A1543">
        <v>11542</v>
      </c>
      <c r="B1543" s="2">
        <v>44983</v>
      </c>
      <c r="C1543" t="s">
        <v>8</v>
      </c>
      <c r="D1543" t="s">
        <v>15</v>
      </c>
      <c r="E1543" t="s">
        <v>19</v>
      </c>
      <c r="F1543">
        <v>17</v>
      </c>
      <c r="G1543">
        <v>36474</v>
      </c>
      <c r="H1543">
        <v>620058</v>
      </c>
      <c r="I1543">
        <f t="shared" si="24"/>
        <v>620058</v>
      </c>
    </row>
    <row r="1544" spans="1:9" x14ac:dyDescent="0.3">
      <c r="A1544">
        <v>11543</v>
      </c>
      <c r="B1544" s="2">
        <v>45175</v>
      </c>
      <c r="C1544" t="s">
        <v>8</v>
      </c>
      <c r="D1544" t="s">
        <v>15</v>
      </c>
      <c r="E1544" t="s">
        <v>20</v>
      </c>
      <c r="F1544">
        <v>10</v>
      </c>
      <c r="G1544">
        <v>57000</v>
      </c>
      <c r="H1544">
        <v>570000</v>
      </c>
      <c r="I1544">
        <f t="shared" si="24"/>
        <v>570000</v>
      </c>
    </row>
    <row r="1545" spans="1:9" x14ac:dyDescent="0.3">
      <c r="A1545">
        <v>11544</v>
      </c>
      <c r="B1545" s="2">
        <v>45011</v>
      </c>
      <c r="C1545" t="s">
        <v>8</v>
      </c>
      <c r="D1545" t="s">
        <v>16</v>
      </c>
      <c r="E1545" t="s">
        <v>24</v>
      </c>
      <c r="F1545">
        <v>9</v>
      </c>
      <c r="G1545">
        <v>50556</v>
      </c>
      <c r="H1545">
        <v>455004</v>
      </c>
      <c r="I1545">
        <f t="shared" si="24"/>
        <v>455004</v>
      </c>
    </row>
    <row r="1546" spans="1:9" x14ac:dyDescent="0.3">
      <c r="A1546">
        <v>11545</v>
      </c>
      <c r="B1546" s="2">
        <v>45050</v>
      </c>
      <c r="C1546" t="s">
        <v>9</v>
      </c>
      <c r="D1546" t="s">
        <v>15</v>
      </c>
      <c r="E1546" t="s">
        <v>22</v>
      </c>
      <c r="F1546">
        <v>11</v>
      </c>
      <c r="G1546">
        <v>26624</v>
      </c>
      <c r="H1546">
        <v>292864</v>
      </c>
      <c r="I1546">
        <f t="shared" si="24"/>
        <v>292864</v>
      </c>
    </row>
    <row r="1547" spans="1:9" x14ac:dyDescent="0.3">
      <c r="A1547">
        <v>11546</v>
      </c>
      <c r="B1547" s="2">
        <v>45144</v>
      </c>
      <c r="C1547" t="s">
        <v>12</v>
      </c>
      <c r="D1547" t="s">
        <v>16</v>
      </c>
      <c r="E1547" t="s">
        <v>24</v>
      </c>
      <c r="F1547">
        <v>14</v>
      </c>
      <c r="G1547">
        <v>7200</v>
      </c>
      <c r="H1547">
        <v>100800</v>
      </c>
      <c r="I1547">
        <f t="shared" si="24"/>
        <v>100800</v>
      </c>
    </row>
    <row r="1548" spans="1:9" x14ac:dyDescent="0.3">
      <c r="A1548">
        <v>11547</v>
      </c>
      <c r="B1548" s="2">
        <v>45192</v>
      </c>
      <c r="C1548" t="s">
        <v>12</v>
      </c>
      <c r="D1548" t="s">
        <v>18</v>
      </c>
      <c r="E1548" t="s">
        <v>23</v>
      </c>
      <c r="F1548">
        <v>14</v>
      </c>
      <c r="G1548">
        <v>26018</v>
      </c>
      <c r="H1548">
        <v>364252</v>
      </c>
      <c r="I1548">
        <f t="shared" si="24"/>
        <v>364252</v>
      </c>
    </row>
    <row r="1549" spans="1:9" x14ac:dyDescent="0.3">
      <c r="A1549">
        <v>11548</v>
      </c>
      <c r="B1549" s="2">
        <v>45217</v>
      </c>
      <c r="C1549" t="s">
        <v>11</v>
      </c>
      <c r="D1549" t="s">
        <v>16</v>
      </c>
      <c r="E1549" t="s">
        <v>20</v>
      </c>
      <c r="F1549">
        <v>11</v>
      </c>
      <c r="G1549">
        <v>32540</v>
      </c>
      <c r="H1549">
        <v>357940</v>
      </c>
      <c r="I1549">
        <f t="shared" si="24"/>
        <v>357940</v>
      </c>
    </row>
    <row r="1550" spans="1:9" x14ac:dyDescent="0.3">
      <c r="A1550">
        <v>11549</v>
      </c>
      <c r="B1550" s="2">
        <v>45048</v>
      </c>
      <c r="C1550" t="s">
        <v>8</v>
      </c>
      <c r="D1550" t="s">
        <v>16</v>
      </c>
      <c r="E1550" t="s">
        <v>23</v>
      </c>
      <c r="F1550">
        <v>4</v>
      </c>
      <c r="G1550">
        <v>37623</v>
      </c>
      <c r="H1550">
        <v>150492</v>
      </c>
      <c r="I1550">
        <f t="shared" si="24"/>
        <v>150492</v>
      </c>
    </row>
    <row r="1551" spans="1:9" x14ac:dyDescent="0.3">
      <c r="A1551">
        <v>11550</v>
      </c>
      <c r="B1551" s="2">
        <v>45073</v>
      </c>
      <c r="C1551" t="s">
        <v>14</v>
      </c>
      <c r="D1551" t="s">
        <v>18</v>
      </c>
      <c r="E1551" t="s">
        <v>20</v>
      </c>
      <c r="F1551">
        <v>14</v>
      </c>
      <c r="G1551">
        <v>48862</v>
      </c>
      <c r="H1551">
        <v>684068</v>
      </c>
      <c r="I1551">
        <f t="shared" si="24"/>
        <v>684068</v>
      </c>
    </row>
    <row r="1552" spans="1:9" x14ac:dyDescent="0.3">
      <c r="A1552">
        <v>11551</v>
      </c>
      <c r="B1552" s="2">
        <v>44954</v>
      </c>
      <c r="C1552" t="s">
        <v>11</v>
      </c>
      <c r="D1552" t="s">
        <v>15</v>
      </c>
      <c r="E1552" t="s">
        <v>21</v>
      </c>
      <c r="F1552">
        <v>19</v>
      </c>
      <c r="G1552">
        <v>52969</v>
      </c>
      <c r="H1552">
        <v>1006411</v>
      </c>
      <c r="I1552">
        <f t="shared" si="24"/>
        <v>1006411</v>
      </c>
    </row>
    <row r="1553" spans="1:9" x14ac:dyDescent="0.3">
      <c r="A1553">
        <v>11552</v>
      </c>
      <c r="B1553" s="2">
        <v>44965</v>
      </c>
      <c r="C1553" t="s">
        <v>14</v>
      </c>
      <c r="D1553" t="s">
        <v>18</v>
      </c>
      <c r="E1553" t="s">
        <v>20</v>
      </c>
      <c r="F1553">
        <v>7</v>
      </c>
      <c r="G1553">
        <v>23666</v>
      </c>
      <c r="H1553">
        <v>165662</v>
      </c>
      <c r="I1553">
        <f t="shared" si="24"/>
        <v>165662</v>
      </c>
    </row>
    <row r="1554" spans="1:9" x14ac:dyDescent="0.3">
      <c r="A1554">
        <v>11553</v>
      </c>
      <c r="B1554" s="2">
        <v>45291</v>
      </c>
      <c r="C1554" t="s">
        <v>12</v>
      </c>
      <c r="D1554" t="s">
        <v>15</v>
      </c>
      <c r="E1554" t="s">
        <v>20</v>
      </c>
      <c r="F1554">
        <v>6</v>
      </c>
      <c r="G1554">
        <v>39631</v>
      </c>
      <c r="H1554">
        <v>237786</v>
      </c>
      <c r="I1554">
        <f t="shared" si="24"/>
        <v>237786</v>
      </c>
    </row>
    <row r="1555" spans="1:9" x14ac:dyDescent="0.3">
      <c r="A1555">
        <v>11554</v>
      </c>
      <c r="B1555" s="2">
        <v>44967</v>
      </c>
      <c r="C1555" t="s">
        <v>12</v>
      </c>
      <c r="D1555" t="s">
        <v>16</v>
      </c>
      <c r="E1555" t="s">
        <v>23</v>
      </c>
      <c r="F1555">
        <v>11</v>
      </c>
      <c r="G1555">
        <v>34318</v>
      </c>
      <c r="H1555">
        <v>377498</v>
      </c>
      <c r="I1555">
        <f t="shared" si="24"/>
        <v>377498</v>
      </c>
    </row>
    <row r="1556" spans="1:9" x14ac:dyDescent="0.3">
      <c r="A1556">
        <v>11555</v>
      </c>
      <c r="B1556" s="2">
        <v>45198</v>
      </c>
      <c r="C1556" t="s">
        <v>14</v>
      </c>
      <c r="D1556" t="s">
        <v>18</v>
      </c>
      <c r="E1556" t="s">
        <v>21</v>
      </c>
      <c r="F1556">
        <v>11</v>
      </c>
      <c r="G1556">
        <v>41658</v>
      </c>
      <c r="H1556">
        <v>458238</v>
      </c>
      <c r="I1556">
        <f t="shared" si="24"/>
        <v>458238</v>
      </c>
    </row>
    <row r="1557" spans="1:9" x14ac:dyDescent="0.3">
      <c r="A1557">
        <v>11556</v>
      </c>
      <c r="B1557" s="2">
        <v>44959</v>
      </c>
      <c r="C1557" t="s">
        <v>11</v>
      </c>
      <c r="D1557" t="s">
        <v>17</v>
      </c>
      <c r="E1557" t="s">
        <v>24</v>
      </c>
      <c r="F1557">
        <v>12</v>
      </c>
      <c r="G1557">
        <v>27181</v>
      </c>
      <c r="H1557">
        <v>326172</v>
      </c>
      <c r="I1557">
        <f t="shared" si="24"/>
        <v>326172</v>
      </c>
    </row>
    <row r="1558" spans="1:9" x14ac:dyDescent="0.3">
      <c r="A1558">
        <v>11557</v>
      </c>
      <c r="B1558" s="2">
        <v>45016</v>
      </c>
      <c r="C1558" t="s">
        <v>11</v>
      </c>
      <c r="D1558" t="s">
        <v>17</v>
      </c>
      <c r="E1558" t="s">
        <v>19</v>
      </c>
      <c r="F1558">
        <v>16</v>
      </c>
      <c r="G1558">
        <v>1485</v>
      </c>
      <c r="H1558">
        <v>23760</v>
      </c>
      <c r="I1558">
        <f t="shared" si="24"/>
        <v>23760</v>
      </c>
    </row>
    <row r="1559" spans="1:9" x14ac:dyDescent="0.3">
      <c r="A1559">
        <v>11558</v>
      </c>
      <c r="B1559" s="2">
        <v>45207</v>
      </c>
      <c r="C1559" t="s">
        <v>13</v>
      </c>
      <c r="D1559" t="s">
        <v>15</v>
      </c>
      <c r="E1559" t="s">
        <v>24</v>
      </c>
      <c r="F1559">
        <v>1</v>
      </c>
      <c r="G1559">
        <v>57200</v>
      </c>
      <c r="H1559">
        <v>57200</v>
      </c>
      <c r="I1559">
        <f t="shared" si="24"/>
        <v>57200</v>
      </c>
    </row>
    <row r="1560" spans="1:9" x14ac:dyDescent="0.3">
      <c r="A1560">
        <v>11559</v>
      </c>
      <c r="B1560" s="2">
        <v>45242</v>
      </c>
      <c r="C1560" t="s">
        <v>9</v>
      </c>
      <c r="D1560" t="s">
        <v>16</v>
      </c>
      <c r="E1560" t="s">
        <v>22</v>
      </c>
      <c r="F1560">
        <v>6</v>
      </c>
      <c r="G1560">
        <v>12091</v>
      </c>
      <c r="H1560">
        <v>72546</v>
      </c>
      <c r="I1560">
        <f t="shared" si="24"/>
        <v>72546</v>
      </c>
    </row>
    <row r="1561" spans="1:9" x14ac:dyDescent="0.3">
      <c r="A1561">
        <v>11560</v>
      </c>
      <c r="B1561" s="2">
        <v>45151</v>
      </c>
      <c r="C1561" t="s">
        <v>11</v>
      </c>
      <c r="D1561" t="s">
        <v>16</v>
      </c>
      <c r="E1561" t="s">
        <v>23</v>
      </c>
      <c r="F1561">
        <v>9</v>
      </c>
      <c r="G1561">
        <v>8423</v>
      </c>
      <c r="H1561">
        <v>75807</v>
      </c>
      <c r="I1561">
        <f t="shared" si="24"/>
        <v>75807</v>
      </c>
    </row>
    <row r="1562" spans="1:9" x14ac:dyDescent="0.3">
      <c r="A1562">
        <v>11561</v>
      </c>
      <c r="B1562" s="2">
        <v>45202</v>
      </c>
      <c r="C1562" t="s">
        <v>9</v>
      </c>
      <c r="D1562" t="s">
        <v>18</v>
      </c>
      <c r="E1562" t="s">
        <v>19</v>
      </c>
      <c r="F1562">
        <v>14</v>
      </c>
      <c r="G1562">
        <v>15474</v>
      </c>
      <c r="H1562">
        <v>216636</v>
      </c>
      <c r="I1562">
        <f t="shared" si="24"/>
        <v>216636</v>
      </c>
    </row>
    <row r="1563" spans="1:9" x14ac:dyDescent="0.3">
      <c r="A1563">
        <v>11562</v>
      </c>
      <c r="B1563" s="2">
        <v>45170</v>
      </c>
      <c r="C1563" t="s">
        <v>10</v>
      </c>
      <c r="D1563" t="s">
        <v>18</v>
      </c>
      <c r="E1563" t="s">
        <v>20</v>
      </c>
      <c r="F1563">
        <v>15</v>
      </c>
      <c r="G1563">
        <v>1367</v>
      </c>
      <c r="H1563">
        <v>20505</v>
      </c>
      <c r="I1563">
        <f t="shared" si="24"/>
        <v>20505</v>
      </c>
    </row>
    <row r="1564" spans="1:9" x14ac:dyDescent="0.3">
      <c r="A1564">
        <v>11563</v>
      </c>
      <c r="B1564" s="2">
        <v>45270</v>
      </c>
      <c r="C1564" t="s">
        <v>11</v>
      </c>
      <c r="D1564" t="s">
        <v>17</v>
      </c>
      <c r="E1564" t="s">
        <v>23</v>
      </c>
      <c r="F1564">
        <v>18</v>
      </c>
      <c r="G1564">
        <v>53008</v>
      </c>
      <c r="H1564">
        <v>954144</v>
      </c>
      <c r="I1564">
        <f t="shared" si="24"/>
        <v>954144</v>
      </c>
    </row>
    <row r="1565" spans="1:9" x14ac:dyDescent="0.3">
      <c r="A1565">
        <v>11564</v>
      </c>
      <c r="B1565" s="2">
        <v>45227</v>
      </c>
      <c r="C1565" t="s">
        <v>10</v>
      </c>
      <c r="D1565" t="s">
        <v>17</v>
      </c>
      <c r="E1565" t="s">
        <v>24</v>
      </c>
      <c r="F1565">
        <v>2</v>
      </c>
      <c r="G1565">
        <v>36075</v>
      </c>
      <c r="H1565">
        <v>72150</v>
      </c>
      <c r="I1565">
        <f t="shared" si="24"/>
        <v>72150</v>
      </c>
    </row>
    <row r="1566" spans="1:9" x14ac:dyDescent="0.3">
      <c r="A1566">
        <v>11565</v>
      </c>
      <c r="B1566" s="2">
        <v>45085</v>
      </c>
      <c r="C1566" t="s">
        <v>13</v>
      </c>
      <c r="D1566" t="s">
        <v>16</v>
      </c>
      <c r="E1566" t="s">
        <v>23</v>
      </c>
      <c r="F1566">
        <v>2</v>
      </c>
      <c r="G1566">
        <v>52884</v>
      </c>
      <c r="H1566">
        <v>105768</v>
      </c>
      <c r="I1566">
        <f t="shared" si="24"/>
        <v>105768</v>
      </c>
    </row>
    <row r="1567" spans="1:9" x14ac:dyDescent="0.3">
      <c r="A1567">
        <v>11566</v>
      </c>
      <c r="B1567" s="2">
        <v>45278</v>
      </c>
      <c r="C1567" t="s">
        <v>8</v>
      </c>
      <c r="D1567" t="s">
        <v>16</v>
      </c>
      <c r="E1567" t="s">
        <v>24</v>
      </c>
      <c r="F1567">
        <v>16</v>
      </c>
      <c r="G1567">
        <v>13361</v>
      </c>
      <c r="H1567">
        <v>213776</v>
      </c>
      <c r="I1567">
        <f t="shared" si="24"/>
        <v>213776</v>
      </c>
    </row>
    <row r="1568" spans="1:9" x14ac:dyDescent="0.3">
      <c r="A1568">
        <v>11567</v>
      </c>
      <c r="B1568" s="2">
        <v>45236</v>
      </c>
      <c r="C1568" t="s">
        <v>11</v>
      </c>
      <c r="D1568" t="s">
        <v>16</v>
      </c>
      <c r="E1568" t="s">
        <v>19</v>
      </c>
      <c r="F1568">
        <v>1</v>
      </c>
      <c r="G1568">
        <v>48516</v>
      </c>
      <c r="H1568">
        <v>48516</v>
      </c>
      <c r="I1568">
        <f t="shared" si="24"/>
        <v>48516</v>
      </c>
    </row>
    <row r="1569" spans="1:9" x14ac:dyDescent="0.3">
      <c r="A1569">
        <v>11568</v>
      </c>
      <c r="B1569" s="2">
        <v>45120</v>
      </c>
      <c r="C1569" t="s">
        <v>10</v>
      </c>
      <c r="D1569" t="s">
        <v>15</v>
      </c>
      <c r="E1569" t="s">
        <v>23</v>
      </c>
      <c r="F1569">
        <v>3</v>
      </c>
      <c r="G1569">
        <v>32524</v>
      </c>
      <c r="H1569">
        <v>97572</v>
      </c>
      <c r="I1569">
        <f t="shared" si="24"/>
        <v>97572</v>
      </c>
    </row>
    <row r="1570" spans="1:9" x14ac:dyDescent="0.3">
      <c r="A1570">
        <v>11569</v>
      </c>
      <c r="B1570" s="2">
        <v>45141</v>
      </c>
      <c r="C1570" t="s">
        <v>10</v>
      </c>
      <c r="D1570" t="s">
        <v>18</v>
      </c>
      <c r="E1570" t="s">
        <v>19</v>
      </c>
      <c r="F1570">
        <v>8</v>
      </c>
      <c r="G1570">
        <v>9348</v>
      </c>
      <c r="H1570">
        <v>74784</v>
      </c>
      <c r="I1570">
        <f t="shared" si="24"/>
        <v>74784</v>
      </c>
    </row>
    <row r="1571" spans="1:9" x14ac:dyDescent="0.3">
      <c r="A1571">
        <v>11570</v>
      </c>
      <c r="B1571" s="2">
        <v>45183</v>
      </c>
      <c r="C1571" t="s">
        <v>14</v>
      </c>
      <c r="D1571" t="s">
        <v>16</v>
      </c>
      <c r="E1571" t="s">
        <v>21</v>
      </c>
      <c r="F1571">
        <v>17</v>
      </c>
      <c r="G1571">
        <v>47956</v>
      </c>
      <c r="H1571">
        <v>815252</v>
      </c>
      <c r="I1571">
        <f t="shared" si="24"/>
        <v>815252</v>
      </c>
    </row>
    <row r="1572" spans="1:9" x14ac:dyDescent="0.3">
      <c r="A1572">
        <v>11571</v>
      </c>
      <c r="B1572" s="2">
        <v>44945</v>
      </c>
      <c r="C1572" t="s">
        <v>9</v>
      </c>
      <c r="D1572" t="s">
        <v>17</v>
      </c>
      <c r="E1572" t="s">
        <v>22</v>
      </c>
      <c r="F1572">
        <v>18</v>
      </c>
      <c r="G1572">
        <v>55736</v>
      </c>
      <c r="H1572">
        <v>1003248</v>
      </c>
      <c r="I1572">
        <f t="shared" si="24"/>
        <v>1003248</v>
      </c>
    </row>
    <row r="1573" spans="1:9" x14ac:dyDescent="0.3">
      <c r="A1573">
        <v>11572</v>
      </c>
      <c r="B1573" s="2">
        <v>45153</v>
      </c>
      <c r="C1573" t="s">
        <v>8</v>
      </c>
      <c r="D1573" t="s">
        <v>18</v>
      </c>
      <c r="E1573" t="s">
        <v>23</v>
      </c>
      <c r="F1573">
        <v>20</v>
      </c>
      <c r="G1573">
        <v>54207</v>
      </c>
      <c r="H1573">
        <v>1084140</v>
      </c>
      <c r="I1573">
        <f t="shared" si="24"/>
        <v>1084140</v>
      </c>
    </row>
    <row r="1574" spans="1:9" x14ac:dyDescent="0.3">
      <c r="A1574">
        <v>11573</v>
      </c>
      <c r="B1574" s="2">
        <v>45024</v>
      </c>
      <c r="C1574" t="s">
        <v>11</v>
      </c>
      <c r="D1574" t="s">
        <v>17</v>
      </c>
      <c r="E1574" t="s">
        <v>22</v>
      </c>
      <c r="F1574">
        <v>18</v>
      </c>
      <c r="G1574">
        <v>10628</v>
      </c>
      <c r="H1574">
        <v>191304</v>
      </c>
      <c r="I1574">
        <f t="shared" si="24"/>
        <v>191304</v>
      </c>
    </row>
    <row r="1575" spans="1:9" x14ac:dyDescent="0.3">
      <c r="A1575">
        <v>11574</v>
      </c>
      <c r="B1575" s="2">
        <v>45026</v>
      </c>
      <c r="C1575" t="s">
        <v>9</v>
      </c>
      <c r="D1575" t="s">
        <v>16</v>
      </c>
      <c r="E1575" t="s">
        <v>24</v>
      </c>
      <c r="F1575">
        <v>8</v>
      </c>
      <c r="G1575">
        <v>58912</v>
      </c>
      <c r="H1575">
        <v>471296</v>
      </c>
      <c r="I1575">
        <f t="shared" si="24"/>
        <v>471296</v>
      </c>
    </row>
    <row r="1576" spans="1:9" x14ac:dyDescent="0.3">
      <c r="A1576">
        <v>11575</v>
      </c>
      <c r="B1576" s="2">
        <v>45127</v>
      </c>
      <c r="C1576" t="s">
        <v>10</v>
      </c>
      <c r="D1576" t="s">
        <v>17</v>
      </c>
      <c r="E1576" t="s">
        <v>19</v>
      </c>
      <c r="F1576">
        <v>17</v>
      </c>
      <c r="G1576">
        <v>59405</v>
      </c>
      <c r="H1576">
        <v>1009885</v>
      </c>
      <c r="I1576">
        <f t="shared" si="24"/>
        <v>1009885</v>
      </c>
    </row>
    <row r="1577" spans="1:9" x14ac:dyDescent="0.3">
      <c r="A1577">
        <v>11576</v>
      </c>
      <c r="B1577" s="2">
        <v>45229</v>
      </c>
      <c r="C1577" t="s">
        <v>11</v>
      </c>
      <c r="D1577" t="s">
        <v>16</v>
      </c>
      <c r="E1577" t="s">
        <v>21</v>
      </c>
      <c r="F1577">
        <v>20</v>
      </c>
      <c r="G1577">
        <v>37118</v>
      </c>
      <c r="H1577">
        <v>742360</v>
      </c>
      <c r="I1577">
        <f t="shared" si="24"/>
        <v>742360</v>
      </c>
    </row>
    <row r="1578" spans="1:9" x14ac:dyDescent="0.3">
      <c r="A1578">
        <v>11577</v>
      </c>
      <c r="B1578" s="2">
        <v>45183</v>
      </c>
      <c r="C1578" t="s">
        <v>14</v>
      </c>
      <c r="D1578" t="s">
        <v>16</v>
      </c>
      <c r="E1578" t="s">
        <v>23</v>
      </c>
      <c r="F1578">
        <v>19</v>
      </c>
      <c r="G1578">
        <v>22580</v>
      </c>
      <c r="H1578">
        <v>429020</v>
      </c>
      <c r="I1578">
        <f t="shared" si="24"/>
        <v>429020</v>
      </c>
    </row>
    <row r="1579" spans="1:9" x14ac:dyDescent="0.3">
      <c r="A1579">
        <v>11578</v>
      </c>
      <c r="B1579" s="2">
        <v>45060</v>
      </c>
      <c r="C1579" t="s">
        <v>9</v>
      </c>
      <c r="D1579" t="s">
        <v>16</v>
      </c>
      <c r="E1579" t="s">
        <v>19</v>
      </c>
      <c r="F1579">
        <v>20</v>
      </c>
      <c r="G1579">
        <v>35658</v>
      </c>
      <c r="H1579">
        <v>713160</v>
      </c>
      <c r="I1579">
        <f t="shared" si="24"/>
        <v>713160</v>
      </c>
    </row>
    <row r="1580" spans="1:9" x14ac:dyDescent="0.3">
      <c r="A1580">
        <v>11579</v>
      </c>
      <c r="B1580" s="2">
        <v>45287</v>
      </c>
      <c r="C1580" t="s">
        <v>8</v>
      </c>
      <c r="D1580" t="s">
        <v>18</v>
      </c>
      <c r="E1580" t="s">
        <v>20</v>
      </c>
      <c r="F1580">
        <v>15</v>
      </c>
      <c r="G1580">
        <v>17064</v>
      </c>
      <c r="H1580">
        <v>255960</v>
      </c>
      <c r="I1580">
        <f t="shared" si="24"/>
        <v>255960</v>
      </c>
    </row>
    <row r="1581" spans="1:9" x14ac:dyDescent="0.3">
      <c r="A1581">
        <v>11580</v>
      </c>
      <c r="B1581" s="2">
        <v>45226</v>
      </c>
      <c r="C1581" t="s">
        <v>10</v>
      </c>
      <c r="D1581" t="s">
        <v>16</v>
      </c>
      <c r="E1581" t="s">
        <v>22</v>
      </c>
      <c r="F1581">
        <v>6</v>
      </c>
      <c r="G1581">
        <v>51973</v>
      </c>
      <c r="H1581">
        <v>311838</v>
      </c>
      <c r="I1581">
        <f t="shared" si="24"/>
        <v>311838</v>
      </c>
    </row>
    <row r="1582" spans="1:9" x14ac:dyDescent="0.3">
      <c r="A1582">
        <v>11581</v>
      </c>
      <c r="B1582" s="2">
        <v>45240</v>
      </c>
      <c r="C1582" t="s">
        <v>11</v>
      </c>
      <c r="D1582" t="s">
        <v>18</v>
      </c>
      <c r="E1582" t="s">
        <v>20</v>
      </c>
      <c r="F1582">
        <v>3</v>
      </c>
      <c r="G1582">
        <v>24991</v>
      </c>
      <c r="H1582">
        <v>74973</v>
      </c>
      <c r="I1582">
        <f t="shared" si="24"/>
        <v>74973</v>
      </c>
    </row>
    <row r="1583" spans="1:9" x14ac:dyDescent="0.3">
      <c r="A1583">
        <v>11582</v>
      </c>
      <c r="B1583" s="2">
        <v>45263</v>
      </c>
      <c r="C1583" t="s">
        <v>12</v>
      </c>
      <c r="D1583" t="s">
        <v>18</v>
      </c>
      <c r="E1583" t="s">
        <v>24</v>
      </c>
      <c r="F1583">
        <v>17</v>
      </c>
      <c r="G1583">
        <v>27332</v>
      </c>
      <c r="H1583">
        <v>464644</v>
      </c>
      <c r="I1583">
        <f t="shared" si="24"/>
        <v>464644</v>
      </c>
    </row>
    <row r="1584" spans="1:9" x14ac:dyDescent="0.3">
      <c r="A1584">
        <v>11583</v>
      </c>
      <c r="B1584" s="2">
        <v>45289</v>
      </c>
      <c r="C1584" t="s">
        <v>13</v>
      </c>
      <c r="D1584" t="s">
        <v>18</v>
      </c>
      <c r="E1584" t="s">
        <v>19</v>
      </c>
      <c r="F1584">
        <v>18</v>
      </c>
      <c r="G1584">
        <v>2858</v>
      </c>
      <c r="H1584">
        <v>51444</v>
      </c>
      <c r="I1584">
        <f t="shared" si="24"/>
        <v>51444</v>
      </c>
    </row>
    <row r="1585" spans="1:9" x14ac:dyDescent="0.3">
      <c r="A1585">
        <v>11584</v>
      </c>
      <c r="B1585" s="2">
        <v>44983</v>
      </c>
      <c r="C1585" t="s">
        <v>10</v>
      </c>
      <c r="D1585" t="s">
        <v>16</v>
      </c>
      <c r="E1585" t="s">
        <v>19</v>
      </c>
      <c r="F1585">
        <v>4</v>
      </c>
      <c r="G1585">
        <v>51953</v>
      </c>
      <c r="H1585">
        <v>207812</v>
      </c>
      <c r="I1585">
        <f t="shared" si="24"/>
        <v>207812</v>
      </c>
    </row>
    <row r="1586" spans="1:9" x14ac:dyDescent="0.3">
      <c r="A1586">
        <v>11585</v>
      </c>
      <c r="B1586" s="2">
        <v>45147</v>
      </c>
      <c r="C1586" t="s">
        <v>13</v>
      </c>
      <c r="D1586" t="s">
        <v>15</v>
      </c>
      <c r="E1586" t="s">
        <v>21</v>
      </c>
      <c r="F1586">
        <v>4</v>
      </c>
      <c r="G1586">
        <v>20239</v>
      </c>
      <c r="H1586">
        <v>80956</v>
      </c>
      <c r="I1586">
        <f t="shared" si="24"/>
        <v>80956</v>
      </c>
    </row>
    <row r="1587" spans="1:9" x14ac:dyDescent="0.3">
      <c r="A1587">
        <v>11586</v>
      </c>
      <c r="B1587" s="2">
        <v>45260</v>
      </c>
      <c r="C1587" t="s">
        <v>10</v>
      </c>
      <c r="D1587" t="s">
        <v>16</v>
      </c>
      <c r="E1587" t="s">
        <v>24</v>
      </c>
      <c r="F1587">
        <v>11</v>
      </c>
      <c r="G1587">
        <v>45907</v>
      </c>
      <c r="H1587">
        <v>504977</v>
      </c>
      <c r="I1587">
        <f t="shared" si="24"/>
        <v>504977</v>
      </c>
    </row>
    <row r="1588" spans="1:9" x14ac:dyDescent="0.3">
      <c r="A1588">
        <v>11587</v>
      </c>
      <c r="B1588" s="2">
        <v>45121</v>
      </c>
      <c r="C1588" t="s">
        <v>9</v>
      </c>
      <c r="D1588" t="s">
        <v>17</v>
      </c>
      <c r="E1588" t="s">
        <v>21</v>
      </c>
      <c r="F1588">
        <v>20</v>
      </c>
      <c r="G1588">
        <v>48330</v>
      </c>
      <c r="H1588">
        <v>966600</v>
      </c>
      <c r="I1588">
        <f t="shared" si="24"/>
        <v>966600</v>
      </c>
    </row>
    <row r="1589" spans="1:9" x14ac:dyDescent="0.3">
      <c r="A1589">
        <v>11588</v>
      </c>
      <c r="B1589" s="2">
        <v>45292</v>
      </c>
      <c r="C1589" t="s">
        <v>10</v>
      </c>
      <c r="D1589" t="s">
        <v>16</v>
      </c>
      <c r="E1589" t="s">
        <v>22</v>
      </c>
      <c r="F1589">
        <v>8</v>
      </c>
      <c r="G1589">
        <v>14113</v>
      </c>
      <c r="H1589">
        <v>112904</v>
      </c>
      <c r="I1589">
        <f t="shared" si="24"/>
        <v>112904</v>
      </c>
    </row>
    <row r="1590" spans="1:9" x14ac:dyDescent="0.3">
      <c r="A1590">
        <v>11589</v>
      </c>
      <c r="B1590" s="2">
        <v>44945</v>
      </c>
      <c r="C1590" t="s">
        <v>10</v>
      </c>
      <c r="D1590" t="s">
        <v>15</v>
      </c>
      <c r="E1590" t="s">
        <v>19</v>
      </c>
      <c r="F1590">
        <v>17</v>
      </c>
      <c r="G1590">
        <v>15731</v>
      </c>
      <c r="H1590">
        <v>267427</v>
      </c>
      <c r="I1590">
        <f t="shared" si="24"/>
        <v>267427</v>
      </c>
    </row>
    <row r="1591" spans="1:9" x14ac:dyDescent="0.3">
      <c r="A1591">
        <v>11590</v>
      </c>
      <c r="B1591" s="2">
        <v>44983</v>
      </c>
      <c r="C1591" t="s">
        <v>8</v>
      </c>
      <c r="D1591" t="s">
        <v>16</v>
      </c>
      <c r="E1591" t="s">
        <v>24</v>
      </c>
      <c r="F1591">
        <v>2</v>
      </c>
      <c r="G1591">
        <v>50458</v>
      </c>
      <c r="H1591">
        <v>100916</v>
      </c>
      <c r="I1591">
        <f t="shared" si="24"/>
        <v>100916</v>
      </c>
    </row>
    <row r="1592" spans="1:9" x14ac:dyDescent="0.3">
      <c r="A1592">
        <v>11591</v>
      </c>
      <c r="B1592" s="2">
        <v>45180</v>
      </c>
      <c r="C1592" t="s">
        <v>12</v>
      </c>
      <c r="D1592" t="s">
        <v>18</v>
      </c>
      <c r="E1592" t="s">
        <v>20</v>
      </c>
      <c r="F1592">
        <v>4</v>
      </c>
      <c r="G1592">
        <v>5213</v>
      </c>
      <c r="H1592">
        <v>20852</v>
      </c>
      <c r="I1592">
        <f t="shared" si="24"/>
        <v>20852</v>
      </c>
    </row>
    <row r="1593" spans="1:9" x14ac:dyDescent="0.3">
      <c r="A1593">
        <v>11592</v>
      </c>
      <c r="B1593" s="2">
        <v>45003</v>
      </c>
      <c r="C1593" t="s">
        <v>9</v>
      </c>
      <c r="D1593" t="s">
        <v>18</v>
      </c>
      <c r="E1593" t="s">
        <v>21</v>
      </c>
      <c r="F1593">
        <v>13</v>
      </c>
      <c r="G1593">
        <v>5968</v>
      </c>
      <c r="H1593">
        <v>77584</v>
      </c>
      <c r="I1593">
        <f t="shared" si="24"/>
        <v>77584</v>
      </c>
    </row>
    <row r="1594" spans="1:9" x14ac:dyDescent="0.3">
      <c r="A1594">
        <v>11593</v>
      </c>
      <c r="B1594" s="2">
        <v>45107</v>
      </c>
      <c r="C1594" t="s">
        <v>8</v>
      </c>
      <c r="D1594" t="s">
        <v>17</v>
      </c>
      <c r="E1594" t="s">
        <v>23</v>
      </c>
      <c r="F1594">
        <v>4</v>
      </c>
      <c r="G1594">
        <v>54407</v>
      </c>
      <c r="H1594">
        <v>217628</v>
      </c>
      <c r="I1594">
        <f t="shared" si="24"/>
        <v>217628</v>
      </c>
    </row>
    <row r="1595" spans="1:9" x14ac:dyDescent="0.3">
      <c r="A1595">
        <v>11594</v>
      </c>
      <c r="B1595" s="2">
        <v>44997</v>
      </c>
      <c r="C1595" t="s">
        <v>13</v>
      </c>
      <c r="D1595" t="s">
        <v>17</v>
      </c>
      <c r="E1595" t="s">
        <v>22</v>
      </c>
      <c r="F1595">
        <v>17</v>
      </c>
      <c r="G1595">
        <v>27932</v>
      </c>
      <c r="H1595">
        <v>474844</v>
      </c>
      <c r="I1595">
        <f t="shared" si="24"/>
        <v>474844</v>
      </c>
    </row>
    <row r="1596" spans="1:9" x14ac:dyDescent="0.3">
      <c r="A1596">
        <v>11595</v>
      </c>
      <c r="B1596" s="2">
        <v>45168</v>
      </c>
      <c r="C1596" t="s">
        <v>13</v>
      </c>
      <c r="D1596" t="s">
        <v>18</v>
      </c>
      <c r="E1596" t="s">
        <v>20</v>
      </c>
      <c r="F1596">
        <v>11</v>
      </c>
      <c r="G1596">
        <v>26839</v>
      </c>
      <c r="H1596">
        <v>295229</v>
      </c>
      <c r="I1596">
        <f t="shared" si="24"/>
        <v>295229</v>
      </c>
    </row>
    <row r="1597" spans="1:9" x14ac:dyDescent="0.3">
      <c r="A1597">
        <v>11596</v>
      </c>
      <c r="B1597" s="2">
        <v>45092</v>
      </c>
      <c r="C1597" t="s">
        <v>14</v>
      </c>
      <c r="D1597" t="s">
        <v>18</v>
      </c>
      <c r="E1597" t="s">
        <v>24</v>
      </c>
      <c r="F1597">
        <v>16</v>
      </c>
      <c r="G1597">
        <v>31888</v>
      </c>
      <c r="H1597">
        <v>510208</v>
      </c>
      <c r="I1597">
        <f t="shared" si="24"/>
        <v>510208</v>
      </c>
    </row>
    <row r="1598" spans="1:9" x14ac:dyDescent="0.3">
      <c r="A1598">
        <v>11597</v>
      </c>
      <c r="B1598" s="2">
        <v>45121</v>
      </c>
      <c r="C1598" t="s">
        <v>13</v>
      </c>
      <c r="D1598" t="s">
        <v>15</v>
      </c>
      <c r="E1598" t="s">
        <v>22</v>
      </c>
      <c r="F1598">
        <v>11</v>
      </c>
      <c r="G1598">
        <v>16721</v>
      </c>
      <c r="H1598">
        <v>183931</v>
      </c>
      <c r="I1598">
        <f t="shared" si="24"/>
        <v>183931</v>
      </c>
    </row>
    <row r="1599" spans="1:9" x14ac:dyDescent="0.3">
      <c r="A1599">
        <v>11598</v>
      </c>
      <c r="B1599" s="2">
        <v>45128</v>
      </c>
      <c r="C1599" t="s">
        <v>10</v>
      </c>
      <c r="D1599" t="s">
        <v>15</v>
      </c>
      <c r="E1599" t="s">
        <v>24</v>
      </c>
      <c r="F1599">
        <v>8</v>
      </c>
      <c r="G1599">
        <v>45753</v>
      </c>
      <c r="H1599">
        <v>366024</v>
      </c>
      <c r="I1599">
        <f t="shared" si="24"/>
        <v>366024</v>
      </c>
    </row>
    <row r="1600" spans="1:9" x14ac:dyDescent="0.3">
      <c r="A1600">
        <v>11599</v>
      </c>
      <c r="B1600" s="2">
        <v>45223</v>
      </c>
      <c r="C1600" t="s">
        <v>11</v>
      </c>
      <c r="D1600" t="s">
        <v>18</v>
      </c>
      <c r="E1600" t="s">
        <v>19</v>
      </c>
      <c r="F1600">
        <v>18</v>
      </c>
      <c r="G1600">
        <v>56896</v>
      </c>
      <c r="H1600">
        <v>1024128</v>
      </c>
      <c r="I1600">
        <f t="shared" si="24"/>
        <v>1024128</v>
      </c>
    </row>
    <row r="1601" spans="1:9" x14ac:dyDescent="0.3">
      <c r="A1601">
        <v>11600</v>
      </c>
      <c r="B1601" s="2">
        <v>45099</v>
      </c>
      <c r="C1601" t="s">
        <v>13</v>
      </c>
      <c r="D1601" t="s">
        <v>17</v>
      </c>
      <c r="E1601" t="s">
        <v>21</v>
      </c>
      <c r="F1601">
        <v>12</v>
      </c>
      <c r="G1601">
        <v>17380</v>
      </c>
      <c r="H1601">
        <v>208560</v>
      </c>
      <c r="I1601">
        <f t="shared" si="24"/>
        <v>208560</v>
      </c>
    </row>
    <row r="1602" spans="1:9" x14ac:dyDescent="0.3">
      <c r="A1602">
        <v>11601</v>
      </c>
      <c r="B1602" s="2">
        <v>45120</v>
      </c>
      <c r="C1602" t="s">
        <v>11</v>
      </c>
      <c r="D1602" t="s">
        <v>16</v>
      </c>
      <c r="E1602" t="s">
        <v>23</v>
      </c>
      <c r="F1602">
        <v>4</v>
      </c>
      <c r="G1602">
        <v>19731</v>
      </c>
      <c r="H1602">
        <v>78924</v>
      </c>
      <c r="I1602">
        <f t="shared" si="24"/>
        <v>78924</v>
      </c>
    </row>
    <row r="1603" spans="1:9" x14ac:dyDescent="0.3">
      <c r="A1603">
        <v>11602</v>
      </c>
      <c r="B1603" s="2">
        <v>45012</v>
      </c>
      <c r="C1603" t="s">
        <v>14</v>
      </c>
      <c r="D1603" t="s">
        <v>17</v>
      </c>
      <c r="E1603" t="s">
        <v>20</v>
      </c>
      <c r="F1603">
        <v>18</v>
      </c>
      <c r="G1603">
        <v>40358</v>
      </c>
      <c r="H1603">
        <v>726444</v>
      </c>
      <c r="I1603">
        <f t="shared" ref="I1603:I1666" si="25">G1603*F1603</f>
        <v>726444</v>
      </c>
    </row>
    <row r="1604" spans="1:9" x14ac:dyDescent="0.3">
      <c r="A1604">
        <v>11603</v>
      </c>
      <c r="B1604" s="2">
        <v>45210</v>
      </c>
      <c r="C1604" t="s">
        <v>11</v>
      </c>
      <c r="D1604" t="s">
        <v>15</v>
      </c>
      <c r="E1604" t="s">
        <v>24</v>
      </c>
      <c r="F1604">
        <v>2</v>
      </c>
      <c r="G1604">
        <v>58448</v>
      </c>
      <c r="H1604">
        <v>116896</v>
      </c>
      <c r="I1604">
        <f t="shared" si="25"/>
        <v>116896</v>
      </c>
    </row>
    <row r="1605" spans="1:9" x14ac:dyDescent="0.3">
      <c r="A1605">
        <v>11604</v>
      </c>
      <c r="B1605" s="2">
        <v>45105</v>
      </c>
      <c r="C1605" t="s">
        <v>8</v>
      </c>
      <c r="D1605" t="s">
        <v>15</v>
      </c>
      <c r="E1605" t="s">
        <v>20</v>
      </c>
      <c r="F1605">
        <v>6</v>
      </c>
      <c r="G1605">
        <v>29409</v>
      </c>
      <c r="H1605">
        <v>176454</v>
      </c>
      <c r="I1605">
        <f t="shared" si="25"/>
        <v>176454</v>
      </c>
    </row>
    <row r="1606" spans="1:9" x14ac:dyDescent="0.3">
      <c r="A1606">
        <v>11605</v>
      </c>
      <c r="B1606" s="2">
        <v>45163</v>
      </c>
      <c r="C1606" t="s">
        <v>14</v>
      </c>
      <c r="D1606" t="s">
        <v>18</v>
      </c>
      <c r="E1606" t="s">
        <v>24</v>
      </c>
      <c r="F1606">
        <v>10</v>
      </c>
      <c r="G1606">
        <v>33275</v>
      </c>
      <c r="H1606">
        <v>332750</v>
      </c>
      <c r="I1606">
        <f t="shared" si="25"/>
        <v>332750</v>
      </c>
    </row>
    <row r="1607" spans="1:9" x14ac:dyDescent="0.3">
      <c r="A1607">
        <v>11606</v>
      </c>
      <c r="B1607" s="2">
        <v>45059</v>
      </c>
      <c r="C1607" t="s">
        <v>11</v>
      </c>
      <c r="D1607" t="s">
        <v>15</v>
      </c>
      <c r="E1607" t="s">
        <v>21</v>
      </c>
      <c r="F1607">
        <v>3</v>
      </c>
      <c r="G1607">
        <v>32739</v>
      </c>
      <c r="H1607">
        <v>98217</v>
      </c>
      <c r="I1607">
        <f t="shared" si="25"/>
        <v>98217</v>
      </c>
    </row>
    <row r="1608" spans="1:9" x14ac:dyDescent="0.3">
      <c r="A1608">
        <v>11607</v>
      </c>
      <c r="B1608" s="2">
        <v>44973</v>
      </c>
      <c r="C1608" t="s">
        <v>11</v>
      </c>
      <c r="D1608" t="s">
        <v>18</v>
      </c>
      <c r="E1608" t="s">
        <v>19</v>
      </c>
      <c r="F1608">
        <v>12</v>
      </c>
      <c r="G1608">
        <v>16954</v>
      </c>
      <c r="H1608">
        <v>203448</v>
      </c>
      <c r="I1608">
        <f t="shared" si="25"/>
        <v>203448</v>
      </c>
    </row>
    <row r="1609" spans="1:9" x14ac:dyDescent="0.3">
      <c r="A1609">
        <v>11608</v>
      </c>
      <c r="B1609" s="2">
        <v>44958</v>
      </c>
      <c r="C1609" t="s">
        <v>12</v>
      </c>
      <c r="D1609" t="s">
        <v>16</v>
      </c>
      <c r="E1609" t="s">
        <v>22</v>
      </c>
      <c r="F1609">
        <v>3</v>
      </c>
      <c r="G1609">
        <v>21520</v>
      </c>
      <c r="H1609">
        <v>64560</v>
      </c>
      <c r="I1609">
        <f t="shared" si="25"/>
        <v>64560</v>
      </c>
    </row>
    <row r="1610" spans="1:9" x14ac:dyDescent="0.3">
      <c r="A1610">
        <v>11609</v>
      </c>
      <c r="B1610" s="2">
        <v>45244</v>
      </c>
      <c r="C1610" t="s">
        <v>13</v>
      </c>
      <c r="D1610" t="s">
        <v>17</v>
      </c>
      <c r="E1610" t="s">
        <v>24</v>
      </c>
      <c r="F1610">
        <v>19</v>
      </c>
      <c r="G1610">
        <v>21174</v>
      </c>
      <c r="H1610">
        <v>402306</v>
      </c>
      <c r="I1610">
        <f t="shared" si="25"/>
        <v>402306</v>
      </c>
    </row>
    <row r="1611" spans="1:9" x14ac:dyDescent="0.3">
      <c r="A1611">
        <v>11610</v>
      </c>
      <c r="B1611" s="2">
        <v>45154</v>
      </c>
      <c r="C1611" t="s">
        <v>13</v>
      </c>
      <c r="D1611" t="s">
        <v>15</v>
      </c>
      <c r="E1611" t="s">
        <v>22</v>
      </c>
      <c r="F1611">
        <v>15</v>
      </c>
      <c r="G1611">
        <v>11689</v>
      </c>
      <c r="H1611">
        <v>175335</v>
      </c>
      <c r="I1611">
        <f t="shared" si="25"/>
        <v>175335</v>
      </c>
    </row>
    <row r="1612" spans="1:9" x14ac:dyDescent="0.3">
      <c r="A1612">
        <v>11611</v>
      </c>
      <c r="B1612" s="2">
        <v>45066</v>
      </c>
      <c r="C1612" t="s">
        <v>13</v>
      </c>
      <c r="D1612" t="s">
        <v>18</v>
      </c>
      <c r="E1612" t="s">
        <v>20</v>
      </c>
      <c r="F1612">
        <v>7</v>
      </c>
      <c r="G1612">
        <v>16697</v>
      </c>
      <c r="H1612">
        <v>116879</v>
      </c>
      <c r="I1612">
        <f t="shared" si="25"/>
        <v>116879</v>
      </c>
    </row>
    <row r="1613" spans="1:9" x14ac:dyDescent="0.3">
      <c r="A1613">
        <v>11612</v>
      </c>
      <c r="B1613" s="2">
        <v>44957</v>
      </c>
      <c r="C1613" t="s">
        <v>14</v>
      </c>
      <c r="D1613" t="s">
        <v>17</v>
      </c>
      <c r="E1613" t="s">
        <v>19</v>
      </c>
      <c r="F1613">
        <v>16</v>
      </c>
      <c r="G1613">
        <v>44134</v>
      </c>
      <c r="H1613">
        <v>706144</v>
      </c>
      <c r="I1613">
        <f t="shared" si="25"/>
        <v>706144</v>
      </c>
    </row>
    <row r="1614" spans="1:9" x14ac:dyDescent="0.3">
      <c r="A1614">
        <v>11613</v>
      </c>
      <c r="B1614" s="2">
        <v>45028</v>
      </c>
      <c r="C1614" t="s">
        <v>9</v>
      </c>
      <c r="D1614" t="s">
        <v>18</v>
      </c>
      <c r="E1614" t="s">
        <v>20</v>
      </c>
      <c r="F1614">
        <v>7</v>
      </c>
      <c r="G1614">
        <v>45867</v>
      </c>
      <c r="H1614">
        <v>321069</v>
      </c>
      <c r="I1614">
        <f t="shared" si="25"/>
        <v>321069</v>
      </c>
    </row>
    <row r="1615" spans="1:9" x14ac:dyDescent="0.3">
      <c r="A1615">
        <v>11614</v>
      </c>
      <c r="B1615" s="2">
        <v>45186</v>
      </c>
      <c r="C1615" t="s">
        <v>9</v>
      </c>
      <c r="D1615" t="s">
        <v>17</v>
      </c>
      <c r="E1615" t="s">
        <v>21</v>
      </c>
      <c r="F1615">
        <v>20</v>
      </c>
      <c r="G1615">
        <v>8871</v>
      </c>
      <c r="H1615">
        <v>177420</v>
      </c>
      <c r="I1615">
        <f t="shared" si="25"/>
        <v>177420</v>
      </c>
    </row>
    <row r="1616" spans="1:9" x14ac:dyDescent="0.3">
      <c r="A1616">
        <v>11615</v>
      </c>
      <c r="B1616" s="2">
        <v>44928</v>
      </c>
      <c r="C1616" t="s">
        <v>11</v>
      </c>
      <c r="D1616" t="s">
        <v>17</v>
      </c>
      <c r="E1616" t="s">
        <v>19</v>
      </c>
      <c r="F1616">
        <v>5</v>
      </c>
      <c r="G1616">
        <v>36108</v>
      </c>
      <c r="H1616">
        <v>180540</v>
      </c>
      <c r="I1616">
        <f t="shared" si="25"/>
        <v>180540</v>
      </c>
    </row>
    <row r="1617" spans="1:9" x14ac:dyDescent="0.3">
      <c r="A1617">
        <v>11616</v>
      </c>
      <c r="B1617" s="2">
        <v>45173</v>
      </c>
      <c r="C1617" t="s">
        <v>9</v>
      </c>
      <c r="D1617" t="s">
        <v>17</v>
      </c>
      <c r="E1617" t="s">
        <v>24</v>
      </c>
      <c r="F1617">
        <v>14</v>
      </c>
      <c r="G1617">
        <v>39614</v>
      </c>
      <c r="H1617">
        <v>554596</v>
      </c>
      <c r="I1617">
        <f t="shared" si="25"/>
        <v>554596</v>
      </c>
    </row>
    <row r="1618" spans="1:9" x14ac:dyDescent="0.3">
      <c r="A1618">
        <v>11617</v>
      </c>
      <c r="B1618" s="2">
        <v>45085</v>
      </c>
      <c r="C1618" t="s">
        <v>8</v>
      </c>
      <c r="D1618" t="s">
        <v>15</v>
      </c>
      <c r="E1618" t="s">
        <v>22</v>
      </c>
      <c r="F1618">
        <v>1</v>
      </c>
      <c r="G1618">
        <v>16262</v>
      </c>
      <c r="H1618">
        <v>16262</v>
      </c>
      <c r="I1618">
        <f t="shared" si="25"/>
        <v>16262</v>
      </c>
    </row>
    <row r="1619" spans="1:9" x14ac:dyDescent="0.3">
      <c r="A1619">
        <v>11618</v>
      </c>
      <c r="B1619" s="2">
        <v>45072</v>
      </c>
      <c r="C1619" t="s">
        <v>10</v>
      </c>
      <c r="D1619" t="s">
        <v>15</v>
      </c>
      <c r="E1619" t="s">
        <v>19</v>
      </c>
      <c r="F1619">
        <v>7</v>
      </c>
      <c r="G1619">
        <v>2412</v>
      </c>
      <c r="H1619">
        <v>16884</v>
      </c>
      <c r="I1619">
        <f t="shared" si="25"/>
        <v>16884</v>
      </c>
    </row>
    <row r="1620" spans="1:9" x14ac:dyDescent="0.3">
      <c r="A1620">
        <v>11619</v>
      </c>
      <c r="B1620" s="2">
        <v>45179</v>
      </c>
      <c r="C1620" t="s">
        <v>12</v>
      </c>
      <c r="D1620" t="s">
        <v>16</v>
      </c>
      <c r="E1620" t="s">
        <v>24</v>
      </c>
      <c r="F1620">
        <v>13</v>
      </c>
      <c r="G1620">
        <v>50427</v>
      </c>
      <c r="H1620">
        <v>655551</v>
      </c>
      <c r="I1620">
        <f t="shared" si="25"/>
        <v>655551</v>
      </c>
    </row>
    <row r="1621" spans="1:9" x14ac:dyDescent="0.3">
      <c r="A1621">
        <v>11620</v>
      </c>
      <c r="B1621" s="2">
        <v>44943</v>
      </c>
      <c r="C1621" t="s">
        <v>13</v>
      </c>
      <c r="D1621" t="s">
        <v>18</v>
      </c>
      <c r="E1621" t="s">
        <v>19</v>
      </c>
      <c r="F1621">
        <v>15</v>
      </c>
      <c r="G1621">
        <v>53634</v>
      </c>
      <c r="H1621">
        <v>804510</v>
      </c>
      <c r="I1621">
        <f t="shared" si="25"/>
        <v>804510</v>
      </c>
    </row>
    <row r="1622" spans="1:9" x14ac:dyDescent="0.3">
      <c r="A1622">
        <v>11621</v>
      </c>
      <c r="B1622" s="2">
        <v>44986</v>
      </c>
      <c r="C1622" t="s">
        <v>8</v>
      </c>
      <c r="D1622" t="s">
        <v>15</v>
      </c>
      <c r="E1622" t="s">
        <v>21</v>
      </c>
      <c r="F1622">
        <v>6</v>
      </c>
      <c r="G1622">
        <v>53190</v>
      </c>
      <c r="H1622">
        <v>319140</v>
      </c>
      <c r="I1622">
        <f t="shared" si="25"/>
        <v>319140</v>
      </c>
    </row>
    <row r="1623" spans="1:9" x14ac:dyDescent="0.3">
      <c r="A1623">
        <v>11622</v>
      </c>
      <c r="B1623" s="2">
        <v>45024</v>
      </c>
      <c r="C1623" t="s">
        <v>9</v>
      </c>
      <c r="D1623" t="s">
        <v>17</v>
      </c>
      <c r="E1623" t="s">
        <v>24</v>
      </c>
      <c r="F1623">
        <v>18</v>
      </c>
      <c r="G1623">
        <v>46723</v>
      </c>
      <c r="H1623">
        <v>841014</v>
      </c>
      <c r="I1623">
        <f t="shared" si="25"/>
        <v>841014</v>
      </c>
    </row>
    <row r="1624" spans="1:9" x14ac:dyDescent="0.3">
      <c r="A1624">
        <v>11623</v>
      </c>
      <c r="B1624" s="2">
        <v>45279</v>
      </c>
      <c r="C1624" t="s">
        <v>14</v>
      </c>
      <c r="D1624" t="s">
        <v>16</v>
      </c>
      <c r="E1624" t="s">
        <v>23</v>
      </c>
      <c r="F1624">
        <v>4</v>
      </c>
      <c r="G1624">
        <v>18015</v>
      </c>
      <c r="H1624">
        <v>72060</v>
      </c>
      <c r="I1624">
        <f t="shared" si="25"/>
        <v>72060</v>
      </c>
    </row>
    <row r="1625" spans="1:9" x14ac:dyDescent="0.3">
      <c r="A1625">
        <v>11624</v>
      </c>
      <c r="B1625" s="2">
        <v>45101</v>
      </c>
      <c r="C1625" t="s">
        <v>10</v>
      </c>
      <c r="D1625" t="s">
        <v>18</v>
      </c>
      <c r="E1625" t="s">
        <v>20</v>
      </c>
      <c r="F1625">
        <v>8</v>
      </c>
      <c r="G1625">
        <v>49995</v>
      </c>
      <c r="H1625">
        <v>399960</v>
      </c>
      <c r="I1625">
        <f t="shared" si="25"/>
        <v>399960</v>
      </c>
    </row>
    <row r="1626" spans="1:9" x14ac:dyDescent="0.3">
      <c r="A1626">
        <v>11625</v>
      </c>
      <c r="B1626" s="2">
        <v>45088</v>
      </c>
      <c r="C1626" t="s">
        <v>10</v>
      </c>
      <c r="D1626" t="s">
        <v>18</v>
      </c>
      <c r="E1626" t="s">
        <v>24</v>
      </c>
      <c r="F1626">
        <v>19</v>
      </c>
      <c r="G1626">
        <v>2181</v>
      </c>
      <c r="H1626">
        <v>41439</v>
      </c>
      <c r="I1626">
        <f t="shared" si="25"/>
        <v>41439</v>
      </c>
    </row>
    <row r="1627" spans="1:9" x14ac:dyDescent="0.3">
      <c r="A1627">
        <v>11626</v>
      </c>
      <c r="B1627" s="2">
        <v>45084</v>
      </c>
      <c r="C1627" t="s">
        <v>8</v>
      </c>
      <c r="D1627" t="s">
        <v>15</v>
      </c>
      <c r="E1627" t="s">
        <v>23</v>
      </c>
      <c r="F1627">
        <v>19</v>
      </c>
      <c r="G1627">
        <v>6829</v>
      </c>
      <c r="H1627">
        <v>129751</v>
      </c>
      <c r="I1627">
        <f t="shared" si="25"/>
        <v>129751</v>
      </c>
    </row>
    <row r="1628" spans="1:9" x14ac:dyDescent="0.3">
      <c r="A1628">
        <v>11627</v>
      </c>
      <c r="B1628" s="2">
        <v>45264</v>
      </c>
      <c r="C1628" t="s">
        <v>12</v>
      </c>
      <c r="D1628" t="s">
        <v>18</v>
      </c>
      <c r="E1628" t="s">
        <v>22</v>
      </c>
      <c r="F1628">
        <v>9</v>
      </c>
      <c r="G1628">
        <v>50611</v>
      </c>
      <c r="H1628">
        <v>455499</v>
      </c>
      <c r="I1628">
        <f t="shared" si="25"/>
        <v>455499</v>
      </c>
    </row>
    <row r="1629" spans="1:9" x14ac:dyDescent="0.3">
      <c r="A1629">
        <v>11628</v>
      </c>
      <c r="B1629" s="2">
        <v>45283</v>
      </c>
      <c r="C1629" t="s">
        <v>9</v>
      </c>
      <c r="D1629" t="s">
        <v>16</v>
      </c>
      <c r="E1629" t="s">
        <v>24</v>
      </c>
      <c r="F1629">
        <v>2</v>
      </c>
      <c r="G1629">
        <v>7881</v>
      </c>
      <c r="H1629">
        <v>15762</v>
      </c>
      <c r="I1629">
        <f t="shared" si="25"/>
        <v>15762</v>
      </c>
    </row>
    <row r="1630" spans="1:9" x14ac:dyDescent="0.3">
      <c r="A1630">
        <v>11629</v>
      </c>
      <c r="B1630" s="2">
        <v>45289</v>
      </c>
      <c r="C1630" t="s">
        <v>11</v>
      </c>
      <c r="D1630" t="s">
        <v>15</v>
      </c>
      <c r="E1630" t="s">
        <v>24</v>
      </c>
      <c r="F1630">
        <v>12</v>
      </c>
      <c r="G1630">
        <v>38951</v>
      </c>
      <c r="H1630">
        <v>467412</v>
      </c>
      <c r="I1630">
        <f t="shared" si="25"/>
        <v>467412</v>
      </c>
    </row>
    <row r="1631" spans="1:9" x14ac:dyDescent="0.3">
      <c r="A1631">
        <v>11630</v>
      </c>
      <c r="B1631" s="2">
        <v>45062</v>
      </c>
      <c r="C1631" t="s">
        <v>12</v>
      </c>
      <c r="D1631" t="s">
        <v>15</v>
      </c>
      <c r="E1631" t="s">
        <v>24</v>
      </c>
      <c r="F1631">
        <v>11</v>
      </c>
      <c r="G1631">
        <v>48332</v>
      </c>
      <c r="H1631">
        <v>531652</v>
      </c>
      <c r="I1631">
        <f t="shared" si="25"/>
        <v>531652</v>
      </c>
    </row>
    <row r="1632" spans="1:9" x14ac:dyDescent="0.3">
      <c r="A1632">
        <v>11631</v>
      </c>
      <c r="B1632" s="2">
        <v>45260</v>
      </c>
      <c r="C1632" t="s">
        <v>8</v>
      </c>
      <c r="D1632" t="s">
        <v>18</v>
      </c>
      <c r="E1632" t="s">
        <v>22</v>
      </c>
      <c r="F1632">
        <v>9</v>
      </c>
      <c r="G1632">
        <v>40237</v>
      </c>
      <c r="H1632">
        <v>362133</v>
      </c>
      <c r="I1632">
        <f t="shared" si="25"/>
        <v>362133</v>
      </c>
    </row>
    <row r="1633" spans="1:9" x14ac:dyDescent="0.3">
      <c r="A1633">
        <v>11632</v>
      </c>
      <c r="B1633" s="2">
        <v>45247</v>
      </c>
      <c r="C1633" t="s">
        <v>13</v>
      </c>
      <c r="D1633" t="s">
        <v>18</v>
      </c>
      <c r="E1633" t="s">
        <v>22</v>
      </c>
      <c r="F1633">
        <v>2</v>
      </c>
      <c r="G1633">
        <v>15218</v>
      </c>
      <c r="H1633">
        <v>30436</v>
      </c>
      <c r="I1633">
        <f t="shared" si="25"/>
        <v>30436</v>
      </c>
    </row>
    <row r="1634" spans="1:9" x14ac:dyDescent="0.3">
      <c r="A1634">
        <v>11633</v>
      </c>
      <c r="B1634" s="2">
        <v>45262</v>
      </c>
      <c r="C1634" t="s">
        <v>11</v>
      </c>
      <c r="D1634" t="s">
        <v>16</v>
      </c>
      <c r="E1634" t="s">
        <v>20</v>
      </c>
      <c r="F1634">
        <v>9</v>
      </c>
      <c r="G1634">
        <v>15725</v>
      </c>
      <c r="H1634">
        <v>141525</v>
      </c>
      <c r="I1634">
        <f t="shared" si="25"/>
        <v>141525</v>
      </c>
    </row>
    <row r="1635" spans="1:9" x14ac:dyDescent="0.3">
      <c r="A1635">
        <v>11634</v>
      </c>
      <c r="B1635" s="2">
        <v>45155</v>
      </c>
      <c r="C1635" t="s">
        <v>12</v>
      </c>
      <c r="D1635" t="s">
        <v>18</v>
      </c>
      <c r="E1635" t="s">
        <v>24</v>
      </c>
      <c r="F1635">
        <v>12</v>
      </c>
      <c r="G1635">
        <v>46609</v>
      </c>
      <c r="H1635">
        <v>559308</v>
      </c>
      <c r="I1635">
        <f t="shared" si="25"/>
        <v>559308</v>
      </c>
    </row>
    <row r="1636" spans="1:9" x14ac:dyDescent="0.3">
      <c r="A1636">
        <v>11635</v>
      </c>
      <c r="B1636" s="2">
        <v>45127</v>
      </c>
      <c r="C1636" t="s">
        <v>12</v>
      </c>
      <c r="D1636" t="s">
        <v>17</v>
      </c>
      <c r="E1636" t="s">
        <v>23</v>
      </c>
      <c r="F1636">
        <v>7</v>
      </c>
      <c r="G1636">
        <v>2343</v>
      </c>
      <c r="H1636">
        <v>16401</v>
      </c>
      <c r="I1636">
        <f t="shared" si="25"/>
        <v>16401</v>
      </c>
    </row>
    <row r="1637" spans="1:9" x14ac:dyDescent="0.3">
      <c r="A1637">
        <v>11636</v>
      </c>
      <c r="B1637" s="2">
        <v>45130</v>
      </c>
      <c r="C1637" t="s">
        <v>13</v>
      </c>
      <c r="D1637" t="s">
        <v>16</v>
      </c>
      <c r="E1637" t="s">
        <v>19</v>
      </c>
      <c r="F1637">
        <v>7</v>
      </c>
      <c r="G1637">
        <v>17739</v>
      </c>
      <c r="H1637">
        <v>124173</v>
      </c>
      <c r="I1637">
        <f t="shared" si="25"/>
        <v>124173</v>
      </c>
    </row>
    <row r="1638" spans="1:9" x14ac:dyDescent="0.3">
      <c r="A1638">
        <v>11637</v>
      </c>
      <c r="B1638" s="2">
        <v>45251</v>
      </c>
      <c r="C1638" t="s">
        <v>9</v>
      </c>
      <c r="D1638" t="s">
        <v>15</v>
      </c>
      <c r="E1638" t="s">
        <v>20</v>
      </c>
      <c r="F1638">
        <v>12</v>
      </c>
      <c r="G1638">
        <v>13602</v>
      </c>
      <c r="H1638">
        <v>163224</v>
      </c>
      <c r="I1638">
        <f t="shared" si="25"/>
        <v>163224</v>
      </c>
    </row>
    <row r="1639" spans="1:9" x14ac:dyDescent="0.3">
      <c r="A1639">
        <v>11638</v>
      </c>
      <c r="B1639" s="2">
        <v>44971</v>
      </c>
      <c r="C1639" t="s">
        <v>13</v>
      </c>
      <c r="D1639" t="s">
        <v>16</v>
      </c>
      <c r="E1639" t="s">
        <v>21</v>
      </c>
      <c r="F1639">
        <v>15</v>
      </c>
      <c r="G1639">
        <v>13821</v>
      </c>
      <c r="H1639">
        <v>207315</v>
      </c>
      <c r="I1639">
        <f t="shared" si="25"/>
        <v>207315</v>
      </c>
    </row>
    <row r="1640" spans="1:9" x14ac:dyDescent="0.3">
      <c r="A1640">
        <v>11639</v>
      </c>
      <c r="B1640" s="2">
        <v>45159</v>
      </c>
      <c r="C1640" t="s">
        <v>8</v>
      </c>
      <c r="D1640" t="s">
        <v>18</v>
      </c>
      <c r="E1640" t="s">
        <v>24</v>
      </c>
      <c r="F1640">
        <v>19</v>
      </c>
      <c r="G1640">
        <v>56485</v>
      </c>
      <c r="H1640">
        <v>1073215</v>
      </c>
      <c r="I1640">
        <f t="shared" si="25"/>
        <v>1073215</v>
      </c>
    </row>
    <row r="1641" spans="1:9" x14ac:dyDescent="0.3">
      <c r="A1641">
        <v>11640</v>
      </c>
      <c r="B1641" s="2">
        <v>45283</v>
      </c>
      <c r="C1641" t="s">
        <v>11</v>
      </c>
      <c r="D1641" t="s">
        <v>15</v>
      </c>
      <c r="E1641" t="s">
        <v>23</v>
      </c>
      <c r="F1641">
        <v>14</v>
      </c>
      <c r="G1641">
        <v>46117</v>
      </c>
      <c r="H1641">
        <v>645638</v>
      </c>
      <c r="I1641">
        <f t="shared" si="25"/>
        <v>645638</v>
      </c>
    </row>
    <row r="1642" spans="1:9" x14ac:dyDescent="0.3">
      <c r="A1642">
        <v>11641</v>
      </c>
      <c r="B1642" s="2">
        <v>45112</v>
      </c>
      <c r="C1642" t="s">
        <v>9</v>
      </c>
      <c r="D1642" t="s">
        <v>17</v>
      </c>
      <c r="E1642" t="s">
        <v>24</v>
      </c>
      <c r="F1642">
        <v>7</v>
      </c>
      <c r="G1642">
        <v>45133</v>
      </c>
      <c r="H1642">
        <v>315931</v>
      </c>
      <c r="I1642">
        <f t="shared" si="25"/>
        <v>315931</v>
      </c>
    </row>
    <row r="1643" spans="1:9" x14ac:dyDescent="0.3">
      <c r="A1643">
        <v>11642</v>
      </c>
      <c r="B1643" s="2">
        <v>45063</v>
      </c>
      <c r="C1643" t="s">
        <v>8</v>
      </c>
      <c r="D1643" t="s">
        <v>18</v>
      </c>
      <c r="E1643" t="s">
        <v>20</v>
      </c>
      <c r="F1643">
        <v>10</v>
      </c>
      <c r="G1643">
        <v>29502</v>
      </c>
      <c r="H1643">
        <v>295020</v>
      </c>
      <c r="I1643">
        <f t="shared" si="25"/>
        <v>295020</v>
      </c>
    </row>
    <row r="1644" spans="1:9" x14ac:dyDescent="0.3">
      <c r="A1644">
        <v>11643</v>
      </c>
      <c r="B1644" s="2">
        <v>45279</v>
      </c>
      <c r="C1644" t="s">
        <v>13</v>
      </c>
      <c r="D1644" t="s">
        <v>16</v>
      </c>
      <c r="E1644" t="s">
        <v>19</v>
      </c>
      <c r="F1644">
        <v>9</v>
      </c>
      <c r="G1644">
        <v>25336</v>
      </c>
      <c r="H1644">
        <v>228024</v>
      </c>
      <c r="I1644">
        <f t="shared" si="25"/>
        <v>228024</v>
      </c>
    </row>
    <row r="1645" spans="1:9" x14ac:dyDescent="0.3">
      <c r="A1645">
        <v>11644</v>
      </c>
      <c r="B1645" s="2">
        <v>45170</v>
      </c>
      <c r="C1645" t="s">
        <v>13</v>
      </c>
      <c r="D1645" t="s">
        <v>17</v>
      </c>
      <c r="E1645" t="s">
        <v>23</v>
      </c>
      <c r="F1645">
        <v>12</v>
      </c>
      <c r="G1645">
        <v>50740</v>
      </c>
      <c r="H1645">
        <v>608880</v>
      </c>
      <c r="I1645">
        <f t="shared" si="25"/>
        <v>608880</v>
      </c>
    </row>
    <row r="1646" spans="1:9" x14ac:dyDescent="0.3">
      <c r="A1646">
        <v>11645</v>
      </c>
      <c r="B1646" s="2">
        <v>45073</v>
      </c>
      <c r="C1646" t="s">
        <v>13</v>
      </c>
      <c r="D1646" t="s">
        <v>16</v>
      </c>
      <c r="E1646" t="s">
        <v>23</v>
      </c>
      <c r="F1646">
        <v>12</v>
      </c>
      <c r="G1646">
        <v>29730</v>
      </c>
      <c r="H1646">
        <v>356760</v>
      </c>
      <c r="I1646">
        <f t="shared" si="25"/>
        <v>356760</v>
      </c>
    </row>
    <row r="1647" spans="1:9" x14ac:dyDescent="0.3">
      <c r="A1647">
        <v>11646</v>
      </c>
      <c r="B1647" s="2">
        <v>45215</v>
      </c>
      <c r="C1647" t="s">
        <v>8</v>
      </c>
      <c r="D1647" t="s">
        <v>17</v>
      </c>
      <c r="E1647" t="s">
        <v>24</v>
      </c>
      <c r="F1647">
        <v>4</v>
      </c>
      <c r="G1647">
        <v>53660</v>
      </c>
      <c r="H1647">
        <v>214640</v>
      </c>
      <c r="I1647">
        <f t="shared" si="25"/>
        <v>214640</v>
      </c>
    </row>
    <row r="1648" spans="1:9" x14ac:dyDescent="0.3">
      <c r="A1648">
        <v>11647</v>
      </c>
      <c r="B1648" s="2">
        <v>45284</v>
      </c>
      <c r="C1648" t="s">
        <v>11</v>
      </c>
      <c r="D1648" t="s">
        <v>17</v>
      </c>
      <c r="E1648" t="s">
        <v>24</v>
      </c>
      <c r="F1648">
        <v>2</v>
      </c>
      <c r="G1648">
        <v>16161</v>
      </c>
      <c r="H1648">
        <v>32322</v>
      </c>
      <c r="I1648">
        <f t="shared" si="25"/>
        <v>32322</v>
      </c>
    </row>
    <row r="1649" spans="1:9" x14ac:dyDescent="0.3">
      <c r="A1649">
        <v>11648</v>
      </c>
      <c r="B1649" s="2">
        <v>44982</v>
      </c>
      <c r="C1649" t="s">
        <v>8</v>
      </c>
      <c r="D1649" t="s">
        <v>17</v>
      </c>
      <c r="E1649" t="s">
        <v>24</v>
      </c>
      <c r="F1649">
        <v>14</v>
      </c>
      <c r="G1649">
        <v>49488</v>
      </c>
      <c r="H1649">
        <v>692832</v>
      </c>
      <c r="I1649">
        <f t="shared" si="25"/>
        <v>692832</v>
      </c>
    </row>
    <row r="1650" spans="1:9" x14ac:dyDescent="0.3">
      <c r="A1650">
        <v>11649</v>
      </c>
      <c r="B1650" s="2">
        <v>45201</v>
      </c>
      <c r="C1650" t="s">
        <v>12</v>
      </c>
      <c r="D1650" t="s">
        <v>15</v>
      </c>
      <c r="E1650" t="s">
        <v>22</v>
      </c>
      <c r="F1650">
        <v>20</v>
      </c>
      <c r="G1650">
        <v>27864</v>
      </c>
      <c r="H1650">
        <v>557280</v>
      </c>
      <c r="I1650">
        <f t="shared" si="25"/>
        <v>557280</v>
      </c>
    </row>
    <row r="1651" spans="1:9" x14ac:dyDescent="0.3">
      <c r="A1651">
        <v>11650</v>
      </c>
      <c r="B1651" s="2">
        <v>44929</v>
      </c>
      <c r="C1651" t="s">
        <v>10</v>
      </c>
      <c r="D1651" t="s">
        <v>16</v>
      </c>
      <c r="E1651" t="s">
        <v>23</v>
      </c>
      <c r="F1651">
        <v>2</v>
      </c>
      <c r="G1651">
        <v>28378</v>
      </c>
      <c r="H1651">
        <v>56756</v>
      </c>
      <c r="I1651">
        <f t="shared" si="25"/>
        <v>56756</v>
      </c>
    </row>
    <row r="1652" spans="1:9" x14ac:dyDescent="0.3">
      <c r="A1652">
        <v>11651</v>
      </c>
      <c r="B1652" s="2">
        <v>45236</v>
      </c>
      <c r="C1652" t="s">
        <v>12</v>
      </c>
      <c r="D1652" t="s">
        <v>16</v>
      </c>
      <c r="E1652" t="s">
        <v>19</v>
      </c>
      <c r="F1652">
        <v>11</v>
      </c>
      <c r="G1652">
        <v>43465</v>
      </c>
      <c r="H1652">
        <v>478115</v>
      </c>
      <c r="I1652">
        <f t="shared" si="25"/>
        <v>478115</v>
      </c>
    </row>
    <row r="1653" spans="1:9" x14ac:dyDescent="0.3">
      <c r="A1653">
        <v>11652</v>
      </c>
      <c r="B1653" s="2">
        <v>45174</v>
      </c>
      <c r="C1653" t="s">
        <v>8</v>
      </c>
      <c r="D1653" t="s">
        <v>15</v>
      </c>
      <c r="E1653" t="s">
        <v>19</v>
      </c>
      <c r="F1653">
        <v>12</v>
      </c>
      <c r="G1653">
        <v>39470</v>
      </c>
      <c r="H1653">
        <v>473640</v>
      </c>
      <c r="I1653">
        <f t="shared" si="25"/>
        <v>473640</v>
      </c>
    </row>
    <row r="1654" spans="1:9" x14ac:dyDescent="0.3">
      <c r="A1654">
        <v>11653</v>
      </c>
      <c r="B1654" s="2">
        <v>45123</v>
      </c>
      <c r="C1654" t="s">
        <v>14</v>
      </c>
      <c r="D1654" t="s">
        <v>15</v>
      </c>
      <c r="E1654" t="s">
        <v>20</v>
      </c>
      <c r="F1654">
        <v>7</v>
      </c>
      <c r="G1654">
        <v>11855</v>
      </c>
      <c r="H1654">
        <v>82985</v>
      </c>
      <c r="I1654">
        <f t="shared" si="25"/>
        <v>82985</v>
      </c>
    </row>
    <row r="1655" spans="1:9" x14ac:dyDescent="0.3">
      <c r="A1655">
        <v>11654</v>
      </c>
      <c r="B1655" s="2">
        <v>45156</v>
      </c>
      <c r="C1655" t="s">
        <v>11</v>
      </c>
      <c r="D1655" t="s">
        <v>15</v>
      </c>
      <c r="E1655" t="s">
        <v>23</v>
      </c>
      <c r="F1655">
        <v>6</v>
      </c>
      <c r="G1655">
        <v>12917</v>
      </c>
      <c r="H1655">
        <v>77502</v>
      </c>
      <c r="I1655">
        <f t="shared" si="25"/>
        <v>77502</v>
      </c>
    </row>
    <row r="1656" spans="1:9" x14ac:dyDescent="0.3">
      <c r="A1656">
        <v>11655</v>
      </c>
      <c r="B1656" s="2">
        <v>45080</v>
      </c>
      <c r="C1656" t="s">
        <v>10</v>
      </c>
      <c r="D1656" t="s">
        <v>15</v>
      </c>
      <c r="E1656" t="s">
        <v>20</v>
      </c>
      <c r="F1656">
        <v>5</v>
      </c>
      <c r="G1656">
        <v>9128</v>
      </c>
      <c r="H1656">
        <v>45640</v>
      </c>
      <c r="I1656">
        <f t="shared" si="25"/>
        <v>45640</v>
      </c>
    </row>
    <row r="1657" spans="1:9" x14ac:dyDescent="0.3">
      <c r="A1657">
        <v>11656</v>
      </c>
      <c r="B1657" s="2">
        <v>45240</v>
      </c>
      <c r="C1657" t="s">
        <v>8</v>
      </c>
      <c r="D1657" t="s">
        <v>17</v>
      </c>
      <c r="E1657" t="s">
        <v>23</v>
      </c>
      <c r="F1657">
        <v>15</v>
      </c>
      <c r="G1657">
        <v>30371</v>
      </c>
      <c r="H1657">
        <v>455565</v>
      </c>
      <c r="I1657">
        <f t="shared" si="25"/>
        <v>455565</v>
      </c>
    </row>
    <row r="1658" spans="1:9" x14ac:dyDescent="0.3">
      <c r="A1658">
        <v>11657</v>
      </c>
      <c r="B1658" s="2">
        <v>45023</v>
      </c>
      <c r="C1658" t="s">
        <v>11</v>
      </c>
      <c r="D1658" t="s">
        <v>17</v>
      </c>
      <c r="E1658" t="s">
        <v>24</v>
      </c>
      <c r="F1658">
        <v>11</v>
      </c>
      <c r="G1658">
        <v>14393</v>
      </c>
      <c r="H1658">
        <v>158323</v>
      </c>
      <c r="I1658">
        <f t="shared" si="25"/>
        <v>158323</v>
      </c>
    </row>
    <row r="1659" spans="1:9" x14ac:dyDescent="0.3">
      <c r="A1659">
        <v>11658</v>
      </c>
      <c r="B1659" s="2">
        <v>45060</v>
      </c>
      <c r="C1659" t="s">
        <v>10</v>
      </c>
      <c r="D1659" t="s">
        <v>18</v>
      </c>
      <c r="E1659" t="s">
        <v>23</v>
      </c>
      <c r="F1659">
        <v>20</v>
      </c>
      <c r="G1659">
        <v>48573</v>
      </c>
      <c r="H1659">
        <v>971460</v>
      </c>
      <c r="I1659">
        <f t="shared" si="25"/>
        <v>971460</v>
      </c>
    </row>
    <row r="1660" spans="1:9" x14ac:dyDescent="0.3">
      <c r="A1660">
        <v>11659</v>
      </c>
      <c r="B1660" s="2">
        <v>45069</v>
      </c>
      <c r="C1660" t="s">
        <v>14</v>
      </c>
      <c r="D1660" t="s">
        <v>15</v>
      </c>
      <c r="E1660" t="s">
        <v>23</v>
      </c>
      <c r="F1660">
        <v>16</v>
      </c>
      <c r="G1660">
        <v>14595</v>
      </c>
      <c r="H1660">
        <v>233520</v>
      </c>
      <c r="I1660">
        <f t="shared" si="25"/>
        <v>233520</v>
      </c>
    </row>
    <row r="1661" spans="1:9" x14ac:dyDescent="0.3">
      <c r="A1661">
        <v>11660</v>
      </c>
      <c r="B1661" s="2">
        <v>45009</v>
      </c>
      <c r="C1661" t="s">
        <v>9</v>
      </c>
      <c r="D1661" t="s">
        <v>17</v>
      </c>
      <c r="E1661" t="s">
        <v>23</v>
      </c>
      <c r="F1661">
        <v>19</v>
      </c>
      <c r="G1661">
        <v>15792</v>
      </c>
      <c r="H1661">
        <v>300048</v>
      </c>
      <c r="I1661">
        <f t="shared" si="25"/>
        <v>300048</v>
      </c>
    </row>
    <row r="1662" spans="1:9" x14ac:dyDescent="0.3">
      <c r="A1662">
        <v>11661</v>
      </c>
      <c r="B1662" s="2">
        <v>45013</v>
      </c>
      <c r="C1662" t="s">
        <v>12</v>
      </c>
      <c r="D1662" t="s">
        <v>17</v>
      </c>
      <c r="E1662" t="s">
        <v>23</v>
      </c>
      <c r="F1662">
        <v>1</v>
      </c>
      <c r="G1662">
        <v>15018</v>
      </c>
      <c r="H1662">
        <v>15018</v>
      </c>
      <c r="I1662">
        <f t="shared" si="25"/>
        <v>15018</v>
      </c>
    </row>
    <row r="1663" spans="1:9" x14ac:dyDescent="0.3">
      <c r="A1663">
        <v>11662</v>
      </c>
      <c r="B1663" s="2">
        <v>45017</v>
      </c>
      <c r="C1663" t="s">
        <v>12</v>
      </c>
      <c r="D1663" t="s">
        <v>15</v>
      </c>
      <c r="E1663" t="s">
        <v>23</v>
      </c>
      <c r="F1663">
        <v>6</v>
      </c>
      <c r="G1663">
        <v>55518</v>
      </c>
      <c r="H1663">
        <v>333108</v>
      </c>
      <c r="I1663">
        <f t="shared" si="25"/>
        <v>333108</v>
      </c>
    </row>
    <row r="1664" spans="1:9" x14ac:dyDescent="0.3">
      <c r="A1664">
        <v>11663</v>
      </c>
      <c r="B1664" s="2">
        <v>45276</v>
      </c>
      <c r="C1664" t="s">
        <v>13</v>
      </c>
      <c r="D1664" t="s">
        <v>17</v>
      </c>
      <c r="E1664" t="s">
        <v>19</v>
      </c>
      <c r="F1664">
        <v>10</v>
      </c>
      <c r="G1664">
        <v>32637</v>
      </c>
      <c r="H1664">
        <v>326370</v>
      </c>
      <c r="I1664">
        <f t="shared" si="25"/>
        <v>326370</v>
      </c>
    </row>
    <row r="1665" spans="1:9" x14ac:dyDescent="0.3">
      <c r="A1665">
        <v>11664</v>
      </c>
      <c r="B1665" s="2">
        <v>45075</v>
      </c>
      <c r="C1665" t="s">
        <v>8</v>
      </c>
      <c r="D1665" t="s">
        <v>18</v>
      </c>
      <c r="E1665" t="s">
        <v>20</v>
      </c>
      <c r="F1665">
        <v>13</v>
      </c>
      <c r="G1665">
        <v>55216</v>
      </c>
      <c r="H1665">
        <v>717808</v>
      </c>
      <c r="I1665">
        <f t="shared" si="25"/>
        <v>717808</v>
      </c>
    </row>
    <row r="1666" spans="1:9" x14ac:dyDescent="0.3">
      <c r="A1666">
        <v>11665</v>
      </c>
      <c r="B1666" s="2">
        <v>45101</v>
      </c>
      <c r="C1666" t="s">
        <v>9</v>
      </c>
      <c r="D1666" t="s">
        <v>18</v>
      </c>
      <c r="E1666" t="s">
        <v>19</v>
      </c>
      <c r="F1666">
        <v>11</v>
      </c>
      <c r="G1666">
        <v>25421</v>
      </c>
      <c r="H1666">
        <v>279631</v>
      </c>
      <c r="I1666">
        <f t="shared" si="25"/>
        <v>279631</v>
      </c>
    </row>
    <row r="1667" spans="1:9" x14ac:dyDescent="0.3">
      <c r="A1667">
        <v>11666</v>
      </c>
      <c r="B1667" s="2">
        <v>45159</v>
      </c>
      <c r="C1667" t="s">
        <v>8</v>
      </c>
      <c r="D1667" t="s">
        <v>15</v>
      </c>
      <c r="E1667" t="s">
        <v>21</v>
      </c>
      <c r="F1667">
        <v>13</v>
      </c>
      <c r="G1667">
        <v>8539</v>
      </c>
      <c r="H1667">
        <v>111007</v>
      </c>
      <c r="I1667">
        <f t="shared" ref="I1667:I1730" si="26">G1667*F1667</f>
        <v>111007</v>
      </c>
    </row>
    <row r="1668" spans="1:9" x14ac:dyDescent="0.3">
      <c r="A1668">
        <v>11667</v>
      </c>
      <c r="B1668" s="2">
        <v>45068</v>
      </c>
      <c r="C1668" t="s">
        <v>9</v>
      </c>
      <c r="D1668" t="s">
        <v>15</v>
      </c>
      <c r="E1668" t="s">
        <v>21</v>
      </c>
      <c r="F1668">
        <v>10</v>
      </c>
      <c r="G1668">
        <v>25091</v>
      </c>
      <c r="H1668">
        <v>250910</v>
      </c>
      <c r="I1668">
        <f t="shared" si="26"/>
        <v>250910</v>
      </c>
    </row>
    <row r="1669" spans="1:9" x14ac:dyDescent="0.3">
      <c r="A1669">
        <v>11668</v>
      </c>
      <c r="B1669" s="2">
        <v>45260</v>
      </c>
      <c r="C1669" t="s">
        <v>12</v>
      </c>
      <c r="D1669" t="s">
        <v>15</v>
      </c>
      <c r="E1669" t="s">
        <v>20</v>
      </c>
      <c r="F1669">
        <v>2</v>
      </c>
      <c r="G1669">
        <v>39222</v>
      </c>
      <c r="H1669">
        <v>78444</v>
      </c>
      <c r="I1669">
        <f t="shared" si="26"/>
        <v>78444</v>
      </c>
    </row>
    <row r="1670" spans="1:9" x14ac:dyDescent="0.3">
      <c r="A1670">
        <v>11669</v>
      </c>
      <c r="B1670" s="2">
        <v>44975</v>
      </c>
      <c r="C1670" t="s">
        <v>9</v>
      </c>
      <c r="D1670" t="s">
        <v>15</v>
      </c>
      <c r="E1670" t="s">
        <v>23</v>
      </c>
      <c r="F1670">
        <v>7</v>
      </c>
      <c r="G1670">
        <v>43302</v>
      </c>
      <c r="H1670">
        <v>303114</v>
      </c>
      <c r="I1670">
        <f t="shared" si="26"/>
        <v>303114</v>
      </c>
    </row>
    <row r="1671" spans="1:9" x14ac:dyDescent="0.3">
      <c r="A1671">
        <v>11670</v>
      </c>
      <c r="B1671" s="2">
        <v>45272</v>
      </c>
      <c r="C1671" t="s">
        <v>12</v>
      </c>
      <c r="D1671" t="s">
        <v>17</v>
      </c>
      <c r="E1671" t="s">
        <v>23</v>
      </c>
      <c r="F1671">
        <v>5</v>
      </c>
      <c r="G1671">
        <v>48800</v>
      </c>
      <c r="H1671">
        <v>244000</v>
      </c>
      <c r="I1671">
        <f t="shared" si="26"/>
        <v>244000</v>
      </c>
    </row>
    <row r="1672" spans="1:9" x14ac:dyDescent="0.3">
      <c r="A1672">
        <v>11671</v>
      </c>
      <c r="B1672" s="2">
        <v>45160</v>
      </c>
      <c r="C1672" t="s">
        <v>10</v>
      </c>
      <c r="D1672" t="s">
        <v>16</v>
      </c>
      <c r="E1672" t="s">
        <v>23</v>
      </c>
      <c r="F1672">
        <v>1</v>
      </c>
      <c r="G1672">
        <v>50462</v>
      </c>
      <c r="H1672">
        <v>50462</v>
      </c>
      <c r="I1672">
        <f t="shared" si="26"/>
        <v>50462</v>
      </c>
    </row>
    <row r="1673" spans="1:9" x14ac:dyDescent="0.3">
      <c r="A1673">
        <v>11672</v>
      </c>
      <c r="B1673" s="2">
        <v>45226</v>
      </c>
      <c r="C1673" t="s">
        <v>14</v>
      </c>
      <c r="D1673" t="s">
        <v>18</v>
      </c>
      <c r="E1673" t="s">
        <v>21</v>
      </c>
      <c r="F1673">
        <v>12</v>
      </c>
      <c r="G1673">
        <v>54186</v>
      </c>
      <c r="H1673">
        <v>650232</v>
      </c>
      <c r="I1673">
        <f t="shared" si="26"/>
        <v>650232</v>
      </c>
    </row>
    <row r="1674" spans="1:9" x14ac:dyDescent="0.3">
      <c r="A1674">
        <v>11673</v>
      </c>
      <c r="B1674" s="2">
        <v>45107</v>
      </c>
      <c r="C1674" t="s">
        <v>12</v>
      </c>
      <c r="D1674" t="s">
        <v>17</v>
      </c>
      <c r="E1674" t="s">
        <v>22</v>
      </c>
      <c r="F1674">
        <v>13</v>
      </c>
      <c r="G1674">
        <v>16984</v>
      </c>
      <c r="H1674">
        <v>220792</v>
      </c>
      <c r="I1674">
        <f t="shared" si="26"/>
        <v>220792</v>
      </c>
    </row>
    <row r="1675" spans="1:9" x14ac:dyDescent="0.3">
      <c r="A1675">
        <v>11674</v>
      </c>
      <c r="B1675" s="2">
        <v>45065</v>
      </c>
      <c r="C1675" t="s">
        <v>12</v>
      </c>
      <c r="D1675" t="s">
        <v>15</v>
      </c>
      <c r="E1675" t="s">
        <v>22</v>
      </c>
      <c r="F1675">
        <v>10</v>
      </c>
      <c r="G1675">
        <v>27032</v>
      </c>
      <c r="H1675">
        <v>270320</v>
      </c>
      <c r="I1675">
        <f t="shared" si="26"/>
        <v>270320</v>
      </c>
    </row>
    <row r="1676" spans="1:9" x14ac:dyDescent="0.3">
      <c r="A1676">
        <v>11675</v>
      </c>
      <c r="B1676" s="2">
        <v>45034</v>
      </c>
      <c r="C1676" t="s">
        <v>14</v>
      </c>
      <c r="D1676" t="s">
        <v>15</v>
      </c>
      <c r="E1676" t="s">
        <v>23</v>
      </c>
      <c r="F1676">
        <v>8</v>
      </c>
      <c r="G1676">
        <v>45806</v>
      </c>
      <c r="H1676">
        <v>366448</v>
      </c>
      <c r="I1676">
        <f t="shared" si="26"/>
        <v>366448</v>
      </c>
    </row>
    <row r="1677" spans="1:9" x14ac:dyDescent="0.3">
      <c r="A1677">
        <v>11676</v>
      </c>
      <c r="B1677" s="2">
        <v>45022</v>
      </c>
      <c r="C1677" t="s">
        <v>12</v>
      </c>
      <c r="D1677" t="s">
        <v>15</v>
      </c>
      <c r="E1677" t="s">
        <v>19</v>
      </c>
      <c r="F1677">
        <v>19</v>
      </c>
      <c r="G1677">
        <v>14358</v>
      </c>
      <c r="H1677">
        <v>272802</v>
      </c>
      <c r="I1677">
        <f t="shared" si="26"/>
        <v>272802</v>
      </c>
    </row>
    <row r="1678" spans="1:9" x14ac:dyDescent="0.3">
      <c r="A1678">
        <v>11677</v>
      </c>
      <c r="B1678" s="2">
        <v>44937</v>
      </c>
      <c r="C1678" t="s">
        <v>11</v>
      </c>
      <c r="D1678" t="s">
        <v>16</v>
      </c>
      <c r="E1678" t="s">
        <v>24</v>
      </c>
      <c r="F1678">
        <v>1</v>
      </c>
      <c r="G1678">
        <v>20556</v>
      </c>
      <c r="H1678">
        <v>20556</v>
      </c>
      <c r="I1678">
        <f t="shared" si="26"/>
        <v>20556</v>
      </c>
    </row>
    <row r="1679" spans="1:9" x14ac:dyDescent="0.3">
      <c r="A1679">
        <v>11678</v>
      </c>
      <c r="B1679" s="2">
        <v>45056</v>
      </c>
      <c r="C1679" t="s">
        <v>14</v>
      </c>
      <c r="D1679" t="s">
        <v>15</v>
      </c>
      <c r="E1679" t="s">
        <v>23</v>
      </c>
      <c r="F1679">
        <v>6</v>
      </c>
      <c r="G1679">
        <v>50786</v>
      </c>
      <c r="H1679">
        <v>304716</v>
      </c>
      <c r="I1679">
        <f t="shared" si="26"/>
        <v>304716</v>
      </c>
    </row>
    <row r="1680" spans="1:9" x14ac:dyDescent="0.3">
      <c r="A1680">
        <v>11679</v>
      </c>
      <c r="B1680" s="2">
        <v>44961</v>
      </c>
      <c r="C1680" t="s">
        <v>13</v>
      </c>
      <c r="D1680" t="s">
        <v>18</v>
      </c>
      <c r="E1680" t="s">
        <v>23</v>
      </c>
      <c r="F1680">
        <v>14</v>
      </c>
      <c r="G1680">
        <v>23676</v>
      </c>
      <c r="H1680">
        <v>331464</v>
      </c>
      <c r="I1680">
        <f t="shared" si="26"/>
        <v>331464</v>
      </c>
    </row>
    <row r="1681" spans="1:9" x14ac:dyDescent="0.3">
      <c r="A1681">
        <v>11680</v>
      </c>
      <c r="B1681" s="2">
        <v>45126</v>
      </c>
      <c r="C1681" t="s">
        <v>9</v>
      </c>
      <c r="D1681" t="s">
        <v>16</v>
      </c>
      <c r="E1681" t="s">
        <v>22</v>
      </c>
      <c r="F1681">
        <v>10</v>
      </c>
      <c r="G1681">
        <v>10377</v>
      </c>
      <c r="H1681">
        <v>103770</v>
      </c>
      <c r="I1681">
        <f t="shared" si="26"/>
        <v>103770</v>
      </c>
    </row>
    <row r="1682" spans="1:9" x14ac:dyDescent="0.3">
      <c r="A1682">
        <v>11681</v>
      </c>
      <c r="B1682" s="2">
        <v>45068</v>
      </c>
      <c r="C1682" t="s">
        <v>10</v>
      </c>
      <c r="D1682" t="s">
        <v>17</v>
      </c>
      <c r="E1682" t="s">
        <v>21</v>
      </c>
      <c r="F1682">
        <v>11</v>
      </c>
      <c r="G1682">
        <v>32812</v>
      </c>
      <c r="H1682">
        <v>360932</v>
      </c>
      <c r="I1682">
        <f t="shared" si="26"/>
        <v>360932</v>
      </c>
    </row>
    <row r="1683" spans="1:9" x14ac:dyDescent="0.3">
      <c r="A1683">
        <v>11682</v>
      </c>
      <c r="B1683" s="2">
        <v>45267</v>
      </c>
      <c r="C1683" t="s">
        <v>13</v>
      </c>
      <c r="D1683" t="s">
        <v>17</v>
      </c>
      <c r="E1683" t="s">
        <v>20</v>
      </c>
      <c r="F1683">
        <v>6</v>
      </c>
      <c r="G1683">
        <v>46842</v>
      </c>
      <c r="H1683">
        <v>281052</v>
      </c>
      <c r="I1683">
        <f t="shared" si="26"/>
        <v>281052</v>
      </c>
    </row>
    <row r="1684" spans="1:9" x14ac:dyDescent="0.3">
      <c r="A1684">
        <v>11683</v>
      </c>
      <c r="B1684" s="2">
        <v>45201</v>
      </c>
      <c r="C1684" t="s">
        <v>12</v>
      </c>
      <c r="D1684" t="s">
        <v>17</v>
      </c>
      <c r="E1684" t="s">
        <v>19</v>
      </c>
      <c r="F1684">
        <v>6</v>
      </c>
      <c r="G1684">
        <v>17804</v>
      </c>
      <c r="H1684">
        <v>106824</v>
      </c>
      <c r="I1684">
        <f t="shared" si="26"/>
        <v>106824</v>
      </c>
    </row>
    <row r="1685" spans="1:9" x14ac:dyDescent="0.3">
      <c r="A1685">
        <v>11684</v>
      </c>
      <c r="B1685" s="2">
        <v>44937</v>
      </c>
      <c r="C1685" t="s">
        <v>14</v>
      </c>
      <c r="D1685" t="s">
        <v>15</v>
      </c>
      <c r="E1685" t="s">
        <v>21</v>
      </c>
      <c r="F1685">
        <v>19</v>
      </c>
      <c r="G1685">
        <v>7655</v>
      </c>
      <c r="H1685">
        <v>145445</v>
      </c>
      <c r="I1685">
        <f t="shared" si="26"/>
        <v>145445</v>
      </c>
    </row>
    <row r="1686" spans="1:9" x14ac:dyDescent="0.3">
      <c r="A1686">
        <v>11685</v>
      </c>
      <c r="B1686" s="2">
        <v>45220</v>
      </c>
      <c r="C1686" t="s">
        <v>11</v>
      </c>
      <c r="D1686" t="s">
        <v>15</v>
      </c>
      <c r="E1686" t="s">
        <v>23</v>
      </c>
      <c r="F1686">
        <v>5</v>
      </c>
      <c r="G1686">
        <v>24332</v>
      </c>
      <c r="H1686">
        <v>121660</v>
      </c>
      <c r="I1686">
        <f t="shared" si="26"/>
        <v>121660</v>
      </c>
    </row>
    <row r="1687" spans="1:9" x14ac:dyDescent="0.3">
      <c r="A1687">
        <v>11686</v>
      </c>
      <c r="B1687" s="2">
        <v>45009</v>
      </c>
      <c r="C1687" t="s">
        <v>13</v>
      </c>
      <c r="D1687" t="s">
        <v>16</v>
      </c>
      <c r="E1687" t="s">
        <v>19</v>
      </c>
      <c r="F1687">
        <v>17</v>
      </c>
      <c r="G1687">
        <v>26498</v>
      </c>
      <c r="H1687">
        <v>450466</v>
      </c>
      <c r="I1687">
        <f t="shared" si="26"/>
        <v>450466</v>
      </c>
    </row>
    <row r="1688" spans="1:9" x14ac:dyDescent="0.3">
      <c r="A1688">
        <v>11687</v>
      </c>
      <c r="B1688" s="2">
        <v>45250</v>
      </c>
      <c r="C1688" t="s">
        <v>8</v>
      </c>
      <c r="D1688" t="s">
        <v>17</v>
      </c>
      <c r="E1688" t="s">
        <v>24</v>
      </c>
      <c r="F1688">
        <v>17</v>
      </c>
      <c r="G1688">
        <v>6818</v>
      </c>
      <c r="H1688">
        <v>115906</v>
      </c>
      <c r="I1688">
        <f t="shared" si="26"/>
        <v>115906</v>
      </c>
    </row>
    <row r="1689" spans="1:9" x14ac:dyDescent="0.3">
      <c r="A1689">
        <v>11688</v>
      </c>
      <c r="B1689" s="2">
        <v>45040</v>
      </c>
      <c r="C1689" t="s">
        <v>11</v>
      </c>
      <c r="D1689" t="s">
        <v>18</v>
      </c>
      <c r="E1689" t="s">
        <v>22</v>
      </c>
      <c r="F1689">
        <v>20</v>
      </c>
      <c r="G1689">
        <v>30078</v>
      </c>
      <c r="H1689">
        <v>601560</v>
      </c>
      <c r="I1689">
        <f t="shared" si="26"/>
        <v>601560</v>
      </c>
    </row>
    <row r="1690" spans="1:9" x14ac:dyDescent="0.3">
      <c r="A1690">
        <v>11689</v>
      </c>
      <c r="B1690" s="2">
        <v>44993</v>
      </c>
      <c r="C1690" t="s">
        <v>8</v>
      </c>
      <c r="D1690" t="s">
        <v>18</v>
      </c>
      <c r="E1690" t="s">
        <v>23</v>
      </c>
      <c r="F1690">
        <v>19</v>
      </c>
      <c r="G1690">
        <v>28361</v>
      </c>
      <c r="H1690">
        <v>538859</v>
      </c>
      <c r="I1690">
        <f t="shared" si="26"/>
        <v>538859</v>
      </c>
    </row>
    <row r="1691" spans="1:9" x14ac:dyDescent="0.3">
      <c r="A1691">
        <v>11690</v>
      </c>
      <c r="B1691" s="2">
        <v>45022</v>
      </c>
      <c r="C1691" t="s">
        <v>11</v>
      </c>
      <c r="D1691" t="s">
        <v>17</v>
      </c>
      <c r="E1691" t="s">
        <v>19</v>
      </c>
      <c r="F1691">
        <v>12</v>
      </c>
      <c r="G1691">
        <v>17930</v>
      </c>
      <c r="H1691">
        <v>215160</v>
      </c>
      <c r="I1691">
        <f t="shared" si="26"/>
        <v>215160</v>
      </c>
    </row>
    <row r="1692" spans="1:9" x14ac:dyDescent="0.3">
      <c r="A1692">
        <v>11691</v>
      </c>
      <c r="B1692" s="2">
        <v>45055</v>
      </c>
      <c r="C1692" t="s">
        <v>12</v>
      </c>
      <c r="D1692" t="s">
        <v>16</v>
      </c>
      <c r="E1692" t="s">
        <v>24</v>
      </c>
      <c r="F1692">
        <v>17</v>
      </c>
      <c r="G1692">
        <v>17976</v>
      </c>
      <c r="H1692">
        <v>305592</v>
      </c>
      <c r="I1692">
        <f t="shared" si="26"/>
        <v>305592</v>
      </c>
    </row>
    <row r="1693" spans="1:9" x14ac:dyDescent="0.3">
      <c r="A1693">
        <v>11692</v>
      </c>
      <c r="B1693" s="2">
        <v>44947</v>
      </c>
      <c r="C1693" t="s">
        <v>10</v>
      </c>
      <c r="D1693" t="s">
        <v>15</v>
      </c>
      <c r="E1693" t="s">
        <v>21</v>
      </c>
      <c r="F1693">
        <v>17</v>
      </c>
      <c r="G1693">
        <v>7429</v>
      </c>
      <c r="H1693">
        <v>126293</v>
      </c>
      <c r="I1693">
        <f t="shared" si="26"/>
        <v>126293</v>
      </c>
    </row>
    <row r="1694" spans="1:9" x14ac:dyDescent="0.3">
      <c r="A1694">
        <v>11693</v>
      </c>
      <c r="B1694" s="2">
        <v>45224</v>
      </c>
      <c r="C1694" t="s">
        <v>8</v>
      </c>
      <c r="D1694" t="s">
        <v>15</v>
      </c>
      <c r="E1694" t="s">
        <v>19</v>
      </c>
      <c r="F1694">
        <v>20</v>
      </c>
      <c r="G1694">
        <v>31424</v>
      </c>
      <c r="H1694">
        <v>628480</v>
      </c>
      <c r="I1694">
        <f t="shared" si="26"/>
        <v>628480</v>
      </c>
    </row>
    <row r="1695" spans="1:9" x14ac:dyDescent="0.3">
      <c r="A1695">
        <v>11694</v>
      </c>
      <c r="B1695" s="2">
        <v>45218</v>
      </c>
      <c r="C1695" t="s">
        <v>13</v>
      </c>
      <c r="D1695" t="s">
        <v>15</v>
      </c>
      <c r="E1695" t="s">
        <v>19</v>
      </c>
      <c r="F1695">
        <v>2</v>
      </c>
      <c r="G1695">
        <v>13029</v>
      </c>
      <c r="H1695">
        <v>26058</v>
      </c>
      <c r="I1695">
        <f t="shared" si="26"/>
        <v>26058</v>
      </c>
    </row>
    <row r="1696" spans="1:9" x14ac:dyDescent="0.3">
      <c r="A1696">
        <v>11695</v>
      </c>
      <c r="B1696" s="2">
        <v>45043</v>
      </c>
      <c r="C1696" t="s">
        <v>9</v>
      </c>
      <c r="D1696" t="s">
        <v>16</v>
      </c>
      <c r="E1696" t="s">
        <v>21</v>
      </c>
      <c r="F1696">
        <v>6</v>
      </c>
      <c r="G1696">
        <v>5792</v>
      </c>
      <c r="H1696">
        <v>34752</v>
      </c>
      <c r="I1696">
        <f t="shared" si="26"/>
        <v>34752</v>
      </c>
    </row>
    <row r="1697" spans="1:9" x14ac:dyDescent="0.3">
      <c r="A1697">
        <v>11696</v>
      </c>
      <c r="B1697" s="2">
        <v>45167</v>
      </c>
      <c r="C1697" t="s">
        <v>10</v>
      </c>
      <c r="D1697" t="s">
        <v>18</v>
      </c>
      <c r="E1697" t="s">
        <v>20</v>
      </c>
      <c r="F1697">
        <v>3</v>
      </c>
      <c r="G1697">
        <v>54018</v>
      </c>
      <c r="H1697">
        <v>162054</v>
      </c>
      <c r="I1697">
        <f t="shared" si="26"/>
        <v>162054</v>
      </c>
    </row>
    <row r="1698" spans="1:9" x14ac:dyDescent="0.3">
      <c r="A1698">
        <v>11697</v>
      </c>
      <c r="B1698" s="2">
        <v>45091</v>
      </c>
      <c r="C1698" t="s">
        <v>12</v>
      </c>
      <c r="D1698" t="s">
        <v>17</v>
      </c>
      <c r="E1698" t="s">
        <v>21</v>
      </c>
      <c r="F1698">
        <v>18</v>
      </c>
      <c r="G1698">
        <v>33794</v>
      </c>
      <c r="H1698">
        <v>608292</v>
      </c>
      <c r="I1698">
        <f t="shared" si="26"/>
        <v>608292</v>
      </c>
    </row>
    <row r="1699" spans="1:9" x14ac:dyDescent="0.3">
      <c r="A1699">
        <v>11698</v>
      </c>
      <c r="B1699" s="2">
        <v>45190</v>
      </c>
      <c r="C1699" t="s">
        <v>10</v>
      </c>
      <c r="D1699" t="s">
        <v>15</v>
      </c>
      <c r="E1699" t="s">
        <v>19</v>
      </c>
      <c r="F1699">
        <v>9</v>
      </c>
      <c r="G1699">
        <v>28433</v>
      </c>
      <c r="H1699">
        <v>255897</v>
      </c>
      <c r="I1699">
        <f t="shared" si="26"/>
        <v>255897</v>
      </c>
    </row>
    <row r="1700" spans="1:9" x14ac:dyDescent="0.3">
      <c r="A1700">
        <v>11699</v>
      </c>
      <c r="B1700" s="2">
        <v>45058</v>
      </c>
      <c r="C1700" t="s">
        <v>11</v>
      </c>
      <c r="D1700" t="s">
        <v>18</v>
      </c>
      <c r="E1700" t="s">
        <v>22</v>
      </c>
      <c r="F1700">
        <v>17</v>
      </c>
      <c r="G1700">
        <v>24660</v>
      </c>
      <c r="H1700">
        <v>419220</v>
      </c>
      <c r="I1700">
        <f t="shared" si="26"/>
        <v>419220</v>
      </c>
    </row>
    <row r="1701" spans="1:9" x14ac:dyDescent="0.3">
      <c r="A1701">
        <v>11700</v>
      </c>
      <c r="B1701" s="2">
        <v>45067</v>
      </c>
      <c r="C1701" t="s">
        <v>11</v>
      </c>
      <c r="D1701" t="s">
        <v>18</v>
      </c>
      <c r="E1701" t="s">
        <v>24</v>
      </c>
      <c r="F1701">
        <v>2</v>
      </c>
      <c r="G1701">
        <v>23468</v>
      </c>
      <c r="H1701">
        <v>46936</v>
      </c>
      <c r="I1701">
        <f t="shared" si="26"/>
        <v>46936</v>
      </c>
    </row>
    <row r="1702" spans="1:9" x14ac:dyDescent="0.3">
      <c r="A1702">
        <v>11701</v>
      </c>
      <c r="B1702" s="2">
        <v>45181</v>
      </c>
      <c r="C1702" t="s">
        <v>14</v>
      </c>
      <c r="D1702" t="s">
        <v>15</v>
      </c>
      <c r="E1702" t="s">
        <v>22</v>
      </c>
      <c r="F1702">
        <v>1</v>
      </c>
      <c r="G1702">
        <v>15175</v>
      </c>
      <c r="H1702">
        <v>15175</v>
      </c>
      <c r="I1702">
        <f t="shared" si="26"/>
        <v>15175</v>
      </c>
    </row>
    <row r="1703" spans="1:9" x14ac:dyDescent="0.3">
      <c r="A1703">
        <v>11702</v>
      </c>
      <c r="B1703" s="2">
        <v>45009</v>
      </c>
      <c r="C1703" t="s">
        <v>9</v>
      </c>
      <c r="D1703" t="s">
        <v>18</v>
      </c>
      <c r="E1703" t="s">
        <v>21</v>
      </c>
      <c r="F1703">
        <v>15</v>
      </c>
      <c r="G1703">
        <v>47444</v>
      </c>
      <c r="H1703">
        <v>711660</v>
      </c>
      <c r="I1703">
        <f t="shared" si="26"/>
        <v>711660</v>
      </c>
    </row>
    <row r="1704" spans="1:9" x14ac:dyDescent="0.3">
      <c r="A1704">
        <v>11703</v>
      </c>
      <c r="B1704" s="2">
        <v>45005</v>
      </c>
      <c r="C1704" t="s">
        <v>9</v>
      </c>
      <c r="D1704" t="s">
        <v>17</v>
      </c>
      <c r="E1704" t="s">
        <v>20</v>
      </c>
      <c r="F1704">
        <v>8</v>
      </c>
      <c r="G1704">
        <v>22517</v>
      </c>
      <c r="H1704">
        <v>180136</v>
      </c>
      <c r="I1704">
        <f t="shared" si="26"/>
        <v>180136</v>
      </c>
    </row>
    <row r="1705" spans="1:9" x14ac:dyDescent="0.3">
      <c r="A1705">
        <v>11704</v>
      </c>
      <c r="B1705" s="2">
        <v>45244</v>
      </c>
      <c r="C1705" t="s">
        <v>8</v>
      </c>
      <c r="D1705" t="s">
        <v>17</v>
      </c>
      <c r="E1705" t="s">
        <v>24</v>
      </c>
      <c r="F1705">
        <v>11</v>
      </c>
      <c r="G1705">
        <v>54132</v>
      </c>
      <c r="H1705">
        <v>595452</v>
      </c>
      <c r="I1705">
        <f t="shared" si="26"/>
        <v>595452</v>
      </c>
    </row>
    <row r="1706" spans="1:9" x14ac:dyDescent="0.3">
      <c r="A1706">
        <v>11705</v>
      </c>
      <c r="B1706" s="2">
        <v>45175</v>
      </c>
      <c r="C1706" t="s">
        <v>12</v>
      </c>
      <c r="D1706" t="s">
        <v>18</v>
      </c>
      <c r="E1706" t="s">
        <v>23</v>
      </c>
      <c r="F1706">
        <v>7</v>
      </c>
      <c r="G1706">
        <v>48010</v>
      </c>
      <c r="H1706">
        <v>336070</v>
      </c>
      <c r="I1706">
        <f t="shared" si="26"/>
        <v>336070</v>
      </c>
    </row>
    <row r="1707" spans="1:9" x14ac:dyDescent="0.3">
      <c r="A1707">
        <v>11706</v>
      </c>
      <c r="B1707" s="2">
        <v>44960</v>
      </c>
      <c r="C1707" t="s">
        <v>11</v>
      </c>
      <c r="D1707" t="s">
        <v>18</v>
      </c>
      <c r="E1707" t="s">
        <v>24</v>
      </c>
      <c r="F1707">
        <v>12</v>
      </c>
      <c r="G1707">
        <v>27974</v>
      </c>
      <c r="H1707">
        <v>335688</v>
      </c>
      <c r="I1707">
        <f t="shared" si="26"/>
        <v>335688</v>
      </c>
    </row>
    <row r="1708" spans="1:9" x14ac:dyDescent="0.3">
      <c r="A1708">
        <v>11707</v>
      </c>
      <c r="B1708" s="2">
        <v>45118</v>
      </c>
      <c r="C1708" t="s">
        <v>13</v>
      </c>
      <c r="D1708" t="s">
        <v>16</v>
      </c>
      <c r="E1708" t="s">
        <v>24</v>
      </c>
      <c r="F1708">
        <v>3</v>
      </c>
      <c r="G1708">
        <v>35810</v>
      </c>
      <c r="H1708">
        <v>107430</v>
      </c>
      <c r="I1708">
        <f t="shared" si="26"/>
        <v>107430</v>
      </c>
    </row>
    <row r="1709" spans="1:9" x14ac:dyDescent="0.3">
      <c r="A1709">
        <v>11708</v>
      </c>
      <c r="B1709" s="2">
        <v>45289</v>
      </c>
      <c r="C1709" t="s">
        <v>10</v>
      </c>
      <c r="D1709" t="s">
        <v>15</v>
      </c>
      <c r="E1709" t="s">
        <v>20</v>
      </c>
      <c r="F1709">
        <v>16</v>
      </c>
      <c r="G1709">
        <v>33624</v>
      </c>
      <c r="H1709">
        <v>537984</v>
      </c>
      <c r="I1709">
        <f t="shared" si="26"/>
        <v>537984</v>
      </c>
    </row>
    <row r="1710" spans="1:9" x14ac:dyDescent="0.3">
      <c r="A1710">
        <v>11709</v>
      </c>
      <c r="B1710" s="2">
        <v>45232</v>
      </c>
      <c r="C1710" t="s">
        <v>14</v>
      </c>
      <c r="D1710" t="s">
        <v>17</v>
      </c>
      <c r="E1710" t="s">
        <v>22</v>
      </c>
      <c r="F1710">
        <v>6</v>
      </c>
      <c r="G1710">
        <v>32438</v>
      </c>
      <c r="H1710">
        <v>194628</v>
      </c>
      <c r="I1710">
        <f t="shared" si="26"/>
        <v>194628</v>
      </c>
    </row>
    <row r="1711" spans="1:9" x14ac:dyDescent="0.3">
      <c r="A1711">
        <v>11710</v>
      </c>
      <c r="B1711" s="2">
        <v>45104</v>
      </c>
      <c r="C1711" t="s">
        <v>12</v>
      </c>
      <c r="D1711" t="s">
        <v>17</v>
      </c>
      <c r="E1711" t="s">
        <v>19</v>
      </c>
      <c r="F1711">
        <v>12</v>
      </c>
      <c r="G1711">
        <v>56615</v>
      </c>
      <c r="H1711">
        <v>679380</v>
      </c>
      <c r="I1711">
        <f t="shared" si="26"/>
        <v>679380</v>
      </c>
    </row>
    <row r="1712" spans="1:9" x14ac:dyDescent="0.3">
      <c r="A1712">
        <v>11711</v>
      </c>
      <c r="B1712" s="2">
        <v>45025</v>
      </c>
      <c r="C1712" t="s">
        <v>8</v>
      </c>
      <c r="D1712" t="s">
        <v>15</v>
      </c>
      <c r="E1712" t="s">
        <v>23</v>
      </c>
      <c r="F1712">
        <v>10</v>
      </c>
      <c r="G1712">
        <v>34397</v>
      </c>
      <c r="H1712">
        <v>343970</v>
      </c>
      <c r="I1712">
        <f t="shared" si="26"/>
        <v>343970</v>
      </c>
    </row>
    <row r="1713" spans="1:9" x14ac:dyDescent="0.3">
      <c r="A1713">
        <v>11712</v>
      </c>
      <c r="B1713" s="2">
        <v>45264</v>
      </c>
      <c r="C1713" t="s">
        <v>12</v>
      </c>
      <c r="D1713" t="s">
        <v>17</v>
      </c>
      <c r="E1713" t="s">
        <v>20</v>
      </c>
      <c r="F1713">
        <v>15</v>
      </c>
      <c r="G1713">
        <v>50019</v>
      </c>
      <c r="H1713">
        <v>750285</v>
      </c>
      <c r="I1713">
        <f t="shared" si="26"/>
        <v>750285</v>
      </c>
    </row>
    <row r="1714" spans="1:9" x14ac:dyDescent="0.3">
      <c r="A1714">
        <v>11713</v>
      </c>
      <c r="B1714" s="2">
        <v>45030</v>
      </c>
      <c r="C1714" t="s">
        <v>12</v>
      </c>
      <c r="D1714" t="s">
        <v>18</v>
      </c>
      <c r="E1714" t="s">
        <v>20</v>
      </c>
      <c r="F1714">
        <v>20</v>
      </c>
      <c r="G1714">
        <v>21206</v>
      </c>
      <c r="H1714">
        <v>424120</v>
      </c>
      <c r="I1714">
        <f t="shared" si="26"/>
        <v>424120</v>
      </c>
    </row>
    <row r="1715" spans="1:9" x14ac:dyDescent="0.3">
      <c r="A1715">
        <v>11714</v>
      </c>
      <c r="B1715" s="2">
        <v>45056</v>
      </c>
      <c r="C1715" t="s">
        <v>11</v>
      </c>
      <c r="D1715" t="s">
        <v>18</v>
      </c>
      <c r="E1715" t="s">
        <v>24</v>
      </c>
      <c r="F1715">
        <v>19</v>
      </c>
      <c r="G1715">
        <v>59864</v>
      </c>
      <c r="H1715">
        <v>1137416</v>
      </c>
      <c r="I1715">
        <f t="shared" si="26"/>
        <v>1137416</v>
      </c>
    </row>
    <row r="1716" spans="1:9" x14ac:dyDescent="0.3">
      <c r="A1716">
        <v>11715</v>
      </c>
      <c r="B1716" s="2">
        <v>45060</v>
      </c>
      <c r="C1716" t="s">
        <v>11</v>
      </c>
      <c r="D1716" t="s">
        <v>18</v>
      </c>
      <c r="E1716" t="s">
        <v>24</v>
      </c>
      <c r="F1716">
        <v>9</v>
      </c>
      <c r="G1716">
        <v>50522</v>
      </c>
      <c r="H1716">
        <v>454698</v>
      </c>
      <c r="I1716">
        <f t="shared" si="26"/>
        <v>454698</v>
      </c>
    </row>
    <row r="1717" spans="1:9" x14ac:dyDescent="0.3">
      <c r="A1717">
        <v>11716</v>
      </c>
      <c r="B1717" s="2">
        <v>44950</v>
      </c>
      <c r="C1717" t="s">
        <v>13</v>
      </c>
      <c r="D1717" t="s">
        <v>18</v>
      </c>
      <c r="E1717" t="s">
        <v>20</v>
      </c>
      <c r="F1717">
        <v>14</v>
      </c>
      <c r="G1717">
        <v>39095</v>
      </c>
      <c r="H1717">
        <v>547330</v>
      </c>
      <c r="I1717">
        <f t="shared" si="26"/>
        <v>547330</v>
      </c>
    </row>
    <row r="1718" spans="1:9" x14ac:dyDescent="0.3">
      <c r="A1718">
        <v>11717</v>
      </c>
      <c r="B1718" s="2">
        <v>44941</v>
      </c>
      <c r="C1718" t="s">
        <v>11</v>
      </c>
      <c r="D1718" t="s">
        <v>17</v>
      </c>
      <c r="E1718" t="s">
        <v>23</v>
      </c>
      <c r="F1718">
        <v>16</v>
      </c>
      <c r="G1718">
        <v>47499</v>
      </c>
      <c r="H1718">
        <v>759984</v>
      </c>
      <c r="I1718">
        <f t="shared" si="26"/>
        <v>759984</v>
      </c>
    </row>
    <row r="1719" spans="1:9" x14ac:dyDescent="0.3">
      <c r="A1719">
        <v>11718</v>
      </c>
      <c r="B1719" s="2">
        <v>45202</v>
      </c>
      <c r="C1719" t="s">
        <v>12</v>
      </c>
      <c r="D1719" t="s">
        <v>18</v>
      </c>
      <c r="E1719" t="s">
        <v>20</v>
      </c>
      <c r="F1719">
        <v>20</v>
      </c>
      <c r="G1719">
        <v>53526</v>
      </c>
      <c r="H1719">
        <v>1070520</v>
      </c>
      <c r="I1719">
        <f t="shared" si="26"/>
        <v>1070520</v>
      </c>
    </row>
    <row r="1720" spans="1:9" x14ac:dyDescent="0.3">
      <c r="A1720">
        <v>11719</v>
      </c>
      <c r="B1720" s="2">
        <v>44957</v>
      </c>
      <c r="C1720" t="s">
        <v>11</v>
      </c>
      <c r="D1720" t="s">
        <v>16</v>
      </c>
      <c r="E1720" t="s">
        <v>24</v>
      </c>
      <c r="F1720">
        <v>17</v>
      </c>
      <c r="G1720">
        <v>24756</v>
      </c>
      <c r="H1720">
        <v>420852</v>
      </c>
      <c r="I1720">
        <f t="shared" si="26"/>
        <v>420852</v>
      </c>
    </row>
    <row r="1721" spans="1:9" x14ac:dyDescent="0.3">
      <c r="A1721">
        <v>11720</v>
      </c>
      <c r="B1721" s="2">
        <v>45097</v>
      </c>
      <c r="C1721" t="s">
        <v>10</v>
      </c>
      <c r="D1721" t="s">
        <v>17</v>
      </c>
      <c r="E1721" t="s">
        <v>19</v>
      </c>
      <c r="F1721">
        <v>17</v>
      </c>
      <c r="G1721">
        <v>16915</v>
      </c>
      <c r="H1721">
        <v>287555</v>
      </c>
      <c r="I1721">
        <f t="shared" si="26"/>
        <v>287555</v>
      </c>
    </row>
    <row r="1722" spans="1:9" x14ac:dyDescent="0.3">
      <c r="A1722">
        <v>11721</v>
      </c>
      <c r="B1722" s="2">
        <v>45250</v>
      </c>
      <c r="C1722" t="s">
        <v>9</v>
      </c>
      <c r="D1722" t="s">
        <v>17</v>
      </c>
      <c r="E1722" t="s">
        <v>21</v>
      </c>
      <c r="F1722">
        <v>19</v>
      </c>
      <c r="G1722">
        <v>3618</v>
      </c>
      <c r="H1722">
        <v>68742</v>
      </c>
      <c r="I1722">
        <f t="shared" si="26"/>
        <v>68742</v>
      </c>
    </row>
    <row r="1723" spans="1:9" x14ac:dyDescent="0.3">
      <c r="A1723">
        <v>11722</v>
      </c>
      <c r="B1723" s="2">
        <v>45078</v>
      </c>
      <c r="C1723" t="s">
        <v>13</v>
      </c>
      <c r="D1723" t="s">
        <v>18</v>
      </c>
      <c r="E1723" t="s">
        <v>20</v>
      </c>
      <c r="F1723">
        <v>7</v>
      </c>
      <c r="G1723">
        <v>11107</v>
      </c>
      <c r="H1723">
        <v>77749</v>
      </c>
      <c r="I1723">
        <f t="shared" si="26"/>
        <v>77749</v>
      </c>
    </row>
    <row r="1724" spans="1:9" x14ac:dyDescent="0.3">
      <c r="A1724">
        <v>11723</v>
      </c>
      <c r="B1724" s="2">
        <v>45110</v>
      </c>
      <c r="C1724" t="s">
        <v>9</v>
      </c>
      <c r="D1724" t="s">
        <v>16</v>
      </c>
      <c r="E1724" t="s">
        <v>19</v>
      </c>
      <c r="F1724">
        <v>16</v>
      </c>
      <c r="G1724">
        <v>49400</v>
      </c>
      <c r="H1724">
        <v>790400</v>
      </c>
      <c r="I1724">
        <f t="shared" si="26"/>
        <v>790400</v>
      </c>
    </row>
    <row r="1725" spans="1:9" x14ac:dyDescent="0.3">
      <c r="A1725">
        <v>11724</v>
      </c>
      <c r="B1725" s="2">
        <v>45274</v>
      </c>
      <c r="C1725" t="s">
        <v>8</v>
      </c>
      <c r="D1725" t="s">
        <v>18</v>
      </c>
      <c r="E1725" t="s">
        <v>24</v>
      </c>
      <c r="F1725">
        <v>20</v>
      </c>
      <c r="G1725">
        <v>58322</v>
      </c>
      <c r="H1725">
        <v>1166440</v>
      </c>
      <c r="I1725">
        <f t="shared" si="26"/>
        <v>1166440</v>
      </c>
    </row>
    <row r="1726" spans="1:9" x14ac:dyDescent="0.3">
      <c r="A1726">
        <v>11725</v>
      </c>
      <c r="B1726" s="2">
        <v>45247</v>
      </c>
      <c r="C1726" t="s">
        <v>10</v>
      </c>
      <c r="D1726" t="s">
        <v>16</v>
      </c>
      <c r="E1726" t="s">
        <v>20</v>
      </c>
      <c r="F1726">
        <v>20</v>
      </c>
      <c r="G1726">
        <v>45358</v>
      </c>
      <c r="H1726">
        <v>907160</v>
      </c>
      <c r="I1726">
        <f t="shared" si="26"/>
        <v>907160</v>
      </c>
    </row>
    <row r="1727" spans="1:9" x14ac:dyDescent="0.3">
      <c r="A1727">
        <v>11726</v>
      </c>
      <c r="B1727" s="2">
        <v>45210</v>
      </c>
      <c r="C1727" t="s">
        <v>14</v>
      </c>
      <c r="D1727" t="s">
        <v>18</v>
      </c>
      <c r="E1727" t="s">
        <v>22</v>
      </c>
      <c r="F1727">
        <v>13</v>
      </c>
      <c r="G1727">
        <v>51246</v>
      </c>
      <c r="H1727">
        <v>666198</v>
      </c>
      <c r="I1727">
        <f t="shared" si="26"/>
        <v>666198</v>
      </c>
    </row>
    <row r="1728" spans="1:9" x14ac:dyDescent="0.3">
      <c r="A1728">
        <v>11727</v>
      </c>
      <c r="B1728" s="2">
        <v>45124</v>
      </c>
      <c r="C1728" t="s">
        <v>11</v>
      </c>
      <c r="D1728" t="s">
        <v>16</v>
      </c>
      <c r="E1728" t="s">
        <v>24</v>
      </c>
      <c r="F1728">
        <v>19</v>
      </c>
      <c r="G1728">
        <v>16106</v>
      </c>
      <c r="H1728">
        <v>306014</v>
      </c>
      <c r="I1728">
        <f t="shared" si="26"/>
        <v>306014</v>
      </c>
    </row>
    <row r="1729" spans="1:9" x14ac:dyDescent="0.3">
      <c r="A1729">
        <v>11728</v>
      </c>
      <c r="B1729" s="2">
        <v>45129</v>
      </c>
      <c r="C1729" t="s">
        <v>14</v>
      </c>
      <c r="D1729" t="s">
        <v>16</v>
      </c>
      <c r="E1729" t="s">
        <v>22</v>
      </c>
      <c r="F1729">
        <v>9</v>
      </c>
      <c r="G1729">
        <v>45990</v>
      </c>
      <c r="H1729">
        <v>413910</v>
      </c>
      <c r="I1729">
        <f t="shared" si="26"/>
        <v>413910</v>
      </c>
    </row>
    <row r="1730" spans="1:9" x14ac:dyDescent="0.3">
      <c r="A1730">
        <v>11729</v>
      </c>
      <c r="B1730" s="2">
        <v>44945</v>
      </c>
      <c r="C1730" t="s">
        <v>14</v>
      </c>
      <c r="D1730" t="s">
        <v>16</v>
      </c>
      <c r="E1730" t="s">
        <v>19</v>
      </c>
      <c r="F1730">
        <v>16</v>
      </c>
      <c r="G1730">
        <v>57233</v>
      </c>
      <c r="H1730">
        <v>915728</v>
      </c>
      <c r="I1730">
        <f t="shared" si="26"/>
        <v>915728</v>
      </c>
    </row>
    <row r="1731" spans="1:9" x14ac:dyDescent="0.3">
      <c r="A1731">
        <v>11730</v>
      </c>
      <c r="B1731" s="2">
        <v>45052</v>
      </c>
      <c r="C1731" t="s">
        <v>10</v>
      </c>
      <c r="D1731" t="s">
        <v>15</v>
      </c>
      <c r="E1731" t="s">
        <v>19</v>
      </c>
      <c r="F1731">
        <v>14</v>
      </c>
      <c r="G1731">
        <v>10488</v>
      </c>
      <c r="H1731">
        <v>146832</v>
      </c>
      <c r="I1731">
        <f t="shared" ref="I1731:I1794" si="27">G1731*F1731</f>
        <v>146832</v>
      </c>
    </row>
    <row r="1732" spans="1:9" x14ac:dyDescent="0.3">
      <c r="A1732">
        <v>11731</v>
      </c>
      <c r="B1732" s="2">
        <v>45159</v>
      </c>
      <c r="C1732" t="s">
        <v>14</v>
      </c>
      <c r="D1732" t="s">
        <v>16</v>
      </c>
      <c r="E1732" t="s">
        <v>23</v>
      </c>
      <c r="F1732">
        <v>14</v>
      </c>
      <c r="G1732">
        <v>47079</v>
      </c>
      <c r="H1732">
        <v>659106</v>
      </c>
      <c r="I1732">
        <f t="shared" si="27"/>
        <v>659106</v>
      </c>
    </row>
    <row r="1733" spans="1:9" x14ac:dyDescent="0.3">
      <c r="A1733">
        <v>11732</v>
      </c>
      <c r="B1733" s="2">
        <v>45284</v>
      </c>
      <c r="C1733" t="s">
        <v>14</v>
      </c>
      <c r="D1733" t="s">
        <v>15</v>
      </c>
      <c r="E1733" t="s">
        <v>22</v>
      </c>
      <c r="F1733">
        <v>17</v>
      </c>
      <c r="G1733">
        <v>11512</v>
      </c>
      <c r="H1733">
        <v>195704</v>
      </c>
      <c r="I1733">
        <f t="shared" si="27"/>
        <v>195704</v>
      </c>
    </row>
    <row r="1734" spans="1:9" x14ac:dyDescent="0.3">
      <c r="A1734">
        <v>11733</v>
      </c>
      <c r="B1734" s="2">
        <v>45209</v>
      </c>
      <c r="C1734" t="s">
        <v>13</v>
      </c>
      <c r="D1734" t="s">
        <v>15</v>
      </c>
      <c r="E1734" t="s">
        <v>23</v>
      </c>
      <c r="F1734">
        <v>2</v>
      </c>
      <c r="G1734">
        <v>50485</v>
      </c>
      <c r="H1734">
        <v>100970</v>
      </c>
      <c r="I1734">
        <f t="shared" si="27"/>
        <v>100970</v>
      </c>
    </row>
    <row r="1735" spans="1:9" x14ac:dyDescent="0.3">
      <c r="A1735">
        <v>11734</v>
      </c>
      <c r="B1735" s="2">
        <v>45185</v>
      </c>
      <c r="C1735" t="s">
        <v>9</v>
      </c>
      <c r="D1735" t="s">
        <v>15</v>
      </c>
      <c r="E1735" t="s">
        <v>19</v>
      </c>
      <c r="F1735">
        <v>6</v>
      </c>
      <c r="G1735">
        <v>14040</v>
      </c>
      <c r="H1735">
        <v>84240</v>
      </c>
      <c r="I1735">
        <f t="shared" si="27"/>
        <v>84240</v>
      </c>
    </row>
    <row r="1736" spans="1:9" x14ac:dyDescent="0.3">
      <c r="A1736">
        <v>11735</v>
      </c>
      <c r="B1736" s="2">
        <v>44982</v>
      </c>
      <c r="C1736" t="s">
        <v>9</v>
      </c>
      <c r="D1736" t="s">
        <v>16</v>
      </c>
      <c r="E1736" t="s">
        <v>21</v>
      </c>
      <c r="F1736">
        <v>8</v>
      </c>
      <c r="G1736">
        <v>34503</v>
      </c>
      <c r="H1736">
        <v>276024</v>
      </c>
      <c r="I1736">
        <f t="shared" si="27"/>
        <v>276024</v>
      </c>
    </row>
    <row r="1737" spans="1:9" x14ac:dyDescent="0.3">
      <c r="A1737">
        <v>11736</v>
      </c>
      <c r="B1737" s="2">
        <v>45186</v>
      </c>
      <c r="C1737" t="s">
        <v>13</v>
      </c>
      <c r="D1737" t="s">
        <v>16</v>
      </c>
      <c r="E1737" t="s">
        <v>23</v>
      </c>
      <c r="F1737">
        <v>13</v>
      </c>
      <c r="G1737">
        <v>18918</v>
      </c>
      <c r="H1737">
        <v>245934</v>
      </c>
      <c r="I1737">
        <f t="shared" si="27"/>
        <v>245934</v>
      </c>
    </row>
    <row r="1738" spans="1:9" x14ac:dyDescent="0.3">
      <c r="A1738">
        <v>11737</v>
      </c>
      <c r="B1738" s="2">
        <v>45278</v>
      </c>
      <c r="C1738" t="s">
        <v>8</v>
      </c>
      <c r="D1738" t="s">
        <v>15</v>
      </c>
      <c r="E1738" t="s">
        <v>24</v>
      </c>
      <c r="F1738">
        <v>15</v>
      </c>
      <c r="G1738">
        <v>49200</v>
      </c>
      <c r="H1738">
        <v>738000</v>
      </c>
      <c r="I1738">
        <f t="shared" si="27"/>
        <v>738000</v>
      </c>
    </row>
    <row r="1739" spans="1:9" x14ac:dyDescent="0.3">
      <c r="A1739">
        <v>11738</v>
      </c>
      <c r="B1739" s="2">
        <v>44975</v>
      </c>
      <c r="C1739" t="s">
        <v>13</v>
      </c>
      <c r="D1739" t="s">
        <v>17</v>
      </c>
      <c r="E1739" t="s">
        <v>21</v>
      </c>
      <c r="F1739">
        <v>3</v>
      </c>
      <c r="G1739">
        <v>13415</v>
      </c>
      <c r="H1739">
        <v>40245</v>
      </c>
      <c r="I1739">
        <f t="shared" si="27"/>
        <v>40245</v>
      </c>
    </row>
    <row r="1740" spans="1:9" x14ac:dyDescent="0.3">
      <c r="A1740">
        <v>11739</v>
      </c>
      <c r="B1740" s="2">
        <v>45230</v>
      </c>
      <c r="C1740" t="s">
        <v>12</v>
      </c>
      <c r="D1740" t="s">
        <v>16</v>
      </c>
      <c r="E1740" t="s">
        <v>24</v>
      </c>
      <c r="F1740">
        <v>9</v>
      </c>
      <c r="G1740">
        <v>23485</v>
      </c>
      <c r="H1740">
        <v>211365</v>
      </c>
      <c r="I1740">
        <f t="shared" si="27"/>
        <v>211365</v>
      </c>
    </row>
    <row r="1741" spans="1:9" x14ac:dyDescent="0.3">
      <c r="A1741">
        <v>11740</v>
      </c>
      <c r="B1741" s="2">
        <v>45083</v>
      </c>
      <c r="C1741" t="s">
        <v>8</v>
      </c>
      <c r="D1741" t="s">
        <v>16</v>
      </c>
      <c r="E1741" t="s">
        <v>20</v>
      </c>
      <c r="F1741">
        <v>18</v>
      </c>
      <c r="G1741">
        <v>55426</v>
      </c>
      <c r="H1741">
        <v>997668</v>
      </c>
      <c r="I1741">
        <f t="shared" si="27"/>
        <v>997668</v>
      </c>
    </row>
    <row r="1742" spans="1:9" x14ac:dyDescent="0.3">
      <c r="A1742">
        <v>11741</v>
      </c>
      <c r="B1742" s="2">
        <v>45264</v>
      </c>
      <c r="C1742" t="s">
        <v>13</v>
      </c>
      <c r="D1742" t="s">
        <v>17</v>
      </c>
      <c r="E1742" t="s">
        <v>22</v>
      </c>
      <c r="F1742">
        <v>12</v>
      </c>
      <c r="G1742">
        <v>33379</v>
      </c>
      <c r="H1742">
        <v>400548</v>
      </c>
      <c r="I1742">
        <f t="shared" si="27"/>
        <v>400548</v>
      </c>
    </row>
    <row r="1743" spans="1:9" x14ac:dyDescent="0.3">
      <c r="A1743">
        <v>11742</v>
      </c>
      <c r="B1743" s="2">
        <v>45228</v>
      </c>
      <c r="C1743" t="s">
        <v>10</v>
      </c>
      <c r="D1743" t="s">
        <v>15</v>
      </c>
      <c r="E1743" t="s">
        <v>22</v>
      </c>
      <c r="F1743">
        <v>11</v>
      </c>
      <c r="G1743">
        <v>14396</v>
      </c>
      <c r="H1743">
        <v>158356</v>
      </c>
      <c r="I1743">
        <f t="shared" si="27"/>
        <v>158356</v>
      </c>
    </row>
    <row r="1744" spans="1:9" x14ac:dyDescent="0.3">
      <c r="A1744">
        <v>11743</v>
      </c>
      <c r="B1744" s="2">
        <v>45259</v>
      </c>
      <c r="C1744" t="s">
        <v>12</v>
      </c>
      <c r="D1744" t="s">
        <v>15</v>
      </c>
      <c r="E1744" t="s">
        <v>20</v>
      </c>
      <c r="F1744">
        <v>8</v>
      </c>
      <c r="G1744">
        <v>49155</v>
      </c>
      <c r="H1744">
        <v>393240</v>
      </c>
      <c r="I1744">
        <f t="shared" si="27"/>
        <v>393240</v>
      </c>
    </row>
    <row r="1745" spans="1:9" x14ac:dyDescent="0.3">
      <c r="A1745">
        <v>11744</v>
      </c>
      <c r="B1745" s="2">
        <v>45147</v>
      </c>
      <c r="C1745" t="s">
        <v>9</v>
      </c>
      <c r="D1745" t="s">
        <v>18</v>
      </c>
      <c r="E1745" t="s">
        <v>24</v>
      </c>
      <c r="F1745">
        <v>15</v>
      </c>
      <c r="G1745">
        <v>23839</v>
      </c>
      <c r="H1745">
        <v>357585</v>
      </c>
      <c r="I1745">
        <f t="shared" si="27"/>
        <v>357585</v>
      </c>
    </row>
    <row r="1746" spans="1:9" x14ac:dyDescent="0.3">
      <c r="A1746">
        <v>11745</v>
      </c>
      <c r="B1746" s="2">
        <v>44983</v>
      </c>
      <c r="C1746" t="s">
        <v>13</v>
      </c>
      <c r="D1746" t="s">
        <v>15</v>
      </c>
      <c r="E1746" t="s">
        <v>23</v>
      </c>
      <c r="F1746">
        <v>7</v>
      </c>
      <c r="G1746">
        <v>19740</v>
      </c>
      <c r="H1746">
        <v>138180</v>
      </c>
      <c r="I1746">
        <f t="shared" si="27"/>
        <v>138180</v>
      </c>
    </row>
    <row r="1747" spans="1:9" x14ac:dyDescent="0.3">
      <c r="A1747">
        <v>11746</v>
      </c>
      <c r="B1747" s="2">
        <v>45059</v>
      </c>
      <c r="C1747" t="s">
        <v>9</v>
      </c>
      <c r="D1747" t="s">
        <v>17</v>
      </c>
      <c r="E1747" t="s">
        <v>21</v>
      </c>
      <c r="F1747">
        <v>20</v>
      </c>
      <c r="G1747">
        <v>4867</v>
      </c>
      <c r="H1747">
        <v>97340</v>
      </c>
      <c r="I1747">
        <f t="shared" si="27"/>
        <v>97340</v>
      </c>
    </row>
    <row r="1748" spans="1:9" x14ac:dyDescent="0.3">
      <c r="A1748">
        <v>11747</v>
      </c>
      <c r="B1748" s="2">
        <v>45081</v>
      </c>
      <c r="C1748" t="s">
        <v>14</v>
      </c>
      <c r="D1748" t="s">
        <v>18</v>
      </c>
      <c r="E1748" t="s">
        <v>23</v>
      </c>
      <c r="F1748">
        <v>15</v>
      </c>
      <c r="G1748">
        <v>16294</v>
      </c>
      <c r="H1748">
        <v>244410</v>
      </c>
      <c r="I1748">
        <f t="shared" si="27"/>
        <v>244410</v>
      </c>
    </row>
    <row r="1749" spans="1:9" x14ac:dyDescent="0.3">
      <c r="A1749">
        <v>11748</v>
      </c>
      <c r="B1749" s="2">
        <v>45047</v>
      </c>
      <c r="C1749" t="s">
        <v>12</v>
      </c>
      <c r="D1749" t="s">
        <v>18</v>
      </c>
      <c r="E1749" t="s">
        <v>21</v>
      </c>
      <c r="F1749">
        <v>9</v>
      </c>
      <c r="G1749">
        <v>17545</v>
      </c>
      <c r="H1749">
        <v>157905</v>
      </c>
      <c r="I1749">
        <f t="shared" si="27"/>
        <v>157905</v>
      </c>
    </row>
    <row r="1750" spans="1:9" x14ac:dyDescent="0.3">
      <c r="A1750">
        <v>11749</v>
      </c>
      <c r="B1750" s="2">
        <v>45143</v>
      </c>
      <c r="C1750" t="s">
        <v>12</v>
      </c>
      <c r="D1750" t="s">
        <v>17</v>
      </c>
      <c r="E1750" t="s">
        <v>19</v>
      </c>
      <c r="F1750">
        <v>19</v>
      </c>
      <c r="G1750">
        <v>29764</v>
      </c>
      <c r="H1750">
        <v>565516</v>
      </c>
      <c r="I1750">
        <f t="shared" si="27"/>
        <v>565516</v>
      </c>
    </row>
    <row r="1751" spans="1:9" x14ac:dyDescent="0.3">
      <c r="A1751">
        <v>11750</v>
      </c>
      <c r="B1751" s="2">
        <v>45036</v>
      </c>
      <c r="C1751" t="s">
        <v>14</v>
      </c>
      <c r="D1751" t="s">
        <v>18</v>
      </c>
      <c r="E1751" t="s">
        <v>20</v>
      </c>
      <c r="F1751">
        <v>18</v>
      </c>
      <c r="G1751">
        <v>25964</v>
      </c>
      <c r="H1751">
        <v>467352</v>
      </c>
      <c r="I1751">
        <f t="shared" si="27"/>
        <v>467352</v>
      </c>
    </row>
    <row r="1752" spans="1:9" x14ac:dyDescent="0.3">
      <c r="A1752">
        <v>11751</v>
      </c>
      <c r="B1752" s="2">
        <v>45059</v>
      </c>
      <c r="C1752" t="s">
        <v>13</v>
      </c>
      <c r="D1752" t="s">
        <v>16</v>
      </c>
      <c r="E1752" t="s">
        <v>19</v>
      </c>
      <c r="F1752">
        <v>9</v>
      </c>
      <c r="G1752">
        <v>15499</v>
      </c>
      <c r="H1752">
        <v>139491</v>
      </c>
      <c r="I1752">
        <f t="shared" si="27"/>
        <v>139491</v>
      </c>
    </row>
    <row r="1753" spans="1:9" x14ac:dyDescent="0.3">
      <c r="A1753">
        <v>11752</v>
      </c>
      <c r="B1753" s="2">
        <v>45259</v>
      </c>
      <c r="C1753" t="s">
        <v>9</v>
      </c>
      <c r="D1753" t="s">
        <v>18</v>
      </c>
      <c r="E1753" t="s">
        <v>22</v>
      </c>
      <c r="F1753">
        <v>12</v>
      </c>
      <c r="G1753">
        <v>41005</v>
      </c>
      <c r="H1753">
        <v>492060</v>
      </c>
      <c r="I1753">
        <f t="shared" si="27"/>
        <v>492060</v>
      </c>
    </row>
    <row r="1754" spans="1:9" x14ac:dyDescent="0.3">
      <c r="A1754">
        <v>11753</v>
      </c>
      <c r="B1754" s="2">
        <v>45009</v>
      </c>
      <c r="C1754" t="s">
        <v>9</v>
      </c>
      <c r="D1754" t="s">
        <v>16</v>
      </c>
      <c r="E1754" t="s">
        <v>19</v>
      </c>
      <c r="F1754">
        <v>16</v>
      </c>
      <c r="G1754">
        <v>54525</v>
      </c>
      <c r="H1754">
        <v>872400</v>
      </c>
      <c r="I1754">
        <f t="shared" si="27"/>
        <v>872400</v>
      </c>
    </row>
    <row r="1755" spans="1:9" x14ac:dyDescent="0.3">
      <c r="A1755">
        <v>11754</v>
      </c>
      <c r="B1755" s="2">
        <v>45164</v>
      </c>
      <c r="C1755" t="s">
        <v>11</v>
      </c>
      <c r="D1755" t="s">
        <v>16</v>
      </c>
      <c r="E1755" t="s">
        <v>22</v>
      </c>
      <c r="F1755">
        <v>2</v>
      </c>
      <c r="G1755">
        <v>58487</v>
      </c>
      <c r="H1755">
        <v>116974</v>
      </c>
      <c r="I1755">
        <f t="shared" si="27"/>
        <v>116974</v>
      </c>
    </row>
    <row r="1756" spans="1:9" x14ac:dyDescent="0.3">
      <c r="A1756">
        <v>11755</v>
      </c>
      <c r="B1756" s="2">
        <v>45044</v>
      </c>
      <c r="C1756" t="s">
        <v>12</v>
      </c>
      <c r="D1756" t="s">
        <v>18</v>
      </c>
      <c r="E1756" t="s">
        <v>24</v>
      </c>
      <c r="F1756">
        <v>7</v>
      </c>
      <c r="G1756">
        <v>25456</v>
      </c>
      <c r="H1756">
        <v>178192</v>
      </c>
      <c r="I1756">
        <f t="shared" si="27"/>
        <v>178192</v>
      </c>
    </row>
    <row r="1757" spans="1:9" x14ac:dyDescent="0.3">
      <c r="A1757">
        <v>11756</v>
      </c>
      <c r="B1757" s="2">
        <v>45020</v>
      </c>
      <c r="C1757" t="s">
        <v>8</v>
      </c>
      <c r="D1757" t="s">
        <v>16</v>
      </c>
      <c r="E1757" t="s">
        <v>23</v>
      </c>
      <c r="F1757">
        <v>7</v>
      </c>
      <c r="G1757">
        <v>16278</v>
      </c>
      <c r="H1757">
        <v>113946</v>
      </c>
      <c r="I1757">
        <f t="shared" si="27"/>
        <v>113946</v>
      </c>
    </row>
    <row r="1758" spans="1:9" x14ac:dyDescent="0.3">
      <c r="A1758">
        <v>11757</v>
      </c>
      <c r="B1758" s="2">
        <v>45091</v>
      </c>
      <c r="C1758" t="s">
        <v>10</v>
      </c>
      <c r="D1758" t="s">
        <v>18</v>
      </c>
      <c r="E1758" t="s">
        <v>21</v>
      </c>
      <c r="F1758">
        <v>11</v>
      </c>
      <c r="G1758">
        <v>31631</v>
      </c>
      <c r="H1758">
        <v>347941</v>
      </c>
      <c r="I1758">
        <f t="shared" si="27"/>
        <v>347941</v>
      </c>
    </row>
    <row r="1759" spans="1:9" x14ac:dyDescent="0.3">
      <c r="A1759">
        <v>11758</v>
      </c>
      <c r="B1759" s="2">
        <v>44955</v>
      </c>
      <c r="C1759" t="s">
        <v>8</v>
      </c>
      <c r="D1759" t="s">
        <v>16</v>
      </c>
      <c r="E1759" t="s">
        <v>20</v>
      </c>
      <c r="F1759">
        <v>5</v>
      </c>
      <c r="G1759">
        <v>12678</v>
      </c>
      <c r="H1759">
        <v>63390</v>
      </c>
      <c r="I1759">
        <f t="shared" si="27"/>
        <v>63390</v>
      </c>
    </row>
    <row r="1760" spans="1:9" x14ac:dyDescent="0.3">
      <c r="A1760">
        <v>11759</v>
      </c>
      <c r="B1760" s="2">
        <v>44975</v>
      </c>
      <c r="C1760" t="s">
        <v>10</v>
      </c>
      <c r="D1760" t="s">
        <v>15</v>
      </c>
      <c r="E1760" t="s">
        <v>21</v>
      </c>
      <c r="F1760">
        <v>16</v>
      </c>
      <c r="G1760">
        <v>27381</v>
      </c>
      <c r="H1760">
        <v>438096</v>
      </c>
      <c r="I1760">
        <f t="shared" si="27"/>
        <v>438096</v>
      </c>
    </row>
    <row r="1761" spans="1:9" x14ac:dyDescent="0.3">
      <c r="A1761">
        <v>11760</v>
      </c>
      <c r="B1761" s="2">
        <v>45185</v>
      </c>
      <c r="C1761" t="s">
        <v>9</v>
      </c>
      <c r="D1761" t="s">
        <v>17</v>
      </c>
      <c r="E1761" t="s">
        <v>22</v>
      </c>
      <c r="F1761">
        <v>8</v>
      </c>
      <c r="G1761">
        <v>56993</v>
      </c>
      <c r="H1761">
        <v>455944</v>
      </c>
      <c r="I1761">
        <f t="shared" si="27"/>
        <v>455944</v>
      </c>
    </row>
    <row r="1762" spans="1:9" x14ac:dyDescent="0.3">
      <c r="A1762">
        <v>11761</v>
      </c>
      <c r="B1762" s="2">
        <v>45048</v>
      </c>
      <c r="C1762" t="s">
        <v>12</v>
      </c>
      <c r="D1762" t="s">
        <v>18</v>
      </c>
      <c r="E1762" t="s">
        <v>22</v>
      </c>
      <c r="F1762">
        <v>8</v>
      </c>
      <c r="G1762">
        <v>33570</v>
      </c>
      <c r="H1762">
        <v>268560</v>
      </c>
      <c r="I1762">
        <f t="shared" si="27"/>
        <v>268560</v>
      </c>
    </row>
    <row r="1763" spans="1:9" x14ac:dyDescent="0.3">
      <c r="A1763">
        <v>11762</v>
      </c>
      <c r="B1763" s="2">
        <v>45122</v>
      </c>
      <c r="C1763" t="s">
        <v>11</v>
      </c>
      <c r="D1763" t="s">
        <v>18</v>
      </c>
      <c r="E1763" t="s">
        <v>23</v>
      </c>
      <c r="F1763">
        <v>12</v>
      </c>
      <c r="G1763">
        <v>18255</v>
      </c>
      <c r="H1763">
        <v>219060</v>
      </c>
      <c r="I1763">
        <f t="shared" si="27"/>
        <v>219060</v>
      </c>
    </row>
    <row r="1764" spans="1:9" x14ac:dyDescent="0.3">
      <c r="A1764">
        <v>11763</v>
      </c>
      <c r="B1764" s="2">
        <v>45098</v>
      </c>
      <c r="C1764" t="s">
        <v>14</v>
      </c>
      <c r="D1764" t="s">
        <v>18</v>
      </c>
      <c r="E1764" t="s">
        <v>21</v>
      </c>
      <c r="F1764">
        <v>5</v>
      </c>
      <c r="G1764">
        <v>5163</v>
      </c>
      <c r="H1764">
        <v>25815</v>
      </c>
      <c r="I1764">
        <f t="shared" si="27"/>
        <v>25815</v>
      </c>
    </row>
    <row r="1765" spans="1:9" x14ac:dyDescent="0.3">
      <c r="A1765">
        <v>11764</v>
      </c>
      <c r="B1765" s="2">
        <v>45219</v>
      </c>
      <c r="C1765" t="s">
        <v>12</v>
      </c>
      <c r="D1765" t="s">
        <v>16</v>
      </c>
      <c r="E1765" t="s">
        <v>24</v>
      </c>
      <c r="F1765">
        <v>9</v>
      </c>
      <c r="G1765">
        <v>59571</v>
      </c>
      <c r="H1765">
        <v>536139</v>
      </c>
      <c r="I1765">
        <f t="shared" si="27"/>
        <v>536139</v>
      </c>
    </row>
    <row r="1766" spans="1:9" x14ac:dyDescent="0.3">
      <c r="A1766">
        <v>11765</v>
      </c>
      <c r="B1766" s="2">
        <v>44968</v>
      </c>
      <c r="C1766" t="s">
        <v>8</v>
      </c>
      <c r="D1766" t="s">
        <v>17</v>
      </c>
      <c r="E1766" t="s">
        <v>19</v>
      </c>
      <c r="F1766">
        <v>2</v>
      </c>
      <c r="G1766">
        <v>42502</v>
      </c>
      <c r="H1766">
        <v>85004</v>
      </c>
      <c r="I1766">
        <f t="shared" si="27"/>
        <v>85004</v>
      </c>
    </row>
    <row r="1767" spans="1:9" x14ac:dyDescent="0.3">
      <c r="A1767">
        <v>11766</v>
      </c>
      <c r="B1767" s="2">
        <v>45265</v>
      </c>
      <c r="C1767" t="s">
        <v>8</v>
      </c>
      <c r="D1767" t="s">
        <v>18</v>
      </c>
      <c r="E1767" t="s">
        <v>19</v>
      </c>
      <c r="F1767">
        <v>10</v>
      </c>
      <c r="G1767">
        <v>44534</v>
      </c>
      <c r="H1767">
        <v>445340</v>
      </c>
      <c r="I1767">
        <f t="shared" si="27"/>
        <v>445340</v>
      </c>
    </row>
    <row r="1768" spans="1:9" x14ac:dyDescent="0.3">
      <c r="A1768">
        <v>11767</v>
      </c>
      <c r="B1768" s="2">
        <v>44978</v>
      </c>
      <c r="C1768" t="s">
        <v>12</v>
      </c>
      <c r="D1768" t="s">
        <v>17</v>
      </c>
      <c r="E1768" t="s">
        <v>20</v>
      </c>
      <c r="F1768">
        <v>16</v>
      </c>
      <c r="G1768">
        <v>29799</v>
      </c>
      <c r="H1768">
        <v>476784</v>
      </c>
      <c r="I1768">
        <f t="shared" si="27"/>
        <v>476784</v>
      </c>
    </row>
    <row r="1769" spans="1:9" x14ac:dyDescent="0.3">
      <c r="A1769">
        <v>11768</v>
      </c>
      <c r="B1769" s="2">
        <v>45250</v>
      </c>
      <c r="C1769" t="s">
        <v>13</v>
      </c>
      <c r="D1769" t="s">
        <v>15</v>
      </c>
      <c r="E1769" t="s">
        <v>22</v>
      </c>
      <c r="F1769">
        <v>5</v>
      </c>
      <c r="G1769">
        <v>41726</v>
      </c>
      <c r="H1769">
        <v>208630</v>
      </c>
      <c r="I1769">
        <f t="shared" si="27"/>
        <v>208630</v>
      </c>
    </row>
    <row r="1770" spans="1:9" x14ac:dyDescent="0.3">
      <c r="A1770">
        <v>11769</v>
      </c>
      <c r="B1770" s="2">
        <v>45154</v>
      </c>
      <c r="C1770" t="s">
        <v>9</v>
      </c>
      <c r="D1770" t="s">
        <v>16</v>
      </c>
      <c r="E1770" t="s">
        <v>21</v>
      </c>
      <c r="F1770">
        <v>17</v>
      </c>
      <c r="G1770">
        <v>59329</v>
      </c>
      <c r="H1770">
        <v>1008593</v>
      </c>
      <c r="I1770">
        <f t="shared" si="27"/>
        <v>1008593</v>
      </c>
    </row>
    <row r="1771" spans="1:9" x14ac:dyDescent="0.3">
      <c r="A1771">
        <v>11770</v>
      </c>
      <c r="B1771" s="2">
        <v>44942</v>
      </c>
      <c r="C1771" t="s">
        <v>10</v>
      </c>
      <c r="D1771" t="s">
        <v>15</v>
      </c>
      <c r="E1771" t="s">
        <v>23</v>
      </c>
      <c r="F1771">
        <v>19</v>
      </c>
      <c r="G1771">
        <v>58523</v>
      </c>
      <c r="H1771">
        <v>1111937</v>
      </c>
      <c r="I1771">
        <f t="shared" si="27"/>
        <v>1111937</v>
      </c>
    </row>
    <row r="1772" spans="1:9" x14ac:dyDescent="0.3">
      <c r="A1772">
        <v>11771</v>
      </c>
      <c r="B1772" s="2">
        <v>44946</v>
      </c>
      <c r="C1772" t="s">
        <v>10</v>
      </c>
      <c r="D1772" t="s">
        <v>16</v>
      </c>
      <c r="E1772" t="s">
        <v>23</v>
      </c>
      <c r="F1772">
        <v>20</v>
      </c>
      <c r="G1772">
        <v>15040</v>
      </c>
      <c r="H1772">
        <v>300800</v>
      </c>
      <c r="I1772">
        <f t="shared" si="27"/>
        <v>300800</v>
      </c>
    </row>
    <row r="1773" spans="1:9" x14ac:dyDescent="0.3">
      <c r="A1773">
        <v>11772</v>
      </c>
      <c r="B1773" s="2">
        <v>45170</v>
      </c>
      <c r="C1773" t="s">
        <v>10</v>
      </c>
      <c r="D1773" t="s">
        <v>18</v>
      </c>
      <c r="E1773" t="s">
        <v>21</v>
      </c>
      <c r="F1773">
        <v>13</v>
      </c>
      <c r="G1773">
        <v>56847</v>
      </c>
      <c r="H1773">
        <v>739011</v>
      </c>
      <c r="I1773">
        <f t="shared" si="27"/>
        <v>739011</v>
      </c>
    </row>
    <row r="1774" spans="1:9" x14ac:dyDescent="0.3">
      <c r="A1774">
        <v>11773</v>
      </c>
      <c r="B1774" s="2">
        <v>45124</v>
      </c>
      <c r="C1774" t="s">
        <v>10</v>
      </c>
      <c r="D1774" t="s">
        <v>17</v>
      </c>
      <c r="E1774" t="s">
        <v>21</v>
      </c>
      <c r="F1774">
        <v>14</v>
      </c>
      <c r="G1774">
        <v>46084</v>
      </c>
      <c r="H1774">
        <v>645176</v>
      </c>
      <c r="I1774">
        <f t="shared" si="27"/>
        <v>645176</v>
      </c>
    </row>
    <row r="1775" spans="1:9" x14ac:dyDescent="0.3">
      <c r="A1775">
        <v>11774</v>
      </c>
      <c r="B1775" s="2">
        <v>45107</v>
      </c>
      <c r="C1775" t="s">
        <v>10</v>
      </c>
      <c r="D1775" t="s">
        <v>15</v>
      </c>
      <c r="E1775" t="s">
        <v>21</v>
      </c>
      <c r="F1775">
        <v>20</v>
      </c>
      <c r="G1775">
        <v>41971</v>
      </c>
      <c r="H1775">
        <v>839420</v>
      </c>
      <c r="I1775">
        <f t="shared" si="27"/>
        <v>839420</v>
      </c>
    </row>
    <row r="1776" spans="1:9" x14ac:dyDescent="0.3">
      <c r="A1776">
        <v>11775</v>
      </c>
      <c r="B1776" s="2">
        <v>44944</v>
      </c>
      <c r="C1776" t="s">
        <v>8</v>
      </c>
      <c r="D1776" t="s">
        <v>17</v>
      </c>
      <c r="E1776" t="s">
        <v>22</v>
      </c>
      <c r="F1776">
        <v>8</v>
      </c>
      <c r="G1776">
        <v>58110</v>
      </c>
      <c r="H1776">
        <v>464880</v>
      </c>
      <c r="I1776">
        <f t="shared" si="27"/>
        <v>464880</v>
      </c>
    </row>
    <row r="1777" spans="1:9" x14ac:dyDescent="0.3">
      <c r="A1777">
        <v>11776</v>
      </c>
      <c r="B1777" s="2">
        <v>45237</v>
      </c>
      <c r="C1777" t="s">
        <v>11</v>
      </c>
      <c r="D1777" t="s">
        <v>16</v>
      </c>
      <c r="E1777" t="s">
        <v>23</v>
      </c>
      <c r="F1777">
        <v>12</v>
      </c>
      <c r="G1777">
        <v>55670</v>
      </c>
      <c r="H1777">
        <v>668040</v>
      </c>
      <c r="I1777">
        <f t="shared" si="27"/>
        <v>668040</v>
      </c>
    </row>
    <row r="1778" spans="1:9" x14ac:dyDescent="0.3">
      <c r="A1778">
        <v>11777</v>
      </c>
      <c r="B1778" s="2">
        <v>44949</v>
      </c>
      <c r="C1778" t="s">
        <v>10</v>
      </c>
      <c r="D1778" t="s">
        <v>15</v>
      </c>
      <c r="E1778" t="s">
        <v>22</v>
      </c>
      <c r="F1778">
        <v>16</v>
      </c>
      <c r="G1778">
        <v>11720</v>
      </c>
      <c r="H1778">
        <v>187520</v>
      </c>
      <c r="I1778">
        <f t="shared" si="27"/>
        <v>187520</v>
      </c>
    </row>
    <row r="1779" spans="1:9" x14ac:dyDescent="0.3">
      <c r="A1779">
        <v>11778</v>
      </c>
      <c r="B1779" s="2">
        <v>45232</v>
      </c>
      <c r="C1779" t="s">
        <v>8</v>
      </c>
      <c r="D1779" t="s">
        <v>18</v>
      </c>
      <c r="E1779" t="s">
        <v>19</v>
      </c>
      <c r="F1779">
        <v>2</v>
      </c>
      <c r="G1779">
        <v>31990</v>
      </c>
      <c r="H1779">
        <v>63980</v>
      </c>
      <c r="I1779">
        <f t="shared" si="27"/>
        <v>63980</v>
      </c>
    </row>
    <row r="1780" spans="1:9" x14ac:dyDescent="0.3">
      <c r="A1780">
        <v>11779</v>
      </c>
      <c r="B1780" s="2">
        <v>45077</v>
      </c>
      <c r="C1780" t="s">
        <v>13</v>
      </c>
      <c r="D1780" t="s">
        <v>17</v>
      </c>
      <c r="E1780" t="s">
        <v>20</v>
      </c>
      <c r="F1780">
        <v>3</v>
      </c>
      <c r="G1780">
        <v>2402</v>
      </c>
      <c r="H1780">
        <v>7206</v>
      </c>
      <c r="I1780">
        <f t="shared" si="27"/>
        <v>7206</v>
      </c>
    </row>
    <row r="1781" spans="1:9" x14ac:dyDescent="0.3">
      <c r="A1781">
        <v>11780</v>
      </c>
      <c r="B1781" s="2">
        <v>45141</v>
      </c>
      <c r="C1781" t="s">
        <v>14</v>
      </c>
      <c r="D1781" t="s">
        <v>17</v>
      </c>
      <c r="E1781" t="s">
        <v>24</v>
      </c>
      <c r="F1781">
        <v>4</v>
      </c>
      <c r="G1781">
        <v>37896</v>
      </c>
      <c r="H1781">
        <v>151584</v>
      </c>
      <c r="I1781">
        <f t="shared" si="27"/>
        <v>151584</v>
      </c>
    </row>
    <row r="1782" spans="1:9" x14ac:dyDescent="0.3">
      <c r="A1782">
        <v>11781</v>
      </c>
      <c r="B1782" s="2">
        <v>45136</v>
      </c>
      <c r="C1782" t="s">
        <v>8</v>
      </c>
      <c r="D1782" t="s">
        <v>16</v>
      </c>
      <c r="E1782" t="s">
        <v>21</v>
      </c>
      <c r="F1782">
        <v>9</v>
      </c>
      <c r="G1782">
        <v>9124</v>
      </c>
      <c r="H1782">
        <v>82116</v>
      </c>
      <c r="I1782">
        <f t="shared" si="27"/>
        <v>82116</v>
      </c>
    </row>
    <row r="1783" spans="1:9" x14ac:dyDescent="0.3">
      <c r="A1783">
        <v>11782</v>
      </c>
      <c r="B1783" s="2">
        <v>45178</v>
      </c>
      <c r="C1783" t="s">
        <v>11</v>
      </c>
      <c r="D1783" t="s">
        <v>15</v>
      </c>
      <c r="E1783" t="s">
        <v>22</v>
      </c>
      <c r="F1783">
        <v>6</v>
      </c>
      <c r="G1783">
        <v>23537</v>
      </c>
      <c r="H1783">
        <v>141222</v>
      </c>
      <c r="I1783">
        <f t="shared" si="27"/>
        <v>141222</v>
      </c>
    </row>
    <row r="1784" spans="1:9" x14ac:dyDescent="0.3">
      <c r="A1784">
        <v>11783</v>
      </c>
      <c r="B1784" s="2">
        <v>44946</v>
      </c>
      <c r="C1784" t="s">
        <v>14</v>
      </c>
      <c r="D1784" t="s">
        <v>17</v>
      </c>
      <c r="E1784" t="s">
        <v>22</v>
      </c>
      <c r="F1784">
        <v>10</v>
      </c>
      <c r="G1784">
        <v>22687</v>
      </c>
      <c r="H1784">
        <v>226870</v>
      </c>
      <c r="I1784">
        <f t="shared" si="27"/>
        <v>226870</v>
      </c>
    </row>
    <row r="1785" spans="1:9" x14ac:dyDescent="0.3">
      <c r="A1785">
        <v>11784</v>
      </c>
      <c r="B1785" s="2">
        <v>44984</v>
      </c>
      <c r="C1785" t="s">
        <v>11</v>
      </c>
      <c r="D1785" t="s">
        <v>15</v>
      </c>
      <c r="E1785" t="s">
        <v>20</v>
      </c>
      <c r="F1785">
        <v>6</v>
      </c>
      <c r="G1785">
        <v>40990</v>
      </c>
      <c r="H1785">
        <v>245940</v>
      </c>
      <c r="I1785">
        <f t="shared" si="27"/>
        <v>245940</v>
      </c>
    </row>
    <row r="1786" spans="1:9" x14ac:dyDescent="0.3">
      <c r="A1786">
        <v>11785</v>
      </c>
      <c r="B1786" s="2">
        <v>45264</v>
      </c>
      <c r="C1786" t="s">
        <v>12</v>
      </c>
      <c r="D1786" t="s">
        <v>15</v>
      </c>
      <c r="E1786" t="s">
        <v>20</v>
      </c>
      <c r="F1786">
        <v>15</v>
      </c>
      <c r="G1786">
        <v>6911</v>
      </c>
      <c r="H1786">
        <v>103665</v>
      </c>
      <c r="I1786">
        <f t="shared" si="27"/>
        <v>103665</v>
      </c>
    </row>
    <row r="1787" spans="1:9" x14ac:dyDescent="0.3">
      <c r="A1787">
        <v>11786</v>
      </c>
      <c r="B1787" s="2">
        <v>45055</v>
      </c>
      <c r="C1787" t="s">
        <v>12</v>
      </c>
      <c r="D1787" t="s">
        <v>17</v>
      </c>
      <c r="E1787" t="s">
        <v>22</v>
      </c>
      <c r="F1787">
        <v>12</v>
      </c>
      <c r="G1787">
        <v>57262</v>
      </c>
      <c r="H1787">
        <v>687144</v>
      </c>
      <c r="I1787">
        <f t="shared" si="27"/>
        <v>687144</v>
      </c>
    </row>
    <row r="1788" spans="1:9" x14ac:dyDescent="0.3">
      <c r="A1788">
        <v>11787</v>
      </c>
      <c r="B1788" s="2">
        <v>45119</v>
      </c>
      <c r="C1788" t="s">
        <v>9</v>
      </c>
      <c r="D1788" t="s">
        <v>15</v>
      </c>
      <c r="E1788" t="s">
        <v>22</v>
      </c>
      <c r="F1788">
        <v>9</v>
      </c>
      <c r="G1788">
        <v>37372</v>
      </c>
      <c r="H1788">
        <v>336348</v>
      </c>
      <c r="I1788">
        <f t="shared" si="27"/>
        <v>336348</v>
      </c>
    </row>
    <row r="1789" spans="1:9" x14ac:dyDescent="0.3">
      <c r="A1789">
        <v>11788</v>
      </c>
      <c r="B1789" s="2">
        <v>45282</v>
      </c>
      <c r="C1789" t="s">
        <v>8</v>
      </c>
      <c r="D1789" t="s">
        <v>18</v>
      </c>
      <c r="E1789" t="s">
        <v>20</v>
      </c>
      <c r="F1789">
        <v>3</v>
      </c>
      <c r="G1789">
        <v>33575</v>
      </c>
      <c r="H1789">
        <v>100725</v>
      </c>
      <c r="I1789">
        <f t="shared" si="27"/>
        <v>100725</v>
      </c>
    </row>
    <row r="1790" spans="1:9" x14ac:dyDescent="0.3">
      <c r="A1790">
        <v>11789</v>
      </c>
      <c r="B1790" s="2">
        <v>44938</v>
      </c>
      <c r="C1790" t="s">
        <v>9</v>
      </c>
      <c r="D1790" t="s">
        <v>17</v>
      </c>
      <c r="E1790" t="s">
        <v>24</v>
      </c>
      <c r="F1790">
        <v>10</v>
      </c>
      <c r="G1790">
        <v>22421</v>
      </c>
      <c r="H1790">
        <v>224210</v>
      </c>
      <c r="I1790">
        <f t="shared" si="27"/>
        <v>224210</v>
      </c>
    </row>
    <row r="1791" spans="1:9" x14ac:dyDescent="0.3">
      <c r="A1791">
        <v>11790</v>
      </c>
      <c r="B1791" s="2">
        <v>45136</v>
      </c>
      <c r="C1791" t="s">
        <v>12</v>
      </c>
      <c r="D1791" t="s">
        <v>17</v>
      </c>
      <c r="E1791" t="s">
        <v>22</v>
      </c>
      <c r="F1791">
        <v>4</v>
      </c>
      <c r="G1791">
        <v>51040</v>
      </c>
      <c r="H1791">
        <v>204160</v>
      </c>
      <c r="I1791">
        <f t="shared" si="27"/>
        <v>204160</v>
      </c>
    </row>
    <row r="1792" spans="1:9" x14ac:dyDescent="0.3">
      <c r="A1792">
        <v>11791</v>
      </c>
      <c r="B1792" s="2">
        <v>45100</v>
      </c>
      <c r="C1792" t="s">
        <v>12</v>
      </c>
      <c r="D1792" t="s">
        <v>18</v>
      </c>
      <c r="E1792" t="s">
        <v>19</v>
      </c>
      <c r="F1792">
        <v>6</v>
      </c>
      <c r="G1792">
        <v>52597</v>
      </c>
      <c r="H1792">
        <v>315582</v>
      </c>
      <c r="I1792">
        <f t="shared" si="27"/>
        <v>315582</v>
      </c>
    </row>
    <row r="1793" spans="1:9" x14ac:dyDescent="0.3">
      <c r="A1793">
        <v>11792</v>
      </c>
      <c r="B1793" s="2">
        <v>44930</v>
      </c>
      <c r="C1793" t="s">
        <v>13</v>
      </c>
      <c r="D1793" t="s">
        <v>17</v>
      </c>
      <c r="E1793" t="s">
        <v>21</v>
      </c>
      <c r="F1793">
        <v>4</v>
      </c>
      <c r="G1793">
        <v>53024</v>
      </c>
      <c r="H1793">
        <v>212096</v>
      </c>
      <c r="I1793">
        <f t="shared" si="27"/>
        <v>212096</v>
      </c>
    </row>
    <row r="1794" spans="1:9" x14ac:dyDescent="0.3">
      <c r="A1794">
        <v>11793</v>
      </c>
      <c r="B1794" s="2">
        <v>44976</v>
      </c>
      <c r="C1794" t="s">
        <v>9</v>
      </c>
      <c r="D1794" t="s">
        <v>17</v>
      </c>
      <c r="E1794" t="s">
        <v>22</v>
      </c>
      <c r="F1794">
        <v>14</v>
      </c>
      <c r="G1794">
        <v>48097</v>
      </c>
      <c r="H1794">
        <v>673358</v>
      </c>
      <c r="I1794">
        <f t="shared" si="27"/>
        <v>673358</v>
      </c>
    </row>
    <row r="1795" spans="1:9" x14ac:dyDescent="0.3">
      <c r="A1795">
        <v>11794</v>
      </c>
      <c r="B1795" s="2">
        <v>45249</v>
      </c>
      <c r="C1795" t="s">
        <v>14</v>
      </c>
      <c r="D1795" t="s">
        <v>15</v>
      </c>
      <c r="E1795" t="s">
        <v>21</v>
      </c>
      <c r="F1795">
        <v>7</v>
      </c>
      <c r="G1795">
        <v>39204</v>
      </c>
      <c r="H1795">
        <v>274428</v>
      </c>
      <c r="I1795">
        <f t="shared" ref="I1795:I1858" si="28">G1795*F1795</f>
        <v>274428</v>
      </c>
    </row>
    <row r="1796" spans="1:9" x14ac:dyDescent="0.3">
      <c r="A1796">
        <v>11795</v>
      </c>
      <c r="B1796" s="2">
        <v>44963</v>
      </c>
      <c r="C1796" t="s">
        <v>12</v>
      </c>
      <c r="D1796" t="s">
        <v>16</v>
      </c>
      <c r="E1796" t="s">
        <v>20</v>
      </c>
      <c r="F1796">
        <v>6</v>
      </c>
      <c r="G1796">
        <v>36511</v>
      </c>
      <c r="H1796">
        <v>219066</v>
      </c>
      <c r="I1796">
        <f t="shared" si="28"/>
        <v>219066</v>
      </c>
    </row>
    <row r="1797" spans="1:9" x14ac:dyDescent="0.3">
      <c r="A1797">
        <v>11796</v>
      </c>
      <c r="B1797" s="2">
        <v>45002</v>
      </c>
      <c r="C1797" t="s">
        <v>10</v>
      </c>
      <c r="D1797" t="s">
        <v>18</v>
      </c>
      <c r="E1797" t="s">
        <v>22</v>
      </c>
      <c r="F1797">
        <v>2</v>
      </c>
      <c r="G1797">
        <v>1197</v>
      </c>
      <c r="H1797">
        <v>2394</v>
      </c>
      <c r="I1797">
        <f t="shared" si="28"/>
        <v>2394</v>
      </c>
    </row>
    <row r="1798" spans="1:9" x14ac:dyDescent="0.3">
      <c r="A1798">
        <v>11797</v>
      </c>
      <c r="B1798" s="2">
        <v>45126</v>
      </c>
      <c r="C1798" t="s">
        <v>11</v>
      </c>
      <c r="D1798" t="s">
        <v>18</v>
      </c>
      <c r="E1798" t="s">
        <v>24</v>
      </c>
      <c r="F1798">
        <v>7</v>
      </c>
      <c r="G1798">
        <v>55701</v>
      </c>
      <c r="H1798">
        <v>389907</v>
      </c>
      <c r="I1798">
        <f t="shared" si="28"/>
        <v>389907</v>
      </c>
    </row>
    <row r="1799" spans="1:9" x14ac:dyDescent="0.3">
      <c r="A1799">
        <v>11798</v>
      </c>
      <c r="B1799" s="2">
        <v>44947</v>
      </c>
      <c r="C1799" t="s">
        <v>11</v>
      </c>
      <c r="D1799" t="s">
        <v>16</v>
      </c>
      <c r="E1799" t="s">
        <v>23</v>
      </c>
      <c r="F1799">
        <v>13</v>
      </c>
      <c r="G1799">
        <v>26073</v>
      </c>
      <c r="H1799">
        <v>338949</v>
      </c>
      <c r="I1799">
        <f t="shared" si="28"/>
        <v>338949</v>
      </c>
    </row>
    <row r="1800" spans="1:9" x14ac:dyDescent="0.3">
      <c r="A1800">
        <v>11799</v>
      </c>
      <c r="B1800" s="2">
        <v>45243</v>
      </c>
      <c r="C1800" t="s">
        <v>10</v>
      </c>
      <c r="D1800" t="s">
        <v>16</v>
      </c>
      <c r="E1800" t="s">
        <v>19</v>
      </c>
      <c r="F1800">
        <v>19</v>
      </c>
      <c r="G1800">
        <v>37414</v>
      </c>
      <c r="H1800">
        <v>710866</v>
      </c>
      <c r="I1800">
        <f t="shared" si="28"/>
        <v>710866</v>
      </c>
    </row>
    <row r="1801" spans="1:9" x14ac:dyDescent="0.3">
      <c r="A1801">
        <v>11800</v>
      </c>
      <c r="B1801" s="2">
        <v>45239</v>
      </c>
      <c r="C1801" t="s">
        <v>11</v>
      </c>
      <c r="D1801" t="s">
        <v>15</v>
      </c>
      <c r="E1801" t="s">
        <v>19</v>
      </c>
      <c r="F1801">
        <v>16</v>
      </c>
      <c r="G1801">
        <v>18082</v>
      </c>
      <c r="H1801">
        <v>289312</v>
      </c>
      <c r="I1801">
        <f t="shared" si="28"/>
        <v>289312</v>
      </c>
    </row>
    <row r="1802" spans="1:9" x14ac:dyDescent="0.3">
      <c r="A1802">
        <v>11801</v>
      </c>
      <c r="B1802" s="2">
        <v>45183</v>
      </c>
      <c r="C1802" t="s">
        <v>13</v>
      </c>
      <c r="D1802" t="s">
        <v>17</v>
      </c>
      <c r="E1802" t="s">
        <v>21</v>
      </c>
      <c r="F1802">
        <v>4</v>
      </c>
      <c r="G1802">
        <v>47503</v>
      </c>
      <c r="H1802">
        <v>190012</v>
      </c>
      <c r="I1802">
        <f t="shared" si="28"/>
        <v>190012</v>
      </c>
    </row>
    <row r="1803" spans="1:9" x14ac:dyDescent="0.3">
      <c r="A1803">
        <v>11802</v>
      </c>
      <c r="B1803" s="2">
        <v>45023</v>
      </c>
      <c r="C1803" t="s">
        <v>12</v>
      </c>
      <c r="D1803" t="s">
        <v>15</v>
      </c>
      <c r="E1803" t="s">
        <v>22</v>
      </c>
      <c r="F1803">
        <v>5</v>
      </c>
      <c r="G1803">
        <v>32010</v>
      </c>
      <c r="H1803">
        <v>160050</v>
      </c>
      <c r="I1803">
        <f t="shared" si="28"/>
        <v>160050</v>
      </c>
    </row>
    <row r="1804" spans="1:9" x14ac:dyDescent="0.3">
      <c r="A1804">
        <v>11803</v>
      </c>
      <c r="B1804" s="2">
        <v>45042</v>
      </c>
      <c r="C1804" t="s">
        <v>12</v>
      </c>
      <c r="D1804" t="s">
        <v>16</v>
      </c>
      <c r="E1804" t="s">
        <v>22</v>
      </c>
      <c r="F1804">
        <v>17</v>
      </c>
      <c r="G1804">
        <v>49541</v>
      </c>
      <c r="H1804">
        <v>842197</v>
      </c>
      <c r="I1804">
        <f t="shared" si="28"/>
        <v>842197</v>
      </c>
    </row>
    <row r="1805" spans="1:9" x14ac:dyDescent="0.3">
      <c r="A1805">
        <v>11804</v>
      </c>
      <c r="B1805" s="2">
        <v>45101</v>
      </c>
      <c r="C1805" t="s">
        <v>11</v>
      </c>
      <c r="D1805" t="s">
        <v>17</v>
      </c>
      <c r="E1805" t="s">
        <v>24</v>
      </c>
      <c r="F1805">
        <v>18</v>
      </c>
      <c r="G1805">
        <v>44619</v>
      </c>
      <c r="H1805">
        <v>803142</v>
      </c>
      <c r="I1805">
        <f t="shared" si="28"/>
        <v>803142</v>
      </c>
    </row>
    <row r="1806" spans="1:9" x14ac:dyDescent="0.3">
      <c r="A1806">
        <v>11805</v>
      </c>
      <c r="B1806" s="2">
        <v>45115</v>
      </c>
      <c r="C1806" t="s">
        <v>12</v>
      </c>
      <c r="D1806" t="s">
        <v>16</v>
      </c>
      <c r="E1806" t="s">
        <v>19</v>
      </c>
      <c r="F1806">
        <v>14</v>
      </c>
      <c r="G1806">
        <v>56228</v>
      </c>
      <c r="H1806">
        <v>787192</v>
      </c>
      <c r="I1806">
        <f t="shared" si="28"/>
        <v>787192</v>
      </c>
    </row>
    <row r="1807" spans="1:9" x14ac:dyDescent="0.3">
      <c r="A1807">
        <v>11806</v>
      </c>
      <c r="B1807" s="2">
        <v>45005</v>
      </c>
      <c r="C1807" t="s">
        <v>14</v>
      </c>
      <c r="D1807" t="s">
        <v>17</v>
      </c>
      <c r="E1807" t="s">
        <v>22</v>
      </c>
      <c r="F1807">
        <v>13</v>
      </c>
      <c r="G1807">
        <v>52877</v>
      </c>
      <c r="H1807">
        <v>687401</v>
      </c>
      <c r="I1807">
        <f t="shared" si="28"/>
        <v>687401</v>
      </c>
    </row>
    <row r="1808" spans="1:9" x14ac:dyDescent="0.3">
      <c r="A1808">
        <v>11807</v>
      </c>
      <c r="B1808" s="2">
        <v>45120</v>
      </c>
      <c r="C1808" t="s">
        <v>13</v>
      </c>
      <c r="D1808" t="s">
        <v>17</v>
      </c>
      <c r="E1808" t="s">
        <v>20</v>
      </c>
      <c r="F1808">
        <v>12</v>
      </c>
      <c r="G1808">
        <v>52608</v>
      </c>
      <c r="H1808">
        <v>631296</v>
      </c>
      <c r="I1808">
        <f t="shared" si="28"/>
        <v>631296</v>
      </c>
    </row>
    <row r="1809" spans="1:9" x14ac:dyDescent="0.3">
      <c r="A1809">
        <v>11808</v>
      </c>
      <c r="B1809" s="2">
        <v>45223</v>
      </c>
      <c r="C1809" t="s">
        <v>10</v>
      </c>
      <c r="D1809" t="s">
        <v>16</v>
      </c>
      <c r="E1809" t="s">
        <v>19</v>
      </c>
      <c r="F1809">
        <v>5</v>
      </c>
      <c r="G1809">
        <v>43635</v>
      </c>
      <c r="H1809">
        <v>218175</v>
      </c>
      <c r="I1809">
        <f t="shared" si="28"/>
        <v>218175</v>
      </c>
    </row>
    <row r="1810" spans="1:9" x14ac:dyDescent="0.3">
      <c r="A1810">
        <v>11809</v>
      </c>
      <c r="B1810" s="2">
        <v>45282</v>
      </c>
      <c r="C1810" t="s">
        <v>9</v>
      </c>
      <c r="D1810" t="s">
        <v>17</v>
      </c>
      <c r="E1810" t="s">
        <v>20</v>
      </c>
      <c r="F1810">
        <v>13</v>
      </c>
      <c r="G1810">
        <v>5693</v>
      </c>
      <c r="H1810">
        <v>74009</v>
      </c>
      <c r="I1810">
        <f t="shared" si="28"/>
        <v>74009</v>
      </c>
    </row>
    <row r="1811" spans="1:9" x14ac:dyDescent="0.3">
      <c r="A1811">
        <v>11810</v>
      </c>
      <c r="B1811" s="2">
        <v>45054</v>
      </c>
      <c r="C1811" t="s">
        <v>12</v>
      </c>
      <c r="D1811" t="s">
        <v>15</v>
      </c>
      <c r="E1811" t="s">
        <v>21</v>
      </c>
      <c r="F1811">
        <v>17</v>
      </c>
      <c r="G1811">
        <v>51225</v>
      </c>
      <c r="H1811">
        <v>870825</v>
      </c>
      <c r="I1811">
        <f t="shared" si="28"/>
        <v>870825</v>
      </c>
    </row>
    <row r="1812" spans="1:9" x14ac:dyDescent="0.3">
      <c r="A1812">
        <v>11811</v>
      </c>
      <c r="B1812" s="2">
        <v>45029</v>
      </c>
      <c r="C1812" t="s">
        <v>14</v>
      </c>
      <c r="D1812" t="s">
        <v>15</v>
      </c>
      <c r="E1812" t="s">
        <v>24</v>
      </c>
      <c r="F1812">
        <v>2</v>
      </c>
      <c r="G1812">
        <v>5705</v>
      </c>
      <c r="H1812">
        <v>11410</v>
      </c>
      <c r="I1812">
        <f t="shared" si="28"/>
        <v>11410</v>
      </c>
    </row>
    <row r="1813" spans="1:9" x14ac:dyDescent="0.3">
      <c r="A1813">
        <v>11812</v>
      </c>
      <c r="B1813" s="2">
        <v>45291</v>
      </c>
      <c r="C1813" t="s">
        <v>12</v>
      </c>
      <c r="D1813" t="s">
        <v>17</v>
      </c>
      <c r="E1813" t="s">
        <v>23</v>
      </c>
      <c r="F1813">
        <v>5</v>
      </c>
      <c r="G1813">
        <v>30261</v>
      </c>
      <c r="H1813">
        <v>151305</v>
      </c>
      <c r="I1813">
        <f t="shared" si="28"/>
        <v>151305</v>
      </c>
    </row>
    <row r="1814" spans="1:9" x14ac:dyDescent="0.3">
      <c r="A1814">
        <v>11813</v>
      </c>
      <c r="B1814" s="2">
        <v>45254</v>
      </c>
      <c r="C1814" t="s">
        <v>12</v>
      </c>
      <c r="D1814" t="s">
        <v>18</v>
      </c>
      <c r="E1814" t="s">
        <v>21</v>
      </c>
      <c r="F1814">
        <v>18</v>
      </c>
      <c r="G1814">
        <v>39337</v>
      </c>
      <c r="H1814">
        <v>708066</v>
      </c>
      <c r="I1814">
        <f t="shared" si="28"/>
        <v>708066</v>
      </c>
    </row>
    <row r="1815" spans="1:9" x14ac:dyDescent="0.3">
      <c r="A1815">
        <v>11814</v>
      </c>
      <c r="B1815" s="2">
        <v>44959</v>
      </c>
      <c r="C1815" t="s">
        <v>9</v>
      </c>
      <c r="D1815" t="s">
        <v>16</v>
      </c>
      <c r="E1815" t="s">
        <v>22</v>
      </c>
      <c r="F1815">
        <v>19</v>
      </c>
      <c r="G1815">
        <v>22732</v>
      </c>
      <c r="H1815">
        <v>431908</v>
      </c>
      <c r="I1815">
        <f t="shared" si="28"/>
        <v>431908</v>
      </c>
    </row>
    <row r="1816" spans="1:9" x14ac:dyDescent="0.3">
      <c r="A1816">
        <v>11815</v>
      </c>
      <c r="B1816" s="2">
        <v>45115</v>
      </c>
      <c r="C1816" t="s">
        <v>8</v>
      </c>
      <c r="D1816" t="s">
        <v>17</v>
      </c>
      <c r="E1816" t="s">
        <v>20</v>
      </c>
      <c r="F1816">
        <v>20</v>
      </c>
      <c r="G1816">
        <v>29841</v>
      </c>
      <c r="H1816">
        <v>596820</v>
      </c>
      <c r="I1816">
        <f t="shared" si="28"/>
        <v>596820</v>
      </c>
    </row>
    <row r="1817" spans="1:9" x14ac:dyDescent="0.3">
      <c r="A1817">
        <v>11816</v>
      </c>
      <c r="B1817" s="2">
        <v>45124</v>
      </c>
      <c r="C1817" t="s">
        <v>8</v>
      </c>
      <c r="D1817" t="s">
        <v>17</v>
      </c>
      <c r="E1817" t="s">
        <v>19</v>
      </c>
      <c r="F1817">
        <v>8</v>
      </c>
      <c r="G1817">
        <v>24792</v>
      </c>
      <c r="H1817">
        <v>198336</v>
      </c>
      <c r="I1817">
        <f t="shared" si="28"/>
        <v>198336</v>
      </c>
    </row>
    <row r="1818" spans="1:9" x14ac:dyDescent="0.3">
      <c r="A1818">
        <v>11817</v>
      </c>
      <c r="B1818" s="2">
        <v>45122</v>
      </c>
      <c r="C1818" t="s">
        <v>14</v>
      </c>
      <c r="D1818" t="s">
        <v>15</v>
      </c>
      <c r="E1818" t="s">
        <v>19</v>
      </c>
      <c r="F1818">
        <v>4</v>
      </c>
      <c r="G1818">
        <v>24952</v>
      </c>
      <c r="H1818">
        <v>99808</v>
      </c>
      <c r="I1818">
        <f t="shared" si="28"/>
        <v>99808</v>
      </c>
    </row>
    <row r="1819" spans="1:9" x14ac:dyDescent="0.3">
      <c r="A1819">
        <v>11818</v>
      </c>
      <c r="B1819" s="2">
        <v>45038</v>
      </c>
      <c r="C1819" t="s">
        <v>14</v>
      </c>
      <c r="D1819" t="s">
        <v>18</v>
      </c>
      <c r="E1819" t="s">
        <v>23</v>
      </c>
      <c r="F1819">
        <v>15</v>
      </c>
      <c r="G1819">
        <v>9803</v>
      </c>
      <c r="H1819">
        <v>147045</v>
      </c>
      <c r="I1819">
        <f t="shared" si="28"/>
        <v>147045</v>
      </c>
    </row>
    <row r="1820" spans="1:9" x14ac:dyDescent="0.3">
      <c r="A1820">
        <v>11819</v>
      </c>
      <c r="B1820" s="2">
        <v>45167</v>
      </c>
      <c r="C1820" t="s">
        <v>10</v>
      </c>
      <c r="D1820" t="s">
        <v>16</v>
      </c>
      <c r="E1820" t="s">
        <v>23</v>
      </c>
      <c r="F1820">
        <v>18</v>
      </c>
      <c r="G1820">
        <v>3079</v>
      </c>
      <c r="H1820">
        <v>55422</v>
      </c>
      <c r="I1820">
        <f t="shared" si="28"/>
        <v>55422</v>
      </c>
    </row>
    <row r="1821" spans="1:9" x14ac:dyDescent="0.3">
      <c r="A1821">
        <v>11820</v>
      </c>
      <c r="B1821" s="2">
        <v>45221</v>
      </c>
      <c r="C1821" t="s">
        <v>14</v>
      </c>
      <c r="D1821" t="s">
        <v>16</v>
      </c>
      <c r="E1821" t="s">
        <v>19</v>
      </c>
      <c r="F1821">
        <v>12</v>
      </c>
      <c r="G1821">
        <v>40187</v>
      </c>
      <c r="H1821">
        <v>482244</v>
      </c>
      <c r="I1821">
        <f t="shared" si="28"/>
        <v>482244</v>
      </c>
    </row>
    <row r="1822" spans="1:9" x14ac:dyDescent="0.3">
      <c r="A1822">
        <v>11821</v>
      </c>
      <c r="B1822" s="2">
        <v>45133</v>
      </c>
      <c r="C1822" t="s">
        <v>10</v>
      </c>
      <c r="D1822" t="s">
        <v>16</v>
      </c>
      <c r="E1822" t="s">
        <v>19</v>
      </c>
      <c r="F1822">
        <v>2</v>
      </c>
      <c r="G1822">
        <v>15379</v>
      </c>
      <c r="H1822">
        <v>30758</v>
      </c>
      <c r="I1822">
        <f t="shared" si="28"/>
        <v>30758</v>
      </c>
    </row>
    <row r="1823" spans="1:9" x14ac:dyDescent="0.3">
      <c r="A1823">
        <v>11822</v>
      </c>
      <c r="B1823" s="2">
        <v>44969</v>
      </c>
      <c r="C1823" t="s">
        <v>9</v>
      </c>
      <c r="D1823" t="s">
        <v>18</v>
      </c>
      <c r="E1823" t="s">
        <v>23</v>
      </c>
      <c r="F1823">
        <v>9</v>
      </c>
      <c r="G1823">
        <v>54178</v>
      </c>
      <c r="H1823">
        <v>487602</v>
      </c>
      <c r="I1823">
        <f t="shared" si="28"/>
        <v>487602</v>
      </c>
    </row>
    <row r="1824" spans="1:9" x14ac:dyDescent="0.3">
      <c r="A1824">
        <v>11823</v>
      </c>
      <c r="B1824" s="2">
        <v>45227</v>
      </c>
      <c r="C1824" t="s">
        <v>13</v>
      </c>
      <c r="D1824" t="s">
        <v>16</v>
      </c>
      <c r="E1824" t="s">
        <v>22</v>
      </c>
      <c r="F1824">
        <v>10</v>
      </c>
      <c r="G1824">
        <v>57306</v>
      </c>
      <c r="H1824">
        <v>573060</v>
      </c>
      <c r="I1824">
        <f t="shared" si="28"/>
        <v>573060</v>
      </c>
    </row>
    <row r="1825" spans="1:9" x14ac:dyDescent="0.3">
      <c r="A1825">
        <v>11824</v>
      </c>
      <c r="B1825" s="2">
        <v>45194</v>
      </c>
      <c r="C1825" t="s">
        <v>12</v>
      </c>
      <c r="D1825" t="s">
        <v>18</v>
      </c>
      <c r="E1825" t="s">
        <v>22</v>
      </c>
      <c r="F1825">
        <v>5</v>
      </c>
      <c r="G1825">
        <v>48448</v>
      </c>
      <c r="H1825">
        <v>242240</v>
      </c>
      <c r="I1825">
        <f t="shared" si="28"/>
        <v>242240</v>
      </c>
    </row>
    <row r="1826" spans="1:9" x14ac:dyDescent="0.3">
      <c r="A1826">
        <v>11825</v>
      </c>
      <c r="B1826" s="2">
        <v>44965</v>
      </c>
      <c r="C1826" t="s">
        <v>13</v>
      </c>
      <c r="D1826" t="s">
        <v>17</v>
      </c>
      <c r="E1826" t="s">
        <v>24</v>
      </c>
      <c r="F1826">
        <v>4</v>
      </c>
      <c r="G1826">
        <v>52029</v>
      </c>
      <c r="H1826">
        <v>208116</v>
      </c>
      <c r="I1826">
        <f t="shared" si="28"/>
        <v>208116</v>
      </c>
    </row>
    <row r="1827" spans="1:9" x14ac:dyDescent="0.3">
      <c r="A1827">
        <v>11826</v>
      </c>
      <c r="B1827" s="2">
        <v>45036</v>
      </c>
      <c r="C1827" t="s">
        <v>13</v>
      </c>
      <c r="D1827" t="s">
        <v>16</v>
      </c>
      <c r="E1827" t="s">
        <v>19</v>
      </c>
      <c r="F1827">
        <v>6</v>
      </c>
      <c r="G1827">
        <v>49864</v>
      </c>
      <c r="H1827">
        <v>299184</v>
      </c>
      <c r="I1827">
        <f t="shared" si="28"/>
        <v>299184</v>
      </c>
    </row>
    <row r="1828" spans="1:9" x14ac:dyDescent="0.3">
      <c r="A1828">
        <v>11827</v>
      </c>
      <c r="B1828" s="2">
        <v>45032</v>
      </c>
      <c r="C1828" t="s">
        <v>13</v>
      </c>
      <c r="D1828" t="s">
        <v>16</v>
      </c>
      <c r="E1828" t="s">
        <v>23</v>
      </c>
      <c r="F1828">
        <v>12</v>
      </c>
      <c r="G1828">
        <v>24542</v>
      </c>
      <c r="H1828">
        <v>294504</v>
      </c>
      <c r="I1828">
        <f t="shared" si="28"/>
        <v>294504</v>
      </c>
    </row>
    <row r="1829" spans="1:9" x14ac:dyDescent="0.3">
      <c r="A1829">
        <v>11828</v>
      </c>
      <c r="B1829" s="2">
        <v>45259</v>
      </c>
      <c r="C1829" t="s">
        <v>13</v>
      </c>
      <c r="D1829" t="s">
        <v>18</v>
      </c>
      <c r="E1829" t="s">
        <v>24</v>
      </c>
      <c r="F1829">
        <v>7</v>
      </c>
      <c r="G1829">
        <v>45140</v>
      </c>
      <c r="H1829">
        <v>315980</v>
      </c>
      <c r="I1829">
        <f t="shared" si="28"/>
        <v>315980</v>
      </c>
    </row>
    <row r="1830" spans="1:9" x14ac:dyDescent="0.3">
      <c r="A1830">
        <v>11829</v>
      </c>
      <c r="B1830" s="2">
        <v>44957</v>
      </c>
      <c r="C1830" t="s">
        <v>14</v>
      </c>
      <c r="D1830" t="s">
        <v>15</v>
      </c>
      <c r="E1830" t="s">
        <v>22</v>
      </c>
      <c r="F1830">
        <v>2</v>
      </c>
      <c r="G1830">
        <v>28298</v>
      </c>
      <c r="H1830">
        <v>56596</v>
      </c>
      <c r="I1830">
        <f t="shared" si="28"/>
        <v>56596</v>
      </c>
    </row>
    <row r="1831" spans="1:9" x14ac:dyDescent="0.3">
      <c r="A1831">
        <v>11830</v>
      </c>
      <c r="B1831" s="2">
        <v>45184</v>
      </c>
      <c r="C1831" t="s">
        <v>11</v>
      </c>
      <c r="D1831" t="s">
        <v>18</v>
      </c>
      <c r="E1831" t="s">
        <v>22</v>
      </c>
      <c r="F1831">
        <v>14</v>
      </c>
      <c r="G1831">
        <v>57269</v>
      </c>
      <c r="H1831">
        <v>801766</v>
      </c>
      <c r="I1831">
        <f t="shared" si="28"/>
        <v>801766</v>
      </c>
    </row>
    <row r="1832" spans="1:9" x14ac:dyDescent="0.3">
      <c r="A1832">
        <v>11831</v>
      </c>
      <c r="B1832" s="2">
        <v>45000</v>
      </c>
      <c r="C1832" t="s">
        <v>14</v>
      </c>
      <c r="D1832" t="s">
        <v>17</v>
      </c>
      <c r="E1832" t="s">
        <v>20</v>
      </c>
      <c r="F1832">
        <v>16</v>
      </c>
      <c r="G1832">
        <v>44077</v>
      </c>
      <c r="H1832">
        <v>705232</v>
      </c>
      <c r="I1832">
        <f t="shared" si="28"/>
        <v>705232</v>
      </c>
    </row>
    <row r="1833" spans="1:9" x14ac:dyDescent="0.3">
      <c r="A1833">
        <v>11832</v>
      </c>
      <c r="B1833" s="2">
        <v>44934</v>
      </c>
      <c r="C1833" t="s">
        <v>8</v>
      </c>
      <c r="D1833" t="s">
        <v>18</v>
      </c>
      <c r="E1833" t="s">
        <v>19</v>
      </c>
      <c r="F1833">
        <v>15</v>
      </c>
      <c r="G1833">
        <v>14049</v>
      </c>
      <c r="H1833">
        <v>210735</v>
      </c>
      <c r="I1833">
        <f t="shared" si="28"/>
        <v>210735</v>
      </c>
    </row>
    <row r="1834" spans="1:9" x14ac:dyDescent="0.3">
      <c r="A1834">
        <v>11833</v>
      </c>
      <c r="B1834" s="2">
        <v>45023</v>
      </c>
      <c r="C1834" t="s">
        <v>13</v>
      </c>
      <c r="D1834" t="s">
        <v>16</v>
      </c>
      <c r="E1834" t="s">
        <v>22</v>
      </c>
      <c r="F1834">
        <v>17</v>
      </c>
      <c r="G1834">
        <v>43296</v>
      </c>
      <c r="H1834">
        <v>736032</v>
      </c>
      <c r="I1834">
        <f t="shared" si="28"/>
        <v>736032</v>
      </c>
    </row>
    <row r="1835" spans="1:9" x14ac:dyDescent="0.3">
      <c r="A1835">
        <v>11834</v>
      </c>
      <c r="B1835" s="2">
        <v>45276</v>
      </c>
      <c r="C1835" t="s">
        <v>8</v>
      </c>
      <c r="D1835" t="s">
        <v>17</v>
      </c>
      <c r="E1835" t="s">
        <v>22</v>
      </c>
      <c r="F1835">
        <v>19</v>
      </c>
      <c r="G1835">
        <v>18480</v>
      </c>
      <c r="H1835">
        <v>351120</v>
      </c>
      <c r="I1835">
        <f t="shared" si="28"/>
        <v>351120</v>
      </c>
    </row>
    <row r="1836" spans="1:9" x14ac:dyDescent="0.3">
      <c r="A1836">
        <v>11835</v>
      </c>
      <c r="B1836" s="2">
        <v>45130</v>
      </c>
      <c r="C1836" t="s">
        <v>8</v>
      </c>
      <c r="D1836" t="s">
        <v>18</v>
      </c>
      <c r="E1836" t="s">
        <v>23</v>
      </c>
      <c r="F1836">
        <v>6</v>
      </c>
      <c r="G1836">
        <v>6892</v>
      </c>
      <c r="H1836">
        <v>41352</v>
      </c>
      <c r="I1836">
        <f t="shared" si="28"/>
        <v>41352</v>
      </c>
    </row>
    <row r="1837" spans="1:9" x14ac:dyDescent="0.3">
      <c r="A1837">
        <v>11836</v>
      </c>
      <c r="B1837" s="2">
        <v>45269</v>
      </c>
      <c r="C1837" t="s">
        <v>8</v>
      </c>
      <c r="D1837" t="s">
        <v>17</v>
      </c>
      <c r="E1837" t="s">
        <v>23</v>
      </c>
      <c r="F1837">
        <v>11</v>
      </c>
      <c r="G1837">
        <v>11504</v>
      </c>
      <c r="H1837">
        <v>126544</v>
      </c>
      <c r="I1837">
        <f t="shared" si="28"/>
        <v>126544</v>
      </c>
    </row>
    <row r="1838" spans="1:9" x14ac:dyDescent="0.3">
      <c r="A1838">
        <v>11837</v>
      </c>
      <c r="B1838" s="2">
        <v>44970</v>
      </c>
      <c r="C1838" t="s">
        <v>8</v>
      </c>
      <c r="D1838" t="s">
        <v>15</v>
      </c>
      <c r="E1838" t="s">
        <v>24</v>
      </c>
      <c r="F1838">
        <v>8</v>
      </c>
      <c r="G1838">
        <v>59337</v>
      </c>
      <c r="H1838">
        <v>474696</v>
      </c>
      <c r="I1838">
        <f t="shared" si="28"/>
        <v>474696</v>
      </c>
    </row>
    <row r="1839" spans="1:9" x14ac:dyDescent="0.3">
      <c r="A1839">
        <v>11838</v>
      </c>
      <c r="B1839" s="2">
        <v>45165</v>
      </c>
      <c r="C1839" t="s">
        <v>8</v>
      </c>
      <c r="D1839" t="s">
        <v>16</v>
      </c>
      <c r="E1839" t="s">
        <v>21</v>
      </c>
      <c r="F1839">
        <v>2</v>
      </c>
      <c r="G1839">
        <v>2636</v>
      </c>
      <c r="H1839">
        <v>5272</v>
      </c>
      <c r="I1839">
        <f t="shared" si="28"/>
        <v>5272</v>
      </c>
    </row>
    <row r="1840" spans="1:9" x14ac:dyDescent="0.3">
      <c r="A1840">
        <v>11839</v>
      </c>
      <c r="B1840" s="2">
        <v>44953</v>
      </c>
      <c r="C1840" t="s">
        <v>12</v>
      </c>
      <c r="D1840" t="s">
        <v>18</v>
      </c>
      <c r="E1840" t="s">
        <v>21</v>
      </c>
      <c r="F1840">
        <v>15</v>
      </c>
      <c r="G1840">
        <v>37251</v>
      </c>
      <c r="H1840">
        <v>558765</v>
      </c>
      <c r="I1840">
        <f t="shared" si="28"/>
        <v>558765</v>
      </c>
    </row>
    <row r="1841" spans="1:9" x14ac:dyDescent="0.3">
      <c r="A1841">
        <v>11840</v>
      </c>
      <c r="B1841" s="2">
        <v>45137</v>
      </c>
      <c r="C1841" t="s">
        <v>13</v>
      </c>
      <c r="D1841" t="s">
        <v>15</v>
      </c>
      <c r="E1841" t="s">
        <v>22</v>
      </c>
      <c r="F1841">
        <v>4</v>
      </c>
      <c r="G1841">
        <v>1045</v>
      </c>
      <c r="H1841">
        <v>4180</v>
      </c>
      <c r="I1841">
        <f t="shared" si="28"/>
        <v>4180</v>
      </c>
    </row>
    <row r="1842" spans="1:9" x14ac:dyDescent="0.3">
      <c r="A1842">
        <v>11841</v>
      </c>
      <c r="B1842" s="2">
        <v>45264</v>
      </c>
      <c r="C1842" t="s">
        <v>13</v>
      </c>
      <c r="D1842" t="s">
        <v>17</v>
      </c>
      <c r="E1842" t="s">
        <v>19</v>
      </c>
      <c r="F1842">
        <v>20</v>
      </c>
      <c r="G1842">
        <v>32631</v>
      </c>
      <c r="H1842">
        <v>652620</v>
      </c>
      <c r="I1842">
        <f t="shared" si="28"/>
        <v>652620</v>
      </c>
    </row>
    <row r="1843" spans="1:9" x14ac:dyDescent="0.3">
      <c r="A1843">
        <v>11842</v>
      </c>
      <c r="B1843" s="2">
        <v>44983</v>
      </c>
      <c r="C1843" t="s">
        <v>10</v>
      </c>
      <c r="D1843" t="s">
        <v>15</v>
      </c>
      <c r="E1843" t="s">
        <v>21</v>
      </c>
      <c r="F1843">
        <v>9</v>
      </c>
      <c r="G1843">
        <v>30383</v>
      </c>
      <c r="H1843">
        <v>273447</v>
      </c>
      <c r="I1843">
        <f t="shared" si="28"/>
        <v>273447</v>
      </c>
    </row>
    <row r="1844" spans="1:9" x14ac:dyDescent="0.3">
      <c r="A1844">
        <v>11843</v>
      </c>
      <c r="B1844" s="2">
        <v>45203</v>
      </c>
      <c r="C1844" t="s">
        <v>9</v>
      </c>
      <c r="D1844" t="s">
        <v>15</v>
      </c>
      <c r="E1844" t="s">
        <v>22</v>
      </c>
      <c r="F1844">
        <v>13</v>
      </c>
      <c r="G1844">
        <v>4806</v>
      </c>
      <c r="H1844">
        <v>62478</v>
      </c>
      <c r="I1844">
        <f t="shared" si="28"/>
        <v>62478</v>
      </c>
    </row>
    <row r="1845" spans="1:9" x14ac:dyDescent="0.3">
      <c r="A1845">
        <v>11844</v>
      </c>
      <c r="B1845" s="2">
        <v>45074</v>
      </c>
      <c r="C1845" t="s">
        <v>12</v>
      </c>
      <c r="D1845" t="s">
        <v>15</v>
      </c>
      <c r="E1845" t="s">
        <v>23</v>
      </c>
      <c r="F1845">
        <v>3</v>
      </c>
      <c r="G1845">
        <v>59400</v>
      </c>
      <c r="H1845">
        <v>178200</v>
      </c>
      <c r="I1845">
        <f t="shared" si="28"/>
        <v>178200</v>
      </c>
    </row>
    <row r="1846" spans="1:9" x14ac:dyDescent="0.3">
      <c r="A1846">
        <v>11845</v>
      </c>
      <c r="B1846" s="2">
        <v>44990</v>
      </c>
      <c r="C1846" t="s">
        <v>8</v>
      </c>
      <c r="D1846" t="s">
        <v>17</v>
      </c>
      <c r="E1846" t="s">
        <v>20</v>
      </c>
      <c r="F1846">
        <v>4</v>
      </c>
      <c r="G1846">
        <v>59483</v>
      </c>
      <c r="H1846">
        <v>237932</v>
      </c>
      <c r="I1846">
        <f t="shared" si="28"/>
        <v>237932</v>
      </c>
    </row>
    <row r="1847" spans="1:9" x14ac:dyDescent="0.3">
      <c r="A1847">
        <v>11846</v>
      </c>
      <c r="B1847" s="2">
        <v>45291</v>
      </c>
      <c r="C1847" t="s">
        <v>12</v>
      </c>
      <c r="D1847" t="s">
        <v>16</v>
      </c>
      <c r="E1847" t="s">
        <v>20</v>
      </c>
      <c r="F1847">
        <v>5</v>
      </c>
      <c r="G1847">
        <v>11986</v>
      </c>
      <c r="H1847">
        <v>59930</v>
      </c>
      <c r="I1847">
        <f t="shared" si="28"/>
        <v>59930</v>
      </c>
    </row>
    <row r="1848" spans="1:9" x14ac:dyDescent="0.3">
      <c r="A1848">
        <v>11847</v>
      </c>
      <c r="B1848" s="2">
        <v>45143</v>
      </c>
      <c r="C1848" t="s">
        <v>9</v>
      </c>
      <c r="D1848" t="s">
        <v>18</v>
      </c>
      <c r="E1848" t="s">
        <v>20</v>
      </c>
      <c r="F1848">
        <v>10</v>
      </c>
      <c r="G1848">
        <v>26638</v>
      </c>
      <c r="H1848">
        <v>266380</v>
      </c>
      <c r="I1848">
        <f t="shared" si="28"/>
        <v>266380</v>
      </c>
    </row>
    <row r="1849" spans="1:9" x14ac:dyDescent="0.3">
      <c r="A1849">
        <v>11848</v>
      </c>
      <c r="B1849" s="2">
        <v>45121</v>
      </c>
      <c r="C1849" t="s">
        <v>8</v>
      </c>
      <c r="D1849" t="s">
        <v>16</v>
      </c>
      <c r="E1849" t="s">
        <v>20</v>
      </c>
      <c r="F1849">
        <v>10</v>
      </c>
      <c r="G1849">
        <v>7461</v>
      </c>
      <c r="H1849">
        <v>74610</v>
      </c>
      <c r="I1849">
        <f t="shared" si="28"/>
        <v>74610</v>
      </c>
    </row>
    <row r="1850" spans="1:9" x14ac:dyDescent="0.3">
      <c r="A1850">
        <v>11849</v>
      </c>
      <c r="B1850" s="2">
        <v>45097</v>
      </c>
      <c r="C1850" t="s">
        <v>8</v>
      </c>
      <c r="D1850" t="s">
        <v>15</v>
      </c>
      <c r="E1850" t="s">
        <v>22</v>
      </c>
      <c r="F1850">
        <v>5</v>
      </c>
      <c r="G1850">
        <v>42997</v>
      </c>
      <c r="H1850">
        <v>214985</v>
      </c>
      <c r="I1850">
        <f t="shared" si="28"/>
        <v>214985</v>
      </c>
    </row>
    <row r="1851" spans="1:9" x14ac:dyDescent="0.3">
      <c r="A1851">
        <v>11850</v>
      </c>
      <c r="B1851" s="2">
        <v>45132</v>
      </c>
      <c r="C1851" t="s">
        <v>11</v>
      </c>
      <c r="D1851" t="s">
        <v>16</v>
      </c>
      <c r="E1851" t="s">
        <v>24</v>
      </c>
      <c r="F1851">
        <v>15</v>
      </c>
      <c r="G1851">
        <v>22364</v>
      </c>
      <c r="H1851">
        <v>335460</v>
      </c>
      <c r="I1851">
        <f t="shared" si="28"/>
        <v>335460</v>
      </c>
    </row>
    <row r="1852" spans="1:9" x14ac:dyDescent="0.3">
      <c r="A1852">
        <v>11851</v>
      </c>
      <c r="B1852" s="2">
        <v>45003</v>
      </c>
      <c r="C1852" t="s">
        <v>9</v>
      </c>
      <c r="D1852" t="s">
        <v>16</v>
      </c>
      <c r="E1852" t="s">
        <v>24</v>
      </c>
      <c r="F1852">
        <v>13</v>
      </c>
      <c r="G1852">
        <v>59141</v>
      </c>
      <c r="H1852">
        <v>768833</v>
      </c>
      <c r="I1852">
        <f t="shared" si="28"/>
        <v>768833</v>
      </c>
    </row>
    <row r="1853" spans="1:9" x14ac:dyDescent="0.3">
      <c r="A1853">
        <v>11852</v>
      </c>
      <c r="B1853" s="2">
        <v>45047</v>
      </c>
      <c r="C1853" t="s">
        <v>9</v>
      </c>
      <c r="D1853" t="s">
        <v>17</v>
      </c>
      <c r="E1853" t="s">
        <v>22</v>
      </c>
      <c r="F1853">
        <v>20</v>
      </c>
      <c r="G1853">
        <v>51907</v>
      </c>
      <c r="H1853">
        <v>1038140</v>
      </c>
      <c r="I1853">
        <f t="shared" si="28"/>
        <v>1038140</v>
      </c>
    </row>
    <row r="1854" spans="1:9" x14ac:dyDescent="0.3">
      <c r="A1854">
        <v>11853</v>
      </c>
      <c r="B1854" s="2">
        <v>45159</v>
      </c>
      <c r="C1854" t="s">
        <v>11</v>
      </c>
      <c r="D1854" t="s">
        <v>18</v>
      </c>
      <c r="E1854" t="s">
        <v>24</v>
      </c>
      <c r="F1854">
        <v>18</v>
      </c>
      <c r="G1854">
        <v>11262</v>
      </c>
      <c r="H1854">
        <v>202716</v>
      </c>
      <c r="I1854">
        <f t="shared" si="28"/>
        <v>202716</v>
      </c>
    </row>
    <row r="1855" spans="1:9" x14ac:dyDescent="0.3">
      <c r="A1855">
        <v>11854</v>
      </c>
      <c r="B1855" s="2">
        <v>45161</v>
      </c>
      <c r="C1855" t="s">
        <v>11</v>
      </c>
      <c r="D1855" t="s">
        <v>16</v>
      </c>
      <c r="E1855" t="s">
        <v>22</v>
      </c>
      <c r="F1855">
        <v>3</v>
      </c>
      <c r="G1855">
        <v>10670</v>
      </c>
      <c r="H1855">
        <v>32010</v>
      </c>
      <c r="I1855">
        <f t="shared" si="28"/>
        <v>32010</v>
      </c>
    </row>
    <row r="1856" spans="1:9" x14ac:dyDescent="0.3">
      <c r="A1856">
        <v>11855</v>
      </c>
      <c r="B1856" s="2">
        <v>44971</v>
      </c>
      <c r="C1856" t="s">
        <v>11</v>
      </c>
      <c r="D1856" t="s">
        <v>16</v>
      </c>
      <c r="E1856" t="s">
        <v>20</v>
      </c>
      <c r="F1856">
        <v>12</v>
      </c>
      <c r="G1856">
        <v>44045</v>
      </c>
      <c r="H1856">
        <v>528540</v>
      </c>
      <c r="I1856">
        <f t="shared" si="28"/>
        <v>528540</v>
      </c>
    </row>
    <row r="1857" spans="1:9" x14ac:dyDescent="0.3">
      <c r="A1857">
        <v>11856</v>
      </c>
      <c r="B1857" s="2">
        <v>45283</v>
      </c>
      <c r="C1857" t="s">
        <v>12</v>
      </c>
      <c r="D1857" t="s">
        <v>15</v>
      </c>
      <c r="E1857" t="s">
        <v>20</v>
      </c>
      <c r="F1857">
        <v>20</v>
      </c>
      <c r="G1857">
        <v>36078</v>
      </c>
      <c r="H1857">
        <v>721560</v>
      </c>
      <c r="I1857">
        <f t="shared" si="28"/>
        <v>721560</v>
      </c>
    </row>
    <row r="1858" spans="1:9" x14ac:dyDescent="0.3">
      <c r="A1858">
        <v>11857</v>
      </c>
      <c r="B1858" s="2">
        <v>45215</v>
      </c>
      <c r="C1858" t="s">
        <v>13</v>
      </c>
      <c r="D1858" t="s">
        <v>15</v>
      </c>
      <c r="E1858" t="s">
        <v>22</v>
      </c>
      <c r="F1858">
        <v>15</v>
      </c>
      <c r="G1858">
        <v>25668</v>
      </c>
      <c r="H1858">
        <v>385020</v>
      </c>
      <c r="I1858">
        <f t="shared" si="28"/>
        <v>385020</v>
      </c>
    </row>
    <row r="1859" spans="1:9" x14ac:dyDescent="0.3">
      <c r="A1859">
        <v>11858</v>
      </c>
      <c r="B1859" s="2">
        <v>45063</v>
      </c>
      <c r="C1859" t="s">
        <v>13</v>
      </c>
      <c r="D1859" t="s">
        <v>15</v>
      </c>
      <c r="E1859" t="s">
        <v>21</v>
      </c>
      <c r="F1859">
        <v>15</v>
      </c>
      <c r="G1859">
        <v>24687</v>
      </c>
      <c r="H1859">
        <v>370305</v>
      </c>
      <c r="I1859">
        <f t="shared" ref="I1859:I1922" si="29">G1859*F1859</f>
        <v>370305</v>
      </c>
    </row>
    <row r="1860" spans="1:9" x14ac:dyDescent="0.3">
      <c r="A1860">
        <v>11859</v>
      </c>
      <c r="B1860" s="2">
        <v>45183</v>
      </c>
      <c r="C1860" t="s">
        <v>13</v>
      </c>
      <c r="D1860" t="s">
        <v>15</v>
      </c>
      <c r="E1860" t="s">
        <v>23</v>
      </c>
      <c r="F1860">
        <v>11</v>
      </c>
      <c r="G1860">
        <v>19475</v>
      </c>
      <c r="H1860">
        <v>214225</v>
      </c>
      <c r="I1860">
        <f t="shared" si="29"/>
        <v>214225</v>
      </c>
    </row>
    <row r="1861" spans="1:9" x14ac:dyDescent="0.3">
      <c r="A1861">
        <v>11860</v>
      </c>
      <c r="B1861" s="2">
        <v>44989</v>
      </c>
      <c r="C1861" t="s">
        <v>14</v>
      </c>
      <c r="D1861" t="s">
        <v>16</v>
      </c>
      <c r="E1861" t="s">
        <v>19</v>
      </c>
      <c r="F1861">
        <v>6</v>
      </c>
      <c r="G1861">
        <v>23303</v>
      </c>
      <c r="H1861">
        <v>139818</v>
      </c>
      <c r="I1861">
        <f t="shared" si="29"/>
        <v>139818</v>
      </c>
    </row>
    <row r="1862" spans="1:9" x14ac:dyDescent="0.3">
      <c r="A1862">
        <v>11861</v>
      </c>
      <c r="B1862" s="2">
        <v>45195</v>
      </c>
      <c r="C1862" t="s">
        <v>11</v>
      </c>
      <c r="D1862" t="s">
        <v>17</v>
      </c>
      <c r="E1862" t="s">
        <v>20</v>
      </c>
      <c r="F1862">
        <v>10</v>
      </c>
      <c r="G1862">
        <v>36754</v>
      </c>
      <c r="H1862">
        <v>367540</v>
      </c>
      <c r="I1862">
        <f t="shared" si="29"/>
        <v>367540</v>
      </c>
    </row>
    <row r="1863" spans="1:9" x14ac:dyDescent="0.3">
      <c r="A1863">
        <v>11862</v>
      </c>
      <c r="B1863" s="2">
        <v>45270</v>
      </c>
      <c r="C1863" t="s">
        <v>14</v>
      </c>
      <c r="D1863" t="s">
        <v>18</v>
      </c>
      <c r="E1863" t="s">
        <v>21</v>
      </c>
      <c r="F1863">
        <v>14</v>
      </c>
      <c r="G1863">
        <v>43822</v>
      </c>
      <c r="H1863">
        <v>613508</v>
      </c>
      <c r="I1863">
        <f t="shared" si="29"/>
        <v>613508</v>
      </c>
    </row>
    <row r="1864" spans="1:9" x14ac:dyDescent="0.3">
      <c r="A1864">
        <v>11863</v>
      </c>
      <c r="B1864" s="2">
        <v>45137</v>
      </c>
      <c r="C1864" t="s">
        <v>11</v>
      </c>
      <c r="D1864" t="s">
        <v>16</v>
      </c>
      <c r="E1864" t="s">
        <v>20</v>
      </c>
      <c r="F1864">
        <v>1</v>
      </c>
      <c r="G1864">
        <v>1555</v>
      </c>
      <c r="H1864">
        <v>1555</v>
      </c>
      <c r="I1864">
        <f t="shared" si="29"/>
        <v>1555</v>
      </c>
    </row>
    <row r="1865" spans="1:9" x14ac:dyDescent="0.3">
      <c r="A1865">
        <v>11864</v>
      </c>
      <c r="B1865" s="2">
        <v>45257</v>
      </c>
      <c r="C1865" t="s">
        <v>8</v>
      </c>
      <c r="D1865" t="s">
        <v>17</v>
      </c>
      <c r="E1865" t="s">
        <v>19</v>
      </c>
      <c r="F1865">
        <v>9</v>
      </c>
      <c r="G1865">
        <v>48224</v>
      </c>
      <c r="H1865">
        <v>434016</v>
      </c>
      <c r="I1865">
        <f t="shared" si="29"/>
        <v>434016</v>
      </c>
    </row>
    <row r="1866" spans="1:9" x14ac:dyDescent="0.3">
      <c r="A1866">
        <v>11865</v>
      </c>
      <c r="B1866" s="2">
        <v>45150</v>
      </c>
      <c r="C1866" t="s">
        <v>13</v>
      </c>
      <c r="D1866" t="s">
        <v>17</v>
      </c>
      <c r="E1866" t="s">
        <v>24</v>
      </c>
      <c r="F1866">
        <v>16</v>
      </c>
      <c r="G1866">
        <v>39240</v>
      </c>
      <c r="H1866">
        <v>627840</v>
      </c>
      <c r="I1866">
        <f t="shared" si="29"/>
        <v>627840</v>
      </c>
    </row>
    <row r="1867" spans="1:9" x14ac:dyDescent="0.3">
      <c r="A1867">
        <v>11866</v>
      </c>
      <c r="B1867" s="2">
        <v>44939</v>
      </c>
      <c r="C1867" t="s">
        <v>10</v>
      </c>
      <c r="D1867" t="s">
        <v>18</v>
      </c>
      <c r="E1867" t="s">
        <v>20</v>
      </c>
      <c r="F1867">
        <v>3</v>
      </c>
      <c r="G1867">
        <v>5511</v>
      </c>
      <c r="H1867">
        <v>16533</v>
      </c>
      <c r="I1867">
        <f t="shared" si="29"/>
        <v>16533</v>
      </c>
    </row>
    <row r="1868" spans="1:9" x14ac:dyDescent="0.3">
      <c r="A1868">
        <v>11867</v>
      </c>
      <c r="B1868" s="2">
        <v>45275</v>
      </c>
      <c r="C1868" t="s">
        <v>9</v>
      </c>
      <c r="D1868" t="s">
        <v>15</v>
      </c>
      <c r="E1868" t="s">
        <v>20</v>
      </c>
      <c r="F1868">
        <v>2</v>
      </c>
      <c r="G1868">
        <v>55686</v>
      </c>
      <c r="H1868">
        <v>111372</v>
      </c>
      <c r="I1868">
        <f t="shared" si="29"/>
        <v>111372</v>
      </c>
    </row>
    <row r="1869" spans="1:9" x14ac:dyDescent="0.3">
      <c r="A1869">
        <v>11868</v>
      </c>
      <c r="B1869" s="2">
        <v>45257</v>
      </c>
      <c r="C1869" t="s">
        <v>12</v>
      </c>
      <c r="D1869" t="s">
        <v>17</v>
      </c>
      <c r="E1869" t="s">
        <v>21</v>
      </c>
      <c r="F1869">
        <v>9</v>
      </c>
      <c r="G1869">
        <v>52357</v>
      </c>
      <c r="H1869">
        <v>471213</v>
      </c>
      <c r="I1869">
        <f t="shared" si="29"/>
        <v>471213</v>
      </c>
    </row>
    <row r="1870" spans="1:9" x14ac:dyDescent="0.3">
      <c r="A1870">
        <v>11869</v>
      </c>
      <c r="B1870" s="2">
        <v>45028</v>
      </c>
      <c r="C1870" t="s">
        <v>11</v>
      </c>
      <c r="D1870" t="s">
        <v>15</v>
      </c>
      <c r="E1870" t="s">
        <v>19</v>
      </c>
      <c r="F1870">
        <v>15</v>
      </c>
      <c r="G1870">
        <v>43167</v>
      </c>
      <c r="H1870">
        <v>647505</v>
      </c>
      <c r="I1870">
        <f t="shared" si="29"/>
        <v>647505</v>
      </c>
    </row>
    <row r="1871" spans="1:9" x14ac:dyDescent="0.3">
      <c r="A1871">
        <v>11870</v>
      </c>
      <c r="B1871" s="2">
        <v>45020</v>
      </c>
      <c r="C1871" t="s">
        <v>12</v>
      </c>
      <c r="D1871" t="s">
        <v>16</v>
      </c>
      <c r="E1871" t="s">
        <v>23</v>
      </c>
      <c r="F1871">
        <v>13</v>
      </c>
      <c r="G1871">
        <v>38662</v>
      </c>
      <c r="H1871">
        <v>502606</v>
      </c>
      <c r="I1871">
        <f t="shared" si="29"/>
        <v>502606</v>
      </c>
    </row>
    <row r="1872" spans="1:9" x14ac:dyDescent="0.3">
      <c r="A1872">
        <v>11871</v>
      </c>
      <c r="B1872" s="2">
        <v>45136</v>
      </c>
      <c r="C1872" t="s">
        <v>8</v>
      </c>
      <c r="D1872" t="s">
        <v>18</v>
      </c>
      <c r="E1872" t="s">
        <v>20</v>
      </c>
      <c r="F1872">
        <v>20</v>
      </c>
      <c r="G1872">
        <v>59850</v>
      </c>
      <c r="H1872">
        <v>1197000</v>
      </c>
      <c r="I1872">
        <f t="shared" si="29"/>
        <v>1197000</v>
      </c>
    </row>
    <row r="1873" spans="1:9" x14ac:dyDescent="0.3">
      <c r="A1873">
        <v>11872</v>
      </c>
      <c r="B1873" s="2">
        <v>44993</v>
      </c>
      <c r="C1873" t="s">
        <v>8</v>
      </c>
      <c r="D1873" t="s">
        <v>15</v>
      </c>
      <c r="E1873" t="s">
        <v>22</v>
      </c>
      <c r="F1873">
        <v>19</v>
      </c>
      <c r="G1873">
        <v>50007</v>
      </c>
      <c r="H1873">
        <v>950133</v>
      </c>
      <c r="I1873">
        <f t="shared" si="29"/>
        <v>950133</v>
      </c>
    </row>
    <row r="1874" spans="1:9" x14ac:dyDescent="0.3">
      <c r="A1874">
        <v>11873</v>
      </c>
      <c r="B1874" s="2">
        <v>44953</v>
      </c>
      <c r="C1874" t="s">
        <v>9</v>
      </c>
      <c r="D1874" t="s">
        <v>17</v>
      </c>
      <c r="E1874" t="s">
        <v>20</v>
      </c>
      <c r="F1874">
        <v>13</v>
      </c>
      <c r="G1874">
        <v>29566</v>
      </c>
      <c r="H1874">
        <v>384358</v>
      </c>
      <c r="I1874">
        <f t="shared" si="29"/>
        <v>384358</v>
      </c>
    </row>
    <row r="1875" spans="1:9" x14ac:dyDescent="0.3">
      <c r="A1875">
        <v>11874</v>
      </c>
      <c r="B1875" s="2">
        <v>45151</v>
      </c>
      <c r="C1875" t="s">
        <v>12</v>
      </c>
      <c r="D1875" t="s">
        <v>16</v>
      </c>
      <c r="E1875" t="s">
        <v>22</v>
      </c>
      <c r="F1875">
        <v>11</v>
      </c>
      <c r="G1875">
        <v>27327</v>
      </c>
      <c r="H1875">
        <v>300597</v>
      </c>
      <c r="I1875">
        <f t="shared" si="29"/>
        <v>300597</v>
      </c>
    </row>
    <row r="1876" spans="1:9" x14ac:dyDescent="0.3">
      <c r="A1876">
        <v>11875</v>
      </c>
      <c r="B1876" s="2">
        <v>45092</v>
      </c>
      <c r="C1876" t="s">
        <v>9</v>
      </c>
      <c r="D1876" t="s">
        <v>17</v>
      </c>
      <c r="E1876" t="s">
        <v>23</v>
      </c>
      <c r="F1876">
        <v>1</v>
      </c>
      <c r="G1876">
        <v>46324</v>
      </c>
      <c r="H1876">
        <v>46324</v>
      </c>
      <c r="I1876">
        <f t="shared" si="29"/>
        <v>46324</v>
      </c>
    </row>
    <row r="1877" spans="1:9" x14ac:dyDescent="0.3">
      <c r="A1877">
        <v>11876</v>
      </c>
      <c r="B1877" s="2">
        <v>45127</v>
      </c>
      <c r="C1877" t="s">
        <v>13</v>
      </c>
      <c r="D1877" t="s">
        <v>18</v>
      </c>
      <c r="E1877" t="s">
        <v>22</v>
      </c>
      <c r="F1877">
        <v>15</v>
      </c>
      <c r="G1877">
        <v>24627</v>
      </c>
      <c r="H1877">
        <v>369405</v>
      </c>
      <c r="I1877">
        <f t="shared" si="29"/>
        <v>369405</v>
      </c>
    </row>
    <row r="1878" spans="1:9" x14ac:dyDescent="0.3">
      <c r="A1878">
        <v>11877</v>
      </c>
      <c r="B1878" s="2">
        <v>45223</v>
      </c>
      <c r="C1878" t="s">
        <v>14</v>
      </c>
      <c r="D1878" t="s">
        <v>16</v>
      </c>
      <c r="E1878" t="s">
        <v>23</v>
      </c>
      <c r="F1878">
        <v>10</v>
      </c>
      <c r="G1878">
        <v>10731</v>
      </c>
      <c r="H1878">
        <v>107310</v>
      </c>
      <c r="I1878">
        <f t="shared" si="29"/>
        <v>107310</v>
      </c>
    </row>
    <row r="1879" spans="1:9" x14ac:dyDescent="0.3">
      <c r="A1879">
        <v>11878</v>
      </c>
      <c r="B1879" s="2">
        <v>45251</v>
      </c>
      <c r="C1879" t="s">
        <v>12</v>
      </c>
      <c r="D1879" t="s">
        <v>17</v>
      </c>
      <c r="E1879" t="s">
        <v>19</v>
      </c>
      <c r="F1879">
        <v>6</v>
      </c>
      <c r="G1879">
        <v>28775</v>
      </c>
      <c r="H1879">
        <v>172650</v>
      </c>
      <c r="I1879">
        <f t="shared" si="29"/>
        <v>172650</v>
      </c>
    </row>
    <row r="1880" spans="1:9" x14ac:dyDescent="0.3">
      <c r="A1880">
        <v>11879</v>
      </c>
      <c r="B1880" s="2">
        <v>45032</v>
      </c>
      <c r="C1880" t="s">
        <v>10</v>
      </c>
      <c r="D1880" t="s">
        <v>17</v>
      </c>
      <c r="E1880" t="s">
        <v>22</v>
      </c>
      <c r="F1880">
        <v>20</v>
      </c>
      <c r="G1880">
        <v>32343</v>
      </c>
      <c r="H1880">
        <v>646860</v>
      </c>
      <c r="I1880">
        <f t="shared" si="29"/>
        <v>646860</v>
      </c>
    </row>
    <row r="1881" spans="1:9" x14ac:dyDescent="0.3">
      <c r="A1881">
        <v>11880</v>
      </c>
      <c r="B1881" s="2">
        <v>45153</v>
      </c>
      <c r="C1881" t="s">
        <v>13</v>
      </c>
      <c r="D1881" t="s">
        <v>18</v>
      </c>
      <c r="E1881" t="s">
        <v>24</v>
      </c>
      <c r="F1881">
        <v>15</v>
      </c>
      <c r="G1881">
        <v>5751</v>
      </c>
      <c r="H1881">
        <v>86265</v>
      </c>
      <c r="I1881">
        <f t="shared" si="29"/>
        <v>86265</v>
      </c>
    </row>
    <row r="1882" spans="1:9" x14ac:dyDescent="0.3">
      <c r="A1882">
        <v>11881</v>
      </c>
      <c r="B1882" s="2">
        <v>45083</v>
      </c>
      <c r="C1882" t="s">
        <v>10</v>
      </c>
      <c r="D1882" t="s">
        <v>15</v>
      </c>
      <c r="E1882" t="s">
        <v>19</v>
      </c>
      <c r="F1882">
        <v>2</v>
      </c>
      <c r="G1882">
        <v>51826</v>
      </c>
      <c r="H1882">
        <v>103652</v>
      </c>
      <c r="I1882">
        <f t="shared" si="29"/>
        <v>103652</v>
      </c>
    </row>
    <row r="1883" spans="1:9" x14ac:dyDescent="0.3">
      <c r="A1883">
        <v>11882</v>
      </c>
      <c r="B1883" s="2">
        <v>45074</v>
      </c>
      <c r="C1883" t="s">
        <v>12</v>
      </c>
      <c r="D1883" t="s">
        <v>15</v>
      </c>
      <c r="E1883" t="s">
        <v>24</v>
      </c>
      <c r="F1883">
        <v>19</v>
      </c>
      <c r="G1883">
        <v>43186</v>
      </c>
      <c r="H1883">
        <v>820534</v>
      </c>
      <c r="I1883">
        <f t="shared" si="29"/>
        <v>820534</v>
      </c>
    </row>
    <row r="1884" spans="1:9" x14ac:dyDescent="0.3">
      <c r="A1884">
        <v>11883</v>
      </c>
      <c r="B1884" s="2">
        <v>45066</v>
      </c>
      <c r="C1884" t="s">
        <v>11</v>
      </c>
      <c r="D1884" t="s">
        <v>16</v>
      </c>
      <c r="E1884" t="s">
        <v>19</v>
      </c>
      <c r="F1884">
        <v>5</v>
      </c>
      <c r="G1884">
        <v>29118</v>
      </c>
      <c r="H1884">
        <v>145590</v>
      </c>
      <c r="I1884">
        <f t="shared" si="29"/>
        <v>145590</v>
      </c>
    </row>
    <row r="1885" spans="1:9" x14ac:dyDescent="0.3">
      <c r="A1885">
        <v>11884</v>
      </c>
      <c r="B1885" s="2">
        <v>45156</v>
      </c>
      <c r="C1885" t="s">
        <v>8</v>
      </c>
      <c r="D1885" t="s">
        <v>16</v>
      </c>
      <c r="E1885" t="s">
        <v>24</v>
      </c>
      <c r="F1885">
        <v>18</v>
      </c>
      <c r="G1885">
        <v>56832</v>
      </c>
      <c r="H1885">
        <v>1022976</v>
      </c>
      <c r="I1885">
        <f t="shared" si="29"/>
        <v>1022976</v>
      </c>
    </row>
    <row r="1886" spans="1:9" x14ac:dyDescent="0.3">
      <c r="A1886">
        <v>11885</v>
      </c>
      <c r="B1886" s="2">
        <v>45079</v>
      </c>
      <c r="C1886" t="s">
        <v>12</v>
      </c>
      <c r="D1886" t="s">
        <v>18</v>
      </c>
      <c r="E1886" t="s">
        <v>22</v>
      </c>
      <c r="F1886">
        <v>11</v>
      </c>
      <c r="G1886">
        <v>52764</v>
      </c>
      <c r="H1886">
        <v>580404</v>
      </c>
      <c r="I1886">
        <f t="shared" si="29"/>
        <v>580404</v>
      </c>
    </row>
    <row r="1887" spans="1:9" x14ac:dyDescent="0.3">
      <c r="A1887">
        <v>11886</v>
      </c>
      <c r="B1887" s="2">
        <v>45200</v>
      </c>
      <c r="C1887" t="s">
        <v>11</v>
      </c>
      <c r="D1887" t="s">
        <v>17</v>
      </c>
      <c r="E1887" t="s">
        <v>22</v>
      </c>
      <c r="F1887">
        <v>19</v>
      </c>
      <c r="G1887">
        <v>5200</v>
      </c>
      <c r="H1887">
        <v>98800</v>
      </c>
      <c r="I1887">
        <f t="shared" si="29"/>
        <v>98800</v>
      </c>
    </row>
    <row r="1888" spans="1:9" x14ac:dyDescent="0.3">
      <c r="A1888">
        <v>11887</v>
      </c>
      <c r="B1888" s="2">
        <v>45207</v>
      </c>
      <c r="C1888" t="s">
        <v>8</v>
      </c>
      <c r="D1888" t="s">
        <v>16</v>
      </c>
      <c r="E1888" t="s">
        <v>20</v>
      </c>
      <c r="F1888">
        <v>9</v>
      </c>
      <c r="G1888">
        <v>16583</v>
      </c>
      <c r="H1888">
        <v>149247</v>
      </c>
      <c r="I1888">
        <f t="shared" si="29"/>
        <v>149247</v>
      </c>
    </row>
    <row r="1889" spans="1:9" x14ac:dyDescent="0.3">
      <c r="A1889">
        <v>11888</v>
      </c>
      <c r="B1889" s="2">
        <v>44977</v>
      </c>
      <c r="C1889" t="s">
        <v>12</v>
      </c>
      <c r="D1889" t="s">
        <v>16</v>
      </c>
      <c r="E1889" t="s">
        <v>24</v>
      </c>
      <c r="F1889">
        <v>10</v>
      </c>
      <c r="G1889">
        <v>27519</v>
      </c>
      <c r="H1889">
        <v>275190</v>
      </c>
      <c r="I1889">
        <f t="shared" si="29"/>
        <v>275190</v>
      </c>
    </row>
    <row r="1890" spans="1:9" x14ac:dyDescent="0.3">
      <c r="A1890">
        <v>11889</v>
      </c>
      <c r="B1890" s="2">
        <v>45254</v>
      </c>
      <c r="C1890" t="s">
        <v>14</v>
      </c>
      <c r="D1890" t="s">
        <v>18</v>
      </c>
      <c r="E1890" t="s">
        <v>21</v>
      </c>
      <c r="F1890">
        <v>10</v>
      </c>
      <c r="G1890">
        <v>3888</v>
      </c>
      <c r="H1890">
        <v>38880</v>
      </c>
      <c r="I1890">
        <f t="shared" si="29"/>
        <v>38880</v>
      </c>
    </row>
    <row r="1891" spans="1:9" x14ac:dyDescent="0.3">
      <c r="A1891">
        <v>11890</v>
      </c>
      <c r="B1891" s="2">
        <v>45100</v>
      </c>
      <c r="C1891" t="s">
        <v>9</v>
      </c>
      <c r="D1891" t="s">
        <v>16</v>
      </c>
      <c r="E1891" t="s">
        <v>21</v>
      </c>
      <c r="F1891">
        <v>9</v>
      </c>
      <c r="G1891">
        <v>16223</v>
      </c>
      <c r="H1891">
        <v>146007</v>
      </c>
      <c r="I1891">
        <f t="shared" si="29"/>
        <v>146007</v>
      </c>
    </row>
    <row r="1892" spans="1:9" x14ac:dyDescent="0.3">
      <c r="A1892">
        <v>11891</v>
      </c>
      <c r="B1892" s="2">
        <v>45091</v>
      </c>
      <c r="C1892" t="s">
        <v>10</v>
      </c>
      <c r="D1892" t="s">
        <v>18</v>
      </c>
      <c r="E1892" t="s">
        <v>22</v>
      </c>
      <c r="F1892">
        <v>9</v>
      </c>
      <c r="G1892">
        <v>4276</v>
      </c>
      <c r="H1892">
        <v>38484</v>
      </c>
      <c r="I1892">
        <f t="shared" si="29"/>
        <v>38484</v>
      </c>
    </row>
    <row r="1893" spans="1:9" x14ac:dyDescent="0.3">
      <c r="A1893">
        <v>11892</v>
      </c>
      <c r="B1893" s="2">
        <v>45226</v>
      </c>
      <c r="C1893" t="s">
        <v>10</v>
      </c>
      <c r="D1893" t="s">
        <v>15</v>
      </c>
      <c r="E1893" t="s">
        <v>22</v>
      </c>
      <c r="F1893">
        <v>7</v>
      </c>
      <c r="G1893">
        <v>45773</v>
      </c>
      <c r="H1893">
        <v>320411</v>
      </c>
      <c r="I1893">
        <f t="shared" si="29"/>
        <v>320411</v>
      </c>
    </row>
    <row r="1894" spans="1:9" x14ac:dyDescent="0.3">
      <c r="A1894">
        <v>11893</v>
      </c>
      <c r="B1894" s="2">
        <v>44964</v>
      </c>
      <c r="C1894" t="s">
        <v>13</v>
      </c>
      <c r="D1894" t="s">
        <v>15</v>
      </c>
      <c r="E1894" t="s">
        <v>19</v>
      </c>
      <c r="F1894">
        <v>9</v>
      </c>
      <c r="G1894">
        <v>25946</v>
      </c>
      <c r="H1894">
        <v>233514</v>
      </c>
      <c r="I1894">
        <f t="shared" si="29"/>
        <v>233514</v>
      </c>
    </row>
    <row r="1895" spans="1:9" x14ac:dyDescent="0.3">
      <c r="A1895">
        <v>11894</v>
      </c>
      <c r="B1895" s="2">
        <v>45060</v>
      </c>
      <c r="C1895" t="s">
        <v>9</v>
      </c>
      <c r="D1895" t="s">
        <v>17</v>
      </c>
      <c r="E1895" t="s">
        <v>22</v>
      </c>
      <c r="F1895">
        <v>19</v>
      </c>
      <c r="G1895">
        <v>17256</v>
      </c>
      <c r="H1895">
        <v>327864</v>
      </c>
      <c r="I1895">
        <f t="shared" si="29"/>
        <v>327864</v>
      </c>
    </row>
    <row r="1896" spans="1:9" x14ac:dyDescent="0.3">
      <c r="A1896">
        <v>11895</v>
      </c>
      <c r="B1896" s="2">
        <v>45038</v>
      </c>
      <c r="C1896" t="s">
        <v>14</v>
      </c>
      <c r="D1896" t="s">
        <v>15</v>
      </c>
      <c r="E1896" t="s">
        <v>20</v>
      </c>
      <c r="F1896">
        <v>7</v>
      </c>
      <c r="G1896">
        <v>29840</v>
      </c>
      <c r="H1896">
        <v>208880</v>
      </c>
      <c r="I1896">
        <f t="shared" si="29"/>
        <v>208880</v>
      </c>
    </row>
    <row r="1897" spans="1:9" x14ac:dyDescent="0.3">
      <c r="A1897">
        <v>11896</v>
      </c>
      <c r="B1897" s="2">
        <v>45152</v>
      </c>
      <c r="C1897" t="s">
        <v>10</v>
      </c>
      <c r="D1897" t="s">
        <v>15</v>
      </c>
      <c r="E1897" t="s">
        <v>24</v>
      </c>
      <c r="F1897">
        <v>4</v>
      </c>
      <c r="G1897">
        <v>22818</v>
      </c>
      <c r="H1897">
        <v>91272</v>
      </c>
      <c r="I1897">
        <f t="shared" si="29"/>
        <v>91272</v>
      </c>
    </row>
    <row r="1898" spans="1:9" x14ac:dyDescent="0.3">
      <c r="A1898">
        <v>11897</v>
      </c>
      <c r="B1898" s="2">
        <v>45281</v>
      </c>
      <c r="C1898" t="s">
        <v>9</v>
      </c>
      <c r="D1898" t="s">
        <v>16</v>
      </c>
      <c r="E1898" t="s">
        <v>24</v>
      </c>
      <c r="F1898">
        <v>20</v>
      </c>
      <c r="G1898">
        <v>30993</v>
      </c>
      <c r="H1898">
        <v>619860</v>
      </c>
      <c r="I1898">
        <f t="shared" si="29"/>
        <v>619860</v>
      </c>
    </row>
    <row r="1899" spans="1:9" x14ac:dyDescent="0.3">
      <c r="A1899">
        <v>11898</v>
      </c>
      <c r="B1899" s="2">
        <v>45001</v>
      </c>
      <c r="C1899" t="s">
        <v>13</v>
      </c>
      <c r="D1899" t="s">
        <v>18</v>
      </c>
      <c r="E1899" t="s">
        <v>19</v>
      </c>
      <c r="F1899">
        <v>14</v>
      </c>
      <c r="G1899">
        <v>40153</v>
      </c>
      <c r="H1899">
        <v>562142</v>
      </c>
      <c r="I1899">
        <f t="shared" si="29"/>
        <v>562142</v>
      </c>
    </row>
    <row r="1900" spans="1:9" x14ac:dyDescent="0.3">
      <c r="A1900">
        <v>11899</v>
      </c>
      <c r="B1900" s="2">
        <v>44990</v>
      </c>
      <c r="C1900" t="s">
        <v>11</v>
      </c>
      <c r="D1900" t="s">
        <v>18</v>
      </c>
      <c r="E1900" t="s">
        <v>21</v>
      </c>
      <c r="F1900">
        <v>3</v>
      </c>
      <c r="G1900">
        <v>14074</v>
      </c>
      <c r="H1900">
        <v>42222</v>
      </c>
      <c r="I1900">
        <f t="shared" si="29"/>
        <v>42222</v>
      </c>
    </row>
    <row r="1901" spans="1:9" x14ac:dyDescent="0.3">
      <c r="A1901">
        <v>11900</v>
      </c>
      <c r="B1901" s="2">
        <v>44944</v>
      </c>
      <c r="C1901" t="s">
        <v>12</v>
      </c>
      <c r="D1901" t="s">
        <v>15</v>
      </c>
      <c r="E1901" t="s">
        <v>21</v>
      </c>
      <c r="F1901">
        <v>12</v>
      </c>
      <c r="G1901">
        <v>24833</v>
      </c>
      <c r="H1901">
        <v>297996</v>
      </c>
      <c r="I1901">
        <f t="shared" si="29"/>
        <v>297996</v>
      </c>
    </row>
    <row r="1902" spans="1:9" x14ac:dyDescent="0.3">
      <c r="A1902">
        <v>11901</v>
      </c>
      <c r="B1902" s="2">
        <v>44982</v>
      </c>
      <c r="C1902" t="s">
        <v>14</v>
      </c>
      <c r="D1902" t="s">
        <v>15</v>
      </c>
      <c r="E1902" t="s">
        <v>20</v>
      </c>
      <c r="F1902">
        <v>3</v>
      </c>
      <c r="G1902">
        <v>22253</v>
      </c>
      <c r="H1902">
        <v>66759</v>
      </c>
      <c r="I1902">
        <f t="shared" si="29"/>
        <v>66759</v>
      </c>
    </row>
    <row r="1903" spans="1:9" x14ac:dyDescent="0.3">
      <c r="A1903">
        <v>11902</v>
      </c>
      <c r="B1903" s="2">
        <v>45196</v>
      </c>
      <c r="C1903" t="s">
        <v>9</v>
      </c>
      <c r="D1903" t="s">
        <v>16</v>
      </c>
      <c r="E1903" t="s">
        <v>21</v>
      </c>
      <c r="F1903">
        <v>16</v>
      </c>
      <c r="G1903">
        <v>45082</v>
      </c>
      <c r="H1903">
        <v>721312</v>
      </c>
      <c r="I1903">
        <f t="shared" si="29"/>
        <v>721312</v>
      </c>
    </row>
    <row r="1904" spans="1:9" x14ac:dyDescent="0.3">
      <c r="A1904">
        <v>11903</v>
      </c>
      <c r="B1904" s="2">
        <v>45238</v>
      </c>
      <c r="C1904" t="s">
        <v>14</v>
      </c>
      <c r="D1904" t="s">
        <v>16</v>
      </c>
      <c r="E1904" t="s">
        <v>23</v>
      </c>
      <c r="F1904">
        <v>13</v>
      </c>
      <c r="G1904">
        <v>54269</v>
      </c>
      <c r="H1904">
        <v>705497</v>
      </c>
      <c r="I1904">
        <f t="shared" si="29"/>
        <v>705497</v>
      </c>
    </row>
    <row r="1905" spans="1:9" x14ac:dyDescent="0.3">
      <c r="A1905">
        <v>11904</v>
      </c>
      <c r="B1905" s="2">
        <v>44981</v>
      </c>
      <c r="C1905" t="s">
        <v>13</v>
      </c>
      <c r="D1905" t="s">
        <v>16</v>
      </c>
      <c r="E1905" t="s">
        <v>24</v>
      </c>
      <c r="F1905">
        <v>3</v>
      </c>
      <c r="G1905">
        <v>57727</v>
      </c>
      <c r="H1905">
        <v>173181</v>
      </c>
      <c r="I1905">
        <f t="shared" si="29"/>
        <v>173181</v>
      </c>
    </row>
    <row r="1906" spans="1:9" x14ac:dyDescent="0.3">
      <c r="A1906">
        <v>11905</v>
      </c>
      <c r="B1906" s="2">
        <v>45077</v>
      </c>
      <c r="C1906" t="s">
        <v>14</v>
      </c>
      <c r="D1906" t="s">
        <v>18</v>
      </c>
      <c r="E1906" t="s">
        <v>22</v>
      </c>
      <c r="F1906">
        <v>14</v>
      </c>
      <c r="G1906">
        <v>48373</v>
      </c>
      <c r="H1906">
        <v>677222</v>
      </c>
      <c r="I1906">
        <f t="shared" si="29"/>
        <v>677222</v>
      </c>
    </row>
    <row r="1907" spans="1:9" x14ac:dyDescent="0.3">
      <c r="A1907">
        <v>11906</v>
      </c>
      <c r="B1907" s="2">
        <v>45132</v>
      </c>
      <c r="C1907" t="s">
        <v>11</v>
      </c>
      <c r="D1907" t="s">
        <v>18</v>
      </c>
      <c r="E1907" t="s">
        <v>24</v>
      </c>
      <c r="F1907">
        <v>6</v>
      </c>
      <c r="G1907">
        <v>40595</v>
      </c>
      <c r="H1907">
        <v>243570</v>
      </c>
      <c r="I1907">
        <f t="shared" si="29"/>
        <v>243570</v>
      </c>
    </row>
    <row r="1908" spans="1:9" x14ac:dyDescent="0.3">
      <c r="A1908">
        <v>11907</v>
      </c>
      <c r="B1908" s="2">
        <v>45106</v>
      </c>
      <c r="C1908" t="s">
        <v>10</v>
      </c>
      <c r="D1908" t="s">
        <v>18</v>
      </c>
      <c r="E1908" t="s">
        <v>23</v>
      </c>
      <c r="F1908">
        <v>1</v>
      </c>
      <c r="G1908">
        <v>1397</v>
      </c>
      <c r="H1908">
        <v>1397</v>
      </c>
      <c r="I1908">
        <f t="shared" si="29"/>
        <v>1397</v>
      </c>
    </row>
    <row r="1909" spans="1:9" x14ac:dyDescent="0.3">
      <c r="A1909">
        <v>11908</v>
      </c>
      <c r="B1909" s="2">
        <v>45268</v>
      </c>
      <c r="C1909" t="s">
        <v>12</v>
      </c>
      <c r="D1909" t="s">
        <v>18</v>
      </c>
      <c r="E1909" t="s">
        <v>21</v>
      </c>
      <c r="F1909">
        <v>8</v>
      </c>
      <c r="G1909">
        <v>34664</v>
      </c>
      <c r="H1909">
        <v>277312</v>
      </c>
      <c r="I1909">
        <f t="shared" si="29"/>
        <v>277312</v>
      </c>
    </row>
    <row r="1910" spans="1:9" x14ac:dyDescent="0.3">
      <c r="A1910">
        <v>11909</v>
      </c>
      <c r="B1910" s="2">
        <v>45175</v>
      </c>
      <c r="C1910" t="s">
        <v>11</v>
      </c>
      <c r="D1910" t="s">
        <v>15</v>
      </c>
      <c r="E1910" t="s">
        <v>22</v>
      </c>
      <c r="F1910">
        <v>5</v>
      </c>
      <c r="G1910">
        <v>57040</v>
      </c>
      <c r="H1910">
        <v>285200</v>
      </c>
      <c r="I1910">
        <f t="shared" si="29"/>
        <v>285200</v>
      </c>
    </row>
    <row r="1911" spans="1:9" x14ac:dyDescent="0.3">
      <c r="A1911">
        <v>11910</v>
      </c>
      <c r="B1911" s="2">
        <v>45065</v>
      </c>
      <c r="C1911" t="s">
        <v>8</v>
      </c>
      <c r="D1911" t="s">
        <v>16</v>
      </c>
      <c r="E1911" t="s">
        <v>20</v>
      </c>
      <c r="F1911">
        <v>3</v>
      </c>
      <c r="G1911">
        <v>57811</v>
      </c>
      <c r="H1911">
        <v>173433</v>
      </c>
      <c r="I1911">
        <f t="shared" si="29"/>
        <v>173433</v>
      </c>
    </row>
    <row r="1912" spans="1:9" x14ac:dyDescent="0.3">
      <c r="A1912">
        <v>11911</v>
      </c>
      <c r="B1912" s="2">
        <v>45104</v>
      </c>
      <c r="C1912" t="s">
        <v>13</v>
      </c>
      <c r="D1912" t="s">
        <v>18</v>
      </c>
      <c r="E1912" t="s">
        <v>21</v>
      </c>
      <c r="F1912">
        <v>18</v>
      </c>
      <c r="G1912">
        <v>12063</v>
      </c>
      <c r="H1912">
        <v>217134</v>
      </c>
      <c r="I1912">
        <f t="shared" si="29"/>
        <v>217134</v>
      </c>
    </row>
    <row r="1913" spans="1:9" x14ac:dyDescent="0.3">
      <c r="A1913">
        <v>11912</v>
      </c>
      <c r="B1913" s="2">
        <v>45237</v>
      </c>
      <c r="C1913" t="s">
        <v>13</v>
      </c>
      <c r="D1913" t="s">
        <v>16</v>
      </c>
      <c r="E1913" t="s">
        <v>23</v>
      </c>
      <c r="F1913">
        <v>5</v>
      </c>
      <c r="G1913">
        <v>19082</v>
      </c>
      <c r="H1913">
        <v>95410</v>
      </c>
      <c r="I1913">
        <f t="shared" si="29"/>
        <v>95410</v>
      </c>
    </row>
    <row r="1914" spans="1:9" x14ac:dyDescent="0.3">
      <c r="A1914">
        <v>11913</v>
      </c>
      <c r="B1914" s="2">
        <v>44994</v>
      </c>
      <c r="C1914" t="s">
        <v>8</v>
      </c>
      <c r="D1914" t="s">
        <v>16</v>
      </c>
      <c r="E1914" t="s">
        <v>22</v>
      </c>
      <c r="F1914">
        <v>16</v>
      </c>
      <c r="G1914">
        <v>50559</v>
      </c>
      <c r="H1914">
        <v>808944</v>
      </c>
      <c r="I1914">
        <f t="shared" si="29"/>
        <v>808944</v>
      </c>
    </row>
    <row r="1915" spans="1:9" x14ac:dyDescent="0.3">
      <c r="A1915">
        <v>11914</v>
      </c>
      <c r="B1915" s="2">
        <v>45179</v>
      </c>
      <c r="C1915" t="s">
        <v>10</v>
      </c>
      <c r="D1915" t="s">
        <v>18</v>
      </c>
      <c r="E1915" t="s">
        <v>24</v>
      </c>
      <c r="F1915">
        <v>16</v>
      </c>
      <c r="G1915">
        <v>52569</v>
      </c>
      <c r="H1915">
        <v>841104</v>
      </c>
      <c r="I1915">
        <f t="shared" si="29"/>
        <v>841104</v>
      </c>
    </row>
    <row r="1916" spans="1:9" x14ac:dyDescent="0.3">
      <c r="A1916">
        <v>11915</v>
      </c>
      <c r="B1916" s="2">
        <v>45230</v>
      </c>
      <c r="C1916" t="s">
        <v>11</v>
      </c>
      <c r="D1916" t="s">
        <v>15</v>
      </c>
      <c r="E1916" t="s">
        <v>22</v>
      </c>
      <c r="F1916">
        <v>5</v>
      </c>
      <c r="G1916">
        <v>15343</v>
      </c>
      <c r="H1916">
        <v>76715</v>
      </c>
      <c r="I1916">
        <f t="shared" si="29"/>
        <v>76715</v>
      </c>
    </row>
    <row r="1917" spans="1:9" x14ac:dyDescent="0.3">
      <c r="A1917">
        <v>11916</v>
      </c>
      <c r="B1917" s="2">
        <v>45183</v>
      </c>
      <c r="C1917" t="s">
        <v>14</v>
      </c>
      <c r="D1917" t="s">
        <v>16</v>
      </c>
      <c r="E1917" t="s">
        <v>22</v>
      </c>
      <c r="F1917">
        <v>1</v>
      </c>
      <c r="G1917">
        <v>48042</v>
      </c>
      <c r="H1917">
        <v>48042</v>
      </c>
      <c r="I1917">
        <f t="shared" si="29"/>
        <v>48042</v>
      </c>
    </row>
    <row r="1918" spans="1:9" x14ac:dyDescent="0.3">
      <c r="A1918">
        <v>11917</v>
      </c>
      <c r="B1918" s="2">
        <v>45157</v>
      </c>
      <c r="C1918" t="s">
        <v>8</v>
      </c>
      <c r="D1918" t="s">
        <v>18</v>
      </c>
      <c r="E1918" t="s">
        <v>19</v>
      </c>
      <c r="F1918">
        <v>2</v>
      </c>
      <c r="G1918">
        <v>18197</v>
      </c>
      <c r="H1918">
        <v>36394</v>
      </c>
      <c r="I1918">
        <f t="shared" si="29"/>
        <v>36394</v>
      </c>
    </row>
    <row r="1919" spans="1:9" x14ac:dyDescent="0.3">
      <c r="A1919">
        <v>11918</v>
      </c>
      <c r="B1919" s="2">
        <v>45010</v>
      </c>
      <c r="C1919" t="s">
        <v>11</v>
      </c>
      <c r="D1919" t="s">
        <v>17</v>
      </c>
      <c r="E1919" t="s">
        <v>19</v>
      </c>
      <c r="F1919">
        <v>10</v>
      </c>
      <c r="G1919">
        <v>19522</v>
      </c>
      <c r="H1919">
        <v>195220</v>
      </c>
      <c r="I1919">
        <f t="shared" si="29"/>
        <v>195220</v>
      </c>
    </row>
    <row r="1920" spans="1:9" x14ac:dyDescent="0.3">
      <c r="A1920">
        <v>11919</v>
      </c>
      <c r="B1920" s="2">
        <v>45213</v>
      </c>
      <c r="C1920" t="s">
        <v>12</v>
      </c>
      <c r="D1920" t="s">
        <v>18</v>
      </c>
      <c r="E1920" t="s">
        <v>21</v>
      </c>
      <c r="F1920">
        <v>12</v>
      </c>
      <c r="G1920">
        <v>47955</v>
      </c>
      <c r="H1920">
        <v>575460</v>
      </c>
      <c r="I1920">
        <f t="shared" si="29"/>
        <v>575460</v>
      </c>
    </row>
    <row r="1921" spans="1:9" x14ac:dyDescent="0.3">
      <c r="A1921">
        <v>11920</v>
      </c>
      <c r="B1921" s="2">
        <v>45230</v>
      </c>
      <c r="C1921" t="s">
        <v>12</v>
      </c>
      <c r="D1921" t="s">
        <v>17</v>
      </c>
      <c r="E1921" t="s">
        <v>24</v>
      </c>
      <c r="F1921">
        <v>4</v>
      </c>
      <c r="G1921">
        <v>47812</v>
      </c>
      <c r="H1921">
        <v>191248</v>
      </c>
      <c r="I1921">
        <f t="shared" si="29"/>
        <v>191248</v>
      </c>
    </row>
    <row r="1922" spans="1:9" x14ac:dyDescent="0.3">
      <c r="A1922">
        <v>11921</v>
      </c>
      <c r="B1922" s="2">
        <v>45217</v>
      </c>
      <c r="C1922" t="s">
        <v>13</v>
      </c>
      <c r="D1922" t="s">
        <v>17</v>
      </c>
      <c r="E1922" t="s">
        <v>22</v>
      </c>
      <c r="F1922">
        <v>15</v>
      </c>
      <c r="G1922">
        <v>54796</v>
      </c>
      <c r="H1922">
        <v>821940</v>
      </c>
      <c r="I1922">
        <f t="shared" si="29"/>
        <v>821940</v>
      </c>
    </row>
    <row r="1923" spans="1:9" x14ac:dyDescent="0.3">
      <c r="A1923">
        <v>11922</v>
      </c>
      <c r="B1923" s="2">
        <v>45025</v>
      </c>
      <c r="C1923" t="s">
        <v>8</v>
      </c>
      <c r="D1923" t="s">
        <v>16</v>
      </c>
      <c r="E1923" t="s">
        <v>19</v>
      </c>
      <c r="F1923">
        <v>8</v>
      </c>
      <c r="G1923">
        <v>10218</v>
      </c>
      <c r="H1923">
        <v>81744</v>
      </c>
      <c r="I1923">
        <f t="shared" ref="I1923:I1986" si="30">G1923*F1923</f>
        <v>81744</v>
      </c>
    </row>
    <row r="1924" spans="1:9" x14ac:dyDescent="0.3">
      <c r="A1924">
        <v>11923</v>
      </c>
      <c r="B1924" s="2">
        <v>45124</v>
      </c>
      <c r="C1924" t="s">
        <v>11</v>
      </c>
      <c r="D1924" t="s">
        <v>15</v>
      </c>
      <c r="E1924" t="s">
        <v>22</v>
      </c>
      <c r="F1924">
        <v>14</v>
      </c>
      <c r="G1924">
        <v>2515</v>
      </c>
      <c r="H1924">
        <v>35210</v>
      </c>
      <c r="I1924">
        <f t="shared" si="30"/>
        <v>35210</v>
      </c>
    </row>
    <row r="1925" spans="1:9" x14ac:dyDescent="0.3">
      <c r="A1925">
        <v>11924</v>
      </c>
      <c r="B1925" s="2">
        <v>45286</v>
      </c>
      <c r="C1925" t="s">
        <v>9</v>
      </c>
      <c r="D1925" t="s">
        <v>17</v>
      </c>
      <c r="E1925" t="s">
        <v>24</v>
      </c>
      <c r="F1925">
        <v>5</v>
      </c>
      <c r="G1925">
        <v>12544</v>
      </c>
      <c r="H1925">
        <v>62720</v>
      </c>
      <c r="I1925">
        <f t="shared" si="30"/>
        <v>62720</v>
      </c>
    </row>
    <row r="1926" spans="1:9" x14ac:dyDescent="0.3">
      <c r="A1926">
        <v>11925</v>
      </c>
      <c r="B1926" s="2">
        <v>45183</v>
      </c>
      <c r="C1926" t="s">
        <v>9</v>
      </c>
      <c r="D1926" t="s">
        <v>18</v>
      </c>
      <c r="E1926" t="s">
        <v>22</v>
      </c>
      <c r="F1926">
        <v>1</v>
      </c>
      <c r="G1926">
        <v>34188</v>
      </c>
      <c r="H1926">
        <v>34188</v>
      </c>
      <c r="I1926">
        <f t="shared" si="30"/>
        <v>34188</v>
      </c>
    </row>
    <row r="1927" spans="1:9" x14ac:dyDescent="0.3">
      <c r="A1927">
        <v>11926</v>
      </c>
      <c r="B1927" s="2">
        <v>45212</v>
      </c>
      <c r="C1927" t="s">
        <v>10</v>
      </c>
      <c r="D1927" t="s">
        <v>18</v>
      </c>
      <c r="E1927" t="s">
        <v>23</v>
      </c>
      <c r="F1927">
        <v>2</v>
      </c>
      <c r="G1927">
        <v>4698</v>
      </c>
      <c r="H1927">
        <v>9396</v>
      </c>
      <c r="I1927">
        <f t="shared" si="30"/>
        <v>9396</v>
      </c>
    </row>
    <row r="1928" spans="1:9" x14ac:dyDescent="0.3">
      <c r="A1928">
        <v>11927</v>
      </c>
      <c r="B1928" s="2">
        <v>45176</v>
      </c>
      <c r="C1928" t="s">
        <v>12</v>
      </c>
      <c r="D1928" t="s">
        <v>16</v>
      </c>
      <c r="E1928" t="s">
        <v>21</v>
      </c>
      <c r="F1928">
        <v>10</v>
      </c>
      <c r="G1928">
        <v>56884</v>
      </c>
      <c r="H1928">
        <v>568840</v>
      </c>
      <c r="I1928">
        <f t="shared" si="30"/>
        <v>568840</v>
      </c>
    </row>
    <row r="1929" spans="1:9" x14ac:dyDescent="0.3">
      <c r="A1929">
        <v>11928</v>
      </c>
      <c r="B1929" s="2">
        <v>44990</v>
      </c>
      <c r="C1929" t="s">
        <v>13</v>
      </c>
      <c r="D1929" t="s">
        <v>16</v>
      </c>
      <c r="E1929" t="s">
        <v>22</v>
      </c>
      <c r="F1929">
        <v>4</v>
      </c>
      <c r="G1929">
        <v>41650</v>
      </c>
      <c r="H1929">
        <v>166600</v>
      </c>
      <c r="I1929">
        <f t="shared" si="30"/>
        <v>166600</v>
      </c>
    </row>
    <row r="1930" spans="1:9" x14ac:dyDescent="0.3">
      <c r="A1930">
        <v>11929</v>
      </c>
      <c r="B1930" s="2">
        <v>45283</v>
      </c>
      <c r="C1930" t="s">
        <v>12</v>
      </c>
      <c r="D1930" t="s">
        <v>17</v>
      </c>
      <c r="E1930" t="s">
        <v>21</v>
      </c>
      <c r="F1930">
        <v>1</v>
      </c>
      <c r="G1930">
        <v>56408</v>
      </c>
      <c r="H1930">
        <v>56408</v>
      </c>
      <c r="I1930">
        <f t="shared" si="30"/>
        <v>56408</v>
      </c>
    </row>
    <row r="1931" spans="1:9" x14ac:dyDescent="0.3">
      <c r="A1931">
        <v>11930</v>
      </c>
      <c r="B1931" s="2">
        <v>45208</v>
      </c>
      <c r="C1931" t="s">
        <v>10</v>
      </c>
      <c r="D1931" t="s">
        <v>17</v>
      </c>
      <c r="E1931" t="s">
        <v>21</v>
      </c>
      <c r="F1931">
        <v>16</v>
      </c>
      <c r="G1931">
        <v>9125</v>
      </c>
      <c r="H1931">
        <v>146000</v>
      </c>
      <c r="I1931">
        <f t="shared" si="30"/>
        <v>146000</v>
      </c>
    </row>
    <row r="1932" spans="1:9" x14ac:dyDescent="0.3">
      <c r="A1932">
        <v>11931</v>
      </c>
      <c r="B1932" s="2">
        <v>45152</v>
      </c>
      <c r="C1932" t="s">
        <v>14</v>
      </c>
      <c r="D1932" t="s">
        <v>17</v>
      </c>
      <c r="E1932" t="s">
        <v>22</v>
      </c>
      <c r="F1932">
        <v>2</v>
      </c>
      <c r="G1932">
        <v>37131</v>
      </c>
      <c r="H1932">
        <v>74262</v>
      </c>
      <c r="I1932">
        <f t="shared" si="30"/>
        <v>74262</v>
      </c>
    </row>
    <row r="1933" spans="1:9" x14ac:dyDescent="0.3">
      <c r="A1933">
        <v>11932</v>
      </c>
      <c r="B1933" s="2">
        <v>44956</v>
      </c>
      <c r="C1933" t="s">
        <v>12</v>
      </c>
      <c r="D1933" t="s">
        <v>17</v>
      </c>
      <c r="E1933" t="s">
        <v>20</v>
      </c>
      <c r="F1933">
        <v>20</v>
      </c>
      <c r="G1933">
        <v>38892</v>
      </c>
      <c r="H1933">
        <v>777840</v>
      </c>
      <c r="I1933">
        <f t="shared" si="30"/>
        <v>777840</v>
      </c>
    </row>
    <row r="1934" spans="1:9" x14ac:dyDescent="0.3">
      <c r="A1934">
        <v>11933</v>
      </c>
      <c r="B1934" s="2">
        <v>45225</v>
      </c>
      <c r="C1934" t="s">
        <v>9</v>
      </c>
      <c r="D1934" t="s">
        <v>16</v>
      </c>
      <c r="E1934" t="s">
        <v>20</v>
      </c>
      <c r="F1934">
        <v>15</v>
      </c>
      <c r="G1934">
        <v>50886</v>
      </c>
      <c r="H1934">
        <v>763290</v>
      </c>
      <c r="I1934">
        <f t="shared" si="30"/>
        <v>763290</v>
      </c>
    </row>
    <row r="1935" spans="1:9" x14ac:dyDescent="0.3">
      <c r="A1935">
        <v>11934</v>
      </c>
      <c r="B1935" s="2">
        <v>45132</v>
      </c>
      <c r="C1935" t="s">
        <v>14</v>
      </c>
      <c r="D1935" t="s">
        <v>18</v>
      </c>
      <c r="E1935" t="s">
        <v>19</v>
      </c>
      <c r="F1935">
        <v>5</v>
      </c>
      <c r="G1935">
        <v>40985</v>
      </c>
      <c r="H1935">
        <v>204925</v>
      </c>
      <c r="I1935">
        <f t="shared" si="30"/>
        <v>204925</v>
      </c>
    </row>
    <row r="1936" spans="1:9" x14ac:dyDescent="0.3">
      <c r="A1936">
        <v>11935</v>
      </c>
      <c r="B1936" s="2">
        <v>45145</v>
      </c>
      <c r="C1936" t="s">
        <v>12</v>
      </c>
      <c r="D1936" t="s">
        <v>17</v>
      </c>
      <c r="E1936" t="s">
        <v>24</v>
      </c>
      <c r="F1936">
        <v>16</v>
      </c>
      <c r="G1936">
        <v>25309</v>
      </c>
      <c r="H1936">
        <v>404944</v>
      </c>
      <c r="I1936">
        <f t="shared" si="30"/>
        <v>404944</v>
      </c>
    </row>
    <row r="1937" spans="1:9" x14ac:dyDescent="0.3">
      <c r="A1937">
        <v>11936</v>
      </c>
      <c r="B1937" s="2">
        <v>45058</v>
      </c>
      <c r="C1937" t="s">
        <v>11</v>
      </c>
      <c r="D1937" t="s">
        <v>18</v>
      </c>
      <c r="E1937" t="s">
        <v>21</v>
      </c>
      <c r="F1937">
        <v>9</v>
      </c>
      <c r="G1937">
        <v>24279</v>
      </c>
      <c r="H1937">
        <v>218511</v>
      </c>
      <c r="I1937">
        <f t="shared" si="30"/>
        <v>218511</v>
      </c>
    </row>
    <row r="1938" spans="1:9" x14ac:dyDescent="0.3">
      <c r="A1938">
        <v>11937</v>
      </c>
      <c r="B1938" s="2">
        <v>45229</v>
      </c>
      <c r="C1938" t="s">
        <v>10</v>
      </c>
      <c r="D1938" t="s">
        <v>17</v>
      </c>
      <c r="E1938" t="s">
        <v>23</v>
      </c>
      <c r="F1938">
        <v>12</v>
      </c>
      <c r="G1938">
        <v>20960</v>
      </c>
      <c r="H1938">
        <v>251520</v>
      </c>
      <c r="I1938">
        <f t="shared" si="30"/>
        <v>251520</v>
      </c>
    </row>
    <row r="1939" spans="1:9" x14ac:dyDescent="0.3">
      <c r="A1939">
        <v>11938</v>
      </c>
      <c r="B1939" s="2">
        <v>44954</v>
      </c>
      <c r="C1939" t="s">
        <v>13</v>
      </c>
      <c r="D1939" t="s">
        <v>15</v>
      </c>
      <c r="E1939" t="s">
        <v>24</v>
      </c>
      <c r="F1939">
        <v>4</v>
      </c>
      <c r="G1939">
        <v>49729</v>
      </c>
      <c r="H1939">
        <v>198916</v>
      </c>
      <c r="I1939">
        <f t="shared" si="30"/>
        <v>198916</v>
      </c>
    </row>
    <row r="1940" spans="1:9" x14ac:dyDescent="0.3">
      <c r="A1940">
        <v>11939</v>
      </c>
      <c r="B1940" s="2">
        <v>44937</v>
      </c>
      <c r="C1940" t="s">
        <v>10</v>
      </c>
      <c r="D1940" t="s">
        <v>17</v>
      </c>
      <c r="E1940" t="s">
        <v>24</v>
      </c>
      <c r="F1940">
        <v>9</v>
      </c>
      <c r="G1940">
        <v>54515</v>
      </c>
      <c r="H1940">
        <v>490635</v>
      </c>
      <c r="I1940">
        <f t="shared" si="30"/>
        <v>490635</v>
      </c>
    </row>
    <row r="1941" spans="1:9" x14ac:dyDescent="0.3">
      <c r="A1941">
        <v>11940</v>
      </c>
      <c r="B1941" s="2">
        <v>44948</v>
      </c>
      <c r="C1941" t="s">
        <v>13</v>
      </c>
      <c r="D1941" t="s">
        <v>15</v>
      </c>
      <c r="E1941" t="s">
        <v>19</v>
      </c>
      <c r="F1941">
        <v>1</v>
      </c>
      <c r="G1941">
        <v>56149</v>
      </c>
      <c r="H1941">
        <v>56149</v>
      </c>
      <c r="I1941">
        <f t="shared" si="30"/>
        <v>56149</v>
      </c>
    </row>
    <row r="1942" spans="1:9" x14ac:dyDescent="0.3">
      <c r="A1942">
        <v>11941</v>
      </c>
      <c r="B1942" s="2">
        <v>45157</v>
      </c>
      <c r="C1942" t="s">
        <v>8</v>
      </c>
      <c r="D1942" t="s">
        <v>15</v>
      </c>
      <c r="E1942" t="s">
        <v>24</v>
      </c>
      <c r="F1942">
        <v>16</v>
      </c>
      <c r="G1942">
        <v>26724</v>
      </c>
      <c r="H1942">
        <v>427584</v>
      </c>
      <c r="I1942">
        <f t="shared" si="30"/>
        <v>427584</v>
      </c>
    </row>
    <row r="1943" spans="1:9" x14ac:dyDescent="0.3">
      <c r="A1943">
        <v>11942</v>
      </c>
      <c r="B1943" s="2">
        <v>45032</v>
      </c>
      <c r="C1943" t="s">
        <v>14</v>
      </c>
      <c r="D1943" t="s">
        <v>16</v>
      </c>
      <c r="E1943" t="s">
        <v>19</v>
      </c>
      <c r="F1943">
        <v>9</v>
      </c>
      <c r="G1943">
        <v>51579</v>
      </c>
      <c r="H1943">
        <v>464211</v>
      </c>
      <c r="I1943">
        <f t="shared" si="30"/>
        <v>464211</v>
      </c>
    </row>
    <row r="1944" spans="1:9" x14ac:dyDescent="0.3">
      <c r="A1944">
        <v>11943</v>
      </c>
      <c r="B1944" s="2">
        <v>45132</v>
      </c>
      <c r="C1944" t="s">
        <v>11</v>
      </c>
      <c r="D1944" t="s">
        <v>15</v>
      </c>
      <c r="E1944" t="s">
        <v>20</v>
      </c>
      <c r="F1944">
        <v>10</v>
      </c>
      <c r="G1944">
        <v>22867</v>
      </c>
      <c r="H1944">
        <v>228670</v>
      </c>
      <c r="I1944">
        <f t="shared" si="30"/>
        <v>228670</v>
      </c>
    </row>
    <row r="1945" spans="1:9" x14ac:dyDescent="0.3">
      <c r="A1945">
        <v>11944</v>
      </c>
      <c r="B1945" s="2">
        <v>45170</v>
      </c>
      <c r="C1945" t="s">
        <v>11</v>
      </c>
      <c r="D1945" t="s">
        <v>18</v>
      </c>
      <c r="E1945" t="s">
        <v>20</v>
      </c>
      <c r="F1945">
        <v>20</v>
      </c>
      <c r="G1945">
        <v>53908</v>
      </c>
      <c r="H1945">
        <v>1078160</v>
      </c>
      <c r="I1945">
        <f t="shared" si="30"/>
        <v>1078160</v>
      </c>
    </row>
    <row r="1946" spans="1:9" x14ac:dyDescent="0.3">
      <c r="A1946">
        <v>11945</v>
      </c>
      <c r="B1946" s="2">
        <v>45142</v>
      </c>
      <c r="C1946" t="s">
        <v>9</v>
      </c>
      <c r="D1946" t="s">
        <v>17</v>
      </c>
      <c r="E1946" t="s">
        <v>21</v>
      </c>
      <c r="F1946">
        <v>20</v>
      </c>
      <c r="G1946">
        <v>16353</v>
      </c>
      <c r="H1946">
        <v>327060</v>
      </c>
      <c r="I1946">
        <f t="shared" si="30"/>
        <v>327060</v>
      </c>
    </row>
    <row r="1947" spans="1:9" x14ac:dyDescent="0.3">
      <c r="A1947">
        <v>11946</v>
      </c>
      <c r="B1947" s="2">
        <v>44940</v>
      </c>
      <c r="C1947" t="s">
        <v>8</v>
      </c>
      <c r="D1947" t="s">
        <v>17</v>
      </c>
      <c r="E1947" t="s">
        <v>20</v>
      </c>
      <c r="F1947">
        <v>13</v>
      </c>
      <c r="G1947">
        <v>28913</v>
      </c>
      <c r="H1947">
        <v>375869</v>
      </c>
      <c r="I1947">
        <f t="shared" si="30"/>
        <v>375869</v>
      </c>
    </row>
    <row r="1948" spans="1:9" x14ac:dyDescent="0.3">
      <c r="A1948">
        <v>11947</v>
      </c>
      <c r="B1948" s="2">
        <v>45048</v>
      </c>
      <c r="C1948" t="s">
        <v>12</v>
      </c>
      <c r="D1948" t="s">
        <v>17</v>
      </c>
      <c r="E1948" t="s">
        <v>23</v>
      </c>
      <c r="F1948">
        <v>17</v>
      </c>
      <c r="G1948">
        <v>32284</v>
      </c>
      <c r="H1948">
        <v>548828</v>
      </c>
      <c r="I1948">
        <f t="shared" si="30"/>
        <v>548828</v>
      </c>
    </row>
    <row r="1949" spans="1:9" x14ac:dyDescent="0.3">
      <c r="A1949">
        <v>11948</v>
      </c>
      <c r="B1949" s="2">
        <v>45218</v>
      </c>
      <c r="C1949" t="s">
        <v>12</v>
      </c>
      <c r="D1949" t="s">
        <v>18</v>
      </c>
      <c r="E1949" t="s">
        <v>23</v>
      </c>
      <c r="F1949">
        <v>6</v>
      </c>
      <c r="G1949">
        <v>23372</v>
      </c>
      <c r="H1949">
        <v>140232</v>
      </c>
      <c r="I1949">
        <f t="shared" si="30"/>
        <v>140232</v>
      </c>
    </row>
    <row r="1950" spans="1:9" x14ac:dyDescent="0.3">
      <c r="A1950">
        <v>11949</v>
      </c>
      <c r="B1950" s="2">
        <v>45016</v>
      </c>
      <c r="C1950" t="s">
        <v>10</v>
      </c>
      <c r="D1950" t="s">
        <v>18</v>
      </c>
      <c r="E1950" t="s">
        <v>23</v>
      </c>
      <c r="F1950">
        <v>15</v>
      </c>
      <c r="G1950">
        <v>30137</v>
      </c>
      <c r="H1950">
        <v>452055</v>
      </c>
      <c r="I1950">
        <f t="shared" si="30"/>
        <v>452055</v>
      </c>
    </row>
    <row r="1951" spans="1:9" x14ac:dyDescent="0.3">
      <c r="A1951">
        <v>11950</v>
      </c>
      <c r="B1951" s="2">
        <v>45069</v>
      </c>
      <c r="C1951" t="s">
        <v>9</v>
      </c>
      <c r="D1951" t="s">
        <v>18</v>
      </c>
      <c r="E1951" t="s">
        <v>20</v>
      </c>
      <c r="F1951">
        <v>3</v>
      </c>
      <c r="G1951">
        <v>36990</v>
      </c>
      <c r="H1951">
        <v>110970</v>
      </c>
      <c r="I1951">
        <f t="shared" si="30"/>
        <v>110970</v>
      </c>
    </row>
    <row r="1952" spans="1:9" x14ac:dyDescent="0.3">
      <c r="A1952">
        <v>11951</v>
      </c>
      <c r="B1952" s="2">
        <v>45110</v>
      </c>
      <c r="C1952" t="s">
        <v>10</v>
      </c>
      <c r="D1952" t="s">
        <v>18</v>
      </c>
      <c r="E1952" t="s">
        <v>19</v>
      </c>
      <c r="F1952">
        <v>4</v>
      </c>
      <c r="G1952">
        <v>43133</v>
      </c>
      <c r="H1952">
        <v>172532</v>
      </c>
      <c r="I1952">
        <f t="shared" si="30"/>
        <v>172532</v>
      </c>
    </row>
    <row r="1953" spans="1:9" x14ac:dyDescent="0.3">
      <c r="A1953">
        <v>11952</v>
      </c>
      <c r="B1953" s="2">
        <v>45116</v>
      </c>
      <c r="C1953" t="s">
        <v>8</v>
      </c>
      <c r="D1953" t="s">
        <v>15</v>
      </c>
      <c r="E1953" t="s">
        <v>24</v>
      </c>
      <c r="F1953">
        <v>3</v>
      </c>
      <c r="G1953">
        <v>57686</v>
      </c>
      <c r="H1953">
        <v>173058</v>
      </c>
      <c r="I1953">
        <f t="shared" si="30"/>
        <v>173058</v>
      </c>
    </row>
    <row r="1954" spans="1:9" x14ac:dyDescent="0.3">
      <c r="A1954">
        <v>11953</v>
      </c>
      <c r="B1954" s="2">
        <v>45046</v>
      </c>
      <c r="C1954" t="s">
        <v>10</v>
      </c>
      <c r="D1954" t="s">
        <v>16</v>
      </c>
      <c r="E1954" t="s">
        <v>24</v>
      </c>
      <c r="F1954">
        <v>19</v>
      </c>
      <c r="G1954">
        <v>46475</v>
      </c>
      <c r="H1954">
        <v>883025</v>
      </c>
      <c r="I1954">
        <f t="shared" si="30"/>
        <v>883025</v>
      </c>
    </row>
    <row r="1955" spans="1:9" x14ac:dyDescent="0.3">
      <c r="A1955">
        <v>11954</v>
      </c>
      <c r="B1955" s="2">
        <v>45139</v>
      </c>
      <c r="C1955" t="s">
        <v>13</v>
      </c>
      <c r="D1955" t="s">
        <v>18</v>
      </c>
      <c r="E1955" t="s">
        <v>20</v>
      </c>
      <c r="F1955">
        <v>20</v>
      </c>
      <c r="G1955">
        <v>30693</v>
      </c>
      <c r="H1955">
        <v>613860</v>
      </c>
      <c r="I1955">
        <f t="shared" si="30"/>
        <v>613860</v>
      </c>
    </row>
    <row r="1956" spans="1:9" x14ac:dyDescent="0.3">
      <c r="A1956">
        <v>11955</v>
      </c>
      <c r="B1956" s="2">
        <v>45062</v>
      </c>
      <c r="C1956" t="s">
        <v>10</v>
      </c>
      <c r="D1956" t="s">
        <v>16</v>
      </c>
      <c r="E1956" t="s">
        <v>21</v>
      </c>
      <c r="F1956">
        <v>2</v>
      </c>
      <c r="G1956">
        <v>1381</v>
      </c>
      <c r="H1956">
        <v>2762</v>
      </c>
      <c r="I1956">
        <f t="shared" si="30"/>
        <v>2762</v>
      </c>
    </row>
    <row r="1957" spans="1:9" x14ac:dyDescent="0.3">
      <c r="A1957">
        <v>11956</v>
      </c>
      <c r="B1957" s="2">
        <v>45250</v>
      </c>
      <c r="C1957" t="s">
        <v>10</v>
      </c>
      <c r="D1957" t="s">
        <v>16</v>
      </c>
      <c r="E1957" t="s">
        <v>20</v>
      </c>
      <c r="F1957">
        <v>8</v>
      </c>
      <c r="G1957">
        <v>28517</v>
      </c>
      <c r="H1957">
        <v>228136</v>
      </c>
      <c r="I1957">
        <f t="shared" si="30"/>
        <v>228136</v>
      </c>
    </row>
    <row r="1958" spans="1:9" x14ac:dyDescent="0.3">
      <c r="A1958">
        <v>11957</v>
      </c>
      <c r="B1958" s="2">
        <v>44946</v>
      </c>
      <c r="C1958" t="s">
        <v>14</v>
      </c>
      <c r="D1958" t="s">
        <v>15</v>
      </c>
      <c r="E1958" t="s">
        <v>20</v>
      </c>
      <c r="F1958">
        <v>4</v>
      </c>
      <c r="G1958">
        <v>17169</v>
      </c>
      <c r="H1958">
        <v>68676</v>
      </c>
      <c r="I1958">
        <f t="shared" si="30"/>
        <v>68676</v>
      </c>
    </row>
    <row r="1959" spans="1:9" x14ac:dyDescent="0.3">
      <c r="A1959">
        <v>11958</v>
      </c>
      <c r="B1959" s="2">
        <v>45039</v>
      </c>
      <c r="C1959" t="s">
        <v>14</v>
      </c>
      <c r="D1959" t="s">
        <v>18</v>
      </c>
      <c r="E1959" t="s">
        <v>21</v>
      </c>
      <c r="F1959">
        <v>8</v>
      </c>
      <c r="G1959">
        <v>47406</v>
      </c>
      <c r="H1959">
        <v>379248</v>
      </c>
      <c r="I1959">
        <f t="shared" si="30"/>
        <v>379248</v>
      </c>
    </row>
    <row r="1960" spans="1:9" x14ac:dyDescent="0.3">
      <c r="A1960">
        <v>11959</v>
      </c>
      <c r="B1960" s="2">
        <v>45003</v>
      </c>
      <c r="C1960" t="s">
        <v>9</v>
      </c>
      <c r="D1960" t="s">
        <v>18</v>
      </c>
      <c r="E1960" t="s">
        <v>23</v>
      </c>
      <c r="F1960">
        <v>13</v>
      </c>
      <c r="G1960">
        <v>29460</v>
      </c>
      <c r="H1960">
        <v>382980</v>
      </c>
      <c r="I1960">
        <f t="shared" si="30"/>
        <v>382980</v>
      </c>
    </row>
    <row r="1961" spans="1:9" x14ac:dyDescent="0.3">
      <c r="A1961">
        <v>11960</v>
      </c>
      <c r="B1961" s="2">
        <v>44951</v>
      </c>
      <c r="C1961" t="s">
        <v>13</v>
      </c>
      <c r="D1961" t="s">
        <v>18</v>
      </c>
      <c r="E1961" t="s">
        <v>20</v>
      </c>
      <c r="F1961">
        <v>6</v>
      </c>
      <c r="G1961">
        <v>41268</v>
      </c>
      <c r="H1961">
        <v>247608</v>
      </c>
      <c r="I1961">
        <f t="shared" si="30"/>
        <v>247608</v>
      </c>
    </row>
    <row r="1962" spans="1:9" x14ac:dyDescent="0.3">
      <c r="A1962">
        <v>11961</v>
      </c>
      <c r="B1962" s="2">
        <v>45158</v>
      </c>
      <c r="C1962" t="s">
        <v>10</v>
      </c>
      <c r="D1962" t="s">
        <v>17</v>
      </c>
      <c r="E1962" t="s">
        <v>23</v>
      </c>
      <c r="F1962">
        <v>12</v>
      </c>
      <c r="G1962">
        <v>4394</v>
      </c>
      <c r="H1962">
        <v>52728</v>
      </c>
      <c r="I1962">
        <f t="shared" si="30"/>
        <v>52728</v>
      </c>
    </row>
    <row r="1963" spans="1:9" x14ac:dyDescent="0.3">
      <c r="A1963">
        <v>11962</v>
      </c>
      <c r="B1963" s="2">
        <v>45011</v>
      </c>
      <c r="C1963" t="s">
        <v>8</v>
      </c>
      <c r="D1963" t="s">
        <v>17</v>
      </c>
      <c r="E1963" t="s">
        <v>23</v>
      </c>
      <c r="F1963">
        <v>12</v>
      </c>
      <c r="G1963">
        <v>47305</v>
      </c>
      <c r="H1963">
        <v>567660</v>
      </c>
      <c r="I1963">
        <f t="shared" si="30"/>
        <v>567660</v>
      </c>
    </row>
    <row r="1964" spans="1:9" x14ac:dyDescent="0.3">
      <c r="A1964">
        <v>11963</v>
      </c>
      <c r="B1964" s="2">
        <v>45103</v>
      </c>
      <c r="C1964" t="s">
        <v>12</v>
      </c>
      <c r="D1964" t="s">
        <v>15</v>
      </c>
      <c r="E1964" t="s">
        <v>23</v>
      </c>
      <c r="F1964">
        <v>12</v>
      </c>
      <c r="G1964">
        <v>30156</v>
      </c>
      <c r="H1964">
        <v>361872</v>
      </c>
      <c r="I1964">
        <f t="shared" si="30"/>
        <v>361872</v>
      </c>
    </row>
    <row r="1965" spans="1:9" x14ac:dyDescent="0.3">
      <c r="A1965">
        <v>11964</v>
      </c>
      <c r="B1965" s="2">
        <v>45041</v>
      </c>
      <c r="C1965" t="s">
        <v>8</v>
      </c>
      <c r="D1965" t="s">
        <v>15</v>
      </c>
      <c r="E1965" t="s">
        <v>24</v>
      </c>
      <c r="F1965">
        <v>12</v>
      </c>
      <c r="G1965">
        <v>34024</v>
      </c>
      <c r="H1965">
        <v>408288</v>
      </c>
      <c r="I1965">
        <f t="shared" si="30"/>
        <v>408288</v>
      </c>
    </row>
    <row r="1966" spans="1:9" x14ac:dyDescent="0.3">
      <c r="A1966">
        <v>11965</v>
      </c>
      <c r="B1966" s="2">
        <v>45184</v>
      </c>
      <c r="C1966" t="s">
        <v>14</v>
      </c>
      <c r="D1966" t="s">
        <v>17</v>
      </c>
      <c r="E1966" t="s">
        <v>24</v>
      </c>
      <c r="F1966">
        <v>14</v>
      </c>
      <c r="G1966">
        <v>5716</v>
      </c>
      <c r="H1966">
        <v>80024</v>
      </c>
      <c r="I1966">
        <f t="shared" si="30"/>
        <v>80024</v>
      </c>
    </row>
    <row r="1967" spans="1:9" x14ac:dyDescent="0.3">
      <c r="A1967">
        <v>11966</v>
      </c>
      <c r="B1967" s="2">
        <v>44958</v>
      </c>
      <c r="C1967" t="s">
        <v>10</v>
      </c>
      <c r="D1967" t="s">
        <v>15</v>
      </c>
      <c r="E1967" t="s">
        <v>23</v>
      </c>
      <c r="F1967">
        <v>19</v>
      </c>
      <c r="G1967">
        <v>8248</v>
      </c>
      <c r="H1967">
        <v>156712</v>
      </c>
      <c r="I1967">
        <f t="shared" si="30"/>
        <v>156712</v>
      </c>
    </row>
    <row r="1968" spans="1:9" x14ac:dyDescent="0.3">
      <c r="A1968">
        <v>11967</v>
      </c>
      <c r="B1968" s="2">
        <v>45223</v>
      </c>
      <c r="C1968" t="s">
        <v>11</v>
      </c>
      <c r="D1968" t="s">
        <v>18</v>
      </c>
      <c r="E1968" t="s">
        <v>19</v>
      </c>
      <c r="F1968">
        <v>13</v>
      </c>
      <c r="G1968">
        <v>58590</v>
      </c>
      <c r="H1968">
        <v>761670</v>
      </c>
      <c r="I1968">
        <f t="shared" si="30"/>
        <v>761670</v>
      </c>
    </row>
    <row r="1969" spans="1:9" x14ac:dyDescent="0.3">
      <c r="A1969">
        <v>11968</v>
      </c>
      <c r="B1969" s="2">
        <v>45150</v>
      </c>
      <c r="C1969" t="s">
        <v>11</v>
      </c>
      <c r="D1969" t="s">
        <v>15</v>
      </c>
      <c r="E1969" t="s">
        <v>23</v>
      </c>
      <c r="F1969">
        <v>20</v>
      </c>
      <c r="G1969">
        <v>5208</v>
      </c>
      <c r="H1969">
        <v>104160</v>
      </c>
      <c r="I1969">
        <f t="shared" si="30"/>
        <v>104160</v>
      </c>
    </row>
    <row r="1970" spans="1:9" x14ac:dyDescent="0.3">
      <c r="A1970">
        <v>11969</v>
      </c>
      <c r="B1970" s="2">
        <v>44946</v>
      </c>
      <c r="C1970" t="s">
        <v>9</v>
      </c>
      <c r="D1970" t="s">
        <v>17</v>
      </c>
      <c r="E1970" t="s">
        <v>22</v>
      </c>
      <c r="F1970">
        <v>11</v>
      </c>
      <c r="G1970">
        <v>25160</v>
      </c>
      <c r="H1970">
        <v>276760</v>
      </c>
      <c r="I1970">
        <f t="shared" si="30"/>
        <v>276760</v>
      </c>
    </row>
    <row r="1971" spans="1:9" x14ac:dyDescent="0.3">
      <c r="A1971">
        <v>11970</v>
      </c>
      <c r="B1971" s="2">
        <v>45230</v>
      </c>
      <c r="C1971" t="s">
        <v>10</v>
      </c>
      <c r="D1971" t="s">
        <v>17</v>
      </c>
      <c r="E1971" t="s">
        <v>20</v>
      </c>
      <c r="F1971">
        <v>11</v>
      </c>
      <c r="G1971">
        <v>27221</v>
      </c>
      <c r="H1971">
        <v>299431</v>
      </c>
      <c r="I1971">
        <f t="shared" si="30"/>
        <v>299431</v>
      </c>
    </row>
    <row r="1972" spans="1:9" x14ac:dyDescent="0.3">
      <c r="A1972">
        <v>11971</v>
      </c>
      <c r="B1972" s="2">
        <v>45151</v>
      </c>
      <c r="C1972" t="s">
        <v>11</v>
      </c>
      <c r="D1972" t="s">
        <v>17</v>
      </c>
      <c r="E1972" t="s">
        <v>21</v>
      </c>
      <c r="F1972">
        <v>12</v>
      </c>
      <c r="G1972">
        <v>25844</v>
      </c>
      <c r="H1972">
        <v>310128</v>
      </c>
      <c r="I1972">
        <f t="shared" si="30"/>
        <v>310128</v>
      </c>
    </row>
    <row r="1973" spans="1:9" x14ac:dyDescent="0.3">
      <c r="A1973">
        <v>11972</v>
      </c>
      <c r="B1973" s="2">
        <v>45087</v>
      </c>
      <c r="C1973" t="s">
        <v>10</v>
      </c>
      <c r="D1973" t="s">
        <v>18</v>
      </c>
      <c r="E1973" t="s">
        <v>22</v>
      </c>
      <c r="F1973">
        <v>1</v>
      </c>
      <c r="G1973">
        <v>34385</v>
      </c>
      <c r="H1973">
        <v>34385</v>
      </c>
      <c r="I1973">
        <f t="shared" si="30"/>
        <v>34385</v>
      </c>
    </row>
    <row r="1974" spans="1:9" x14ac:dyDescent="0.3">
      <c r="A1974">
        <v>11973</v>
      </c>
      <c r="B1974" s="2">
        <v>45093</v>
      </c>
      <c r="C1974" t="s">
        <v>14</v>
      </c>
      <c r="D1974" t="s">
        <v>16</v>
      </c>
      <c r="E1974" t="s">
        <v>24</v>
      </c>
      <c r="F1974">
        <v>8</v>
      </c>
      <c r="G1974">
        <v>22720</v>
      </c>
      <c r="H1974">
        <v>181760</v>
      </c>
      <c r="I1974">
        <f t="shared" si="30"/>
        <v>181760</v>
      </c>
    </row>
    <row r="1975" spans="1:9" x14ac:dyDescent="0.3">
      <c r="A1975">
        <v>11974</v>
      </c>
      <c r="B1975" s="2">
        <v>44962</v>
      </c>
      <c r="C1975" t="s">
        <v>9</v>
      </c>
      <c r="D1975" t="s">
        <v>16</v>
      </c>
      <c r="E1975" t="s">
        <v>22</v>
      </c>
      <c r="F1975">
        <v>12</v>
      </c>
      <c r="G1975">
        <v>21526</v>
      </c>
      <c r="H1975">
        <v>258312</v>
      </c>
      <c r="I1975">
        <f t="shared" si="30"/>
        <v>258312</v>
      </c>
    </row>
    <row r="1976" spans="1:9" x14ac:dyDescent="0.3">
      <c r="A1976">
        <v>11975</v>
      </c>
      <c r="B1976" s="2">
        <v>45016</v>
      </c>
      <c r="C1976" t="s">
        <v>8</v>
      </c>
      <c r="D1976" t="s">
        <v>18</v>
      </c>
      <c r="E1976" t="s">
        <v>21</v>
      </c>
      <c r="F1976">
        <v>20</v>
      </c>
      <c r="G1976">
        <v>754</v>
      </c>
      <c r="H1976">
        <v>15080</v>
      </c>
      <c r="I1976">
        <f t="shared" si="30"/>
        <v>15080</v>
      </c>
    </row>
    <row r="1977" spans="1:9" x14ac:dyDescent="0.3">
      <c r="A1977">
        <v>11976</v>
      </c>
      <c r="B1977" s="2">
        <v>45205</v>
      </c>
      <c r="C1977" t="s">
        <v>11</v>
      </c>
      <c r="D1977" t="s">
        <v>17</v>
      </c>
      <c r="E1977" t="s">
        <v>20</v>
      </c>
      <c r="F1977">
        <v>3</v>
      </c>
      <c r="G1977">
        <v>41513</v>
      </c>
      <c r="H1977">
        <v>124539</v>
      </c>
      <c r="I1977">
        <f t="shared" si="30"/>
        <v>124539</v>
      </c>
    </row>
    <row r="1978" spans="1:9" x14ac:dyDescent="0.3">
      <c r="A1978">
        <v>11977</v>
      </c>
      <c r="B1978" s="2">
        <v>45082</v>
      </c>
      <c r="C1978" t="s">
        <v>11</v>
      </c>
      <c r="D1978" t="s">
        <v>15</v>
      </c>
      <c r="E1978" t="s">
        <v>19</v>
      </c>
      <c r="F1978">
        <v>3</v>
      </c>
      <c r="G1978">
        <v>20274</v>
      </c>
      <c r="H1978">
        <v>60822</v>
      </c>
      <c r="I1978">
        <f t="shared" si="30"/>
        <v>60822</v>
      </c>
    </row>
    <row r="1979" spans="1:9" x14ac:dyDescent="0.3">
      <c r="A1979">
        <v>11978</v>
      </c>
      <c r="B1979" s="2">
        <v>45039</v>
      </c>
      <c r="C1979" t="s">
        <v>11</v>
      </c>
      <c r="D1979" t="s">
        <v>17</v>
      </c>
      <c r="E1979" t="s">
        <v>23</v>
      </c>
      <c r="F1979">
        <v>12</v>
      </c>
      <c r="G1979">
        <v>41678</v>
      </c>
      <c r="H1979">
        <v>500136</v>
      </c>
      <c r="I1979">
        <f t="shared" si="30"/>
        <v>500136</v>
      </c>
    </row>
    <row r="1980" spans="1:9" x14ac:dyDescent="0.3">
      <c r="A1980">
        <v>11979</v>
      </c>
      <c r="B1980" s="2">
        <v>44970</v>
      </c>
      <c r="C1980" t="s">
        <v>14</v>
      </c>
      <c r="D1980" t="s">
        <v>18</v>
      </c>
      <c r="E1980" t="s">
        <v>23</v>
      </c>
      <c r="F1980">
        <v>18</v>
      </c>
      <c r="G1980">
        <v>1727</v>
      </c>
      <c r="H1980">
        <v>31086</v>
      </c>
      <c r="I1980">
        <f t="shared" si="30"/>
        <v>31086</v>
      </c>
    </row>
    <row r="1981" spans="1:9" x14ac:dyDescent="0.3">
      <c r="A1981">
        <v>11980</v>
      </c>
      <c r="B1981" s="2">
        <v>45205</v>
      </c>
      <c r="C1981" t="s">
        <v>13</v>
      </c>
      <c r="D1981" t="s">
        <v>16</v>
      </c>
      <c r="E1981" t="s">
        <v>20</v>
      </c>
      <c r="F1981">
        <v>14</v>
      </c>
      <c r="G1981">
        <v>25981</v>
      </c>
      <c r="H1981">
        <v>363734</v>
      </c>
      <c r="I1981">
        <f t="shared" si="30"/>
        <v>363734</v>
      </c>
    </row>
    <row r="1982" spans="1:9" x14ac:dyDescent="0.3">
      <c r="A1982">
        <v>11981</v>
      </c>
      <c r="B1982" s="2">
        <v>45030</v>
      </c>
      <c r="C1982" t="s">
        <v>13</v>
      </c>
      <c r="D1982" t="s">
        <v>15</v>
      </c>
      <c r="E1982" t="s">
        <v>24</v>
      </c>
      <c r="F1982">
        <v>14</v>
      </c>
      <c r="G1982">
        <v>57978</v>
      </c>
      <c r="H1982">
        <v>811692</v>
      </c>
      <c r="I1982">
        <f t="shared" si="30"/>
        <v>811692</v>
      </c>
    </row>
    <row r="1983" spans="1:9" x14ac:dyDescent="0.3">
      <c r="A1983">
        <v>11982</v>
      </c>
      <c r="B1983" s="2">
        <v>45275</v>
      </c>
      <c r="C1983" t="s">
        <v>8</v>
      </c>
      <c r="D1983" t="s">
        <v>16</v>
      </c>
      <c r="E1983" t="s">
        <v>24</v>
      </c>
      <c r="F1983">
        <v>19</v>
      </c>
      <c r="G1983">
        <v>45989</v>
      </c>
      <c r="H1983">
        <v>873791</v>
      </c>
      <c r="I1983">
        <f t="shared" si="30"/>
        <v>873791</v>
      </c>
    </row>
    <row r="1984" spans="1:9" x14ac:dyDescent="0.3">
      <c r="A1984">
        <v>11983</v>
      </c>
      <c r="B1984" s="2">
        <v>44969</v>
      </c>
      <c r="C1984" t="s">
        <v>10</v>
      </c>
      <c r="D1984" t="s">
        <v>17</v>
      </c>
      <c r="E1984" t="s">
        <v>23</v>
      </c>
      <c r="F1984">
        <v>2</v>
      </c>
      <c r="G1984">
        <v>1814</v>
      </c>
      <c r="H1984">
        <v>3628</v>
      </c>
      <c r="I1984">
        <f t="shared" si="30"/>
        <v>3628</v>
      </c>
    </row>
    <row r="1985" spans="1:9" x14ac:dyDescent="0.3">
      <c r="A1985">
        <v>11984</v>
      </c>
      <c r="B1985" s="2">
        <v>45070</v>
      </c>
      <c r="C1985" t="s">
        <v>13</v>
      </c>
      <c r="D1985" t="s">
        <v>18</v>
      </c>
      <c r="E1985" t="s">
        <v>21</v>
      </c>
      <c r="F1985">
        <v>12</v>
      </c>
      <c r="G1985">
        <v>35561</v>
      </c>
      <c r="H1985">
        <v>426732</v>
      </c>
      <c r="I1985">
        <f t="shared" si="30"/>
        <v>426732</v>
      </c>
    </row>
    <row r="1986" spans="1:9" x14ac:dyDescent="0.3">
      <c r="A1986">
        <v>11985</v>
      </c>
      <c r="B1986" s="2">
        <v>45215</v>
      </c>
      <c r="C1986" t="s">
        <v>9</v>
      </c>
      <c r="D1986" t="s">
        <v>18</v>
      </c>
      <c r="E1986" t="s">
        <v>23</v>
      </c>
      <c r="F1986">
        <v>13</v>
      </c>
      <c r="G1986">
        <v>26710</v>
      </c>
      <c r="H1986">
        <v>347230</v>
      </c>
      <c r="I1986">
        <f t="shared" si="30"/>
        <v>347230</v>
      </c>
    </row>
    <row r="1987" spans="1:9" x14ac:dyDescent="0.3">
      <c r="A1987">
        <v>11986</v>
      </c>
      <c r="B1987" s="2">
        <v>45141</v>
      </c>
      <c r="C1987" t="s">
        <v>9</v>
      </c>
      <c r="D1987" t="s">
        <v>18</v>
      </c>
      <c r="E1987" t="s">
        <v>24</v>
      </c>
      <c r="F1987">
        <v>15</v>
      </c>
      <c r="G1987">
        <v>15353</v>
      </c>
      <c r="H1987">
        <v>230295</v>
      </c>
      <c r="I1987">
        <f t="shared" ref="I1987:I2050" si="31">G1987*F1987</f>
        <v>230295</v>
      </c>
    </row>
    <row r="1988" spans="1:9" x14ac:dyDescent="0.3">
      <c r="A1988">
        <v>11987</v>
      </c>
      <c r="B1988" s="2">
        <v>45184</v>
      </c>
      <c r="C1988" t="s">
        <v>14</v>
      </c>
      <c r="D1988" t="s">
        <v>16</v>
      </c>
      <c r="E1988" t="s">
        <v>22</v>
      </c>
      <c r="F1988">
        <v>18</v>
      </c>
      <c r="G1988">
        <v>5870</v>
      </c>
      <c r="H1988">
        <v>105660</v>
      </c>
      <c r="I1988">
        <f t="shared" si="31"/>
        <v>105660</v>
      </c>
    </row>
    <row r="1989" spans="1:9" x14ac:dyDescent="0.3">
      <c r="A1989">
        <v>11988</v>
      </c>
      <c r="B1989" s="2">
        <v>45140</v>
      </c>
      <c r="C1989" t="s">
        <v>11</v>
      </c>
      <c r="D1989" t="s">
        <v>15</v>
      </c>
      <c r="E1989" t="s">
        <v>24</v>
      </c>
      <c r="F1989">
        <v>18</v>
      </c>
      <c r="G1989">
        <v>4771</v>
      </c>
      <c r="H1989">
        <v>85878</v>
      </c>
      <c r="I1989">
        <f t="shared" si="31"/>
        <v>85878</v>
      </c>
    </row>
    <row r="1990" spans="1:9" x14ac:dyDescent="0.3">
      <c r="A1990">
        <v>11989</v>
      </c>
      <c r="B1990" s="2">
        <v>45194</v>
      </c>
      <c r="C1990" t="s">
        <v>13</v>
      </c>
      <c r="D1990" t="s">
        <v>15</v>
      </c>
      <c r="E1990" t="s">
        <v>19</v>
      </c>
      <c r="F1990">
        <v>11</v>
      </c>
      <c r="G1990">
        <v>22348</v>
      </c>
      <c r="H1990">
        <v>245828</v>
      </c>
      <c r="I1990">
        <f t="shared" si="31"/>
        <v>245828</v>
      </c>
    </row>
    <row r="1991" spans="1:9" x14ac:dyDescent="0.3">
      <c r="A1991">
        <v>11990</v>
      </c>
      <c r="B1991" s="2">
        <v>45073</v>
      </c>
      <c r="C1991" t="s">
        <v>11</v>
      </c>
      <c r="D1991" t="s">
        <v>17</v>
      </c>
      <c r="E1991" t="s">
        <v>19</v>
      </c>
      <c r="F1991">
        <v>19</v>
      </c>
      <c r="G1991">
        <v>33618</v>
      </c>
      <c r="H1991">
        <v>638742</v>
      </c>
      <c r="I1991">
        <f t="shared" si="31"/>
        <v>638742</v>
      </c>
    </row>
    <row r="1992" spans="1:9" x14ac:dyDescent="0.3">
      <c r="A1992">
        <v>11991</v>
      </c>
      <c r="B1992" s="2">
        <v>45099</v>
      </c>
      <c r="C1992" t="s">
        <v>11</v>
      </c>
      <c r="D1992" t="s">
        <v>17</v>
      </c>
      <c r="E1992" t="s">
        <v>24</v>
      </c>
      <c r="F1992">
        <v>16</v>
      </c>
      <c r="G1992">
        <v>7197</v>
      </c>
      <c r="H1992">
        <v>115152</v>
      </c>
      <c r="I1992">
        <f t="shared" si="31"/>
        <v>115152</v>
      </c>
    </row>
    <row r="1993" spans="1:9" x14ac:dyDescent="0.3">
      <c r="A1993">
        <v>11992</v>
      </c>
      <c r="B1993" s="2">
        <v>44968</v>
      </c>
      <c r="C1993" t="s">
        <v>14</v>
      </c>
      <c r="D1993" t="s">
        <v>17</v>
      </c>
      <c r="E1993" t="s">
        <v>22</v>
      </c>
      <c r="F1993">
        <v>3</v>
      </c>
      <c r="G1993">
        <v>4972</v>
      </c>
      <c r="H1993">
        <v>14916</v>
      </c>
      <c r="I1993">
        <f t="shared" si="31"/>
        <v>14916</v>
      </c>
    </row>
    <row r="1994" spans="1:9" x14ac:dyDescent="0.3">
      <c r="A1994">
        <v>11993</v>
      </c>
      <c r="B1994" s="2">
        <v>45027</v>
      </c>
      <c r="C1994" t="s">
        <v>12</v>
      </c>
      <c r="D1994" t="s">
        <v>16</v>
      </c>
      <c r="E1994" t="s">
        <v>19</v>
      </c>
      <c r="F1994">
        <v>19</v>
      </c>
      <c r="G1994">
        <v>22659</v>
      </c>
      <c r="H1994">
        <v>430521</v>
      </c>
      <c r="I1994">
        <f t="shared" si="31"/>
        <v>430521</v>
      </c>
    </row>
    <row r="1995" spans="1:9" x14ac:dyDescent="0.3">
      <c r="A1995">
        <v>11994</v>
      </c>
      <c r="B1995" s="2">
        <v>44948</v>
      </c>
      <c r="C1995" t="s">
        <v>11</v>
      </c>
      <c r="D1995" t="s">
        <v>16</v>
      </c>
      <c r="E1995" t="s">
        <v>22</v>
      </c>
      <c r="F1995">
        <v>5</v>
      </c>
      <c r="G1995">
        <v>20724</v>
      </c>
      <c r="H1995">
        <v>103620</v>
      </c>
      <c r="I1995">
        <f t="shared" si="31"/>
        <v>103620</v>
      </c>
    </row>
    <row r="1996" spans="1:9" x14ac:dyDescent="0.3">
      <c r="A1996">
        <v>11995</v>
      </c>
      <c r="B1996" s="2">
        <v>44937</v>
      </c>
      <c r="C1996" t="s">
        <v>12</v>
      </c>
      <c r="D1996" t="s">
        <v>17</v>
      </c>
      <c r="E1996" t="s">
        <v>24</v>
      </c>
      <c r="F1996">
        <v>4</v>
      </c>
      <c r="G1996">
        <v>21025</v>
      </c>
      <c r="H1996">
        <v>84100</v>
      </c>
      <c r="I1996">
        <f t="shared" si="31"/>
        <v>84100</v>
      </c>
    </row>
    <row r="1997" spans="1:9" x14ac:dyDescent="0.3">
      <c r="A1997">
        <v>11996</v>
      </c>
      <c r="B1997" s="2">
        <v>44988</v>
      </c>
      <c r="C1997" t="s">
        <v>10</v>
      </c>
      <c r="D1997" t="s">
        <v>15</v>
      </c>
      <c r="E1997" t="s">
        <v>20</v>
      </c>
      <c r="F1997">
        <v>17</v>
      </c>
      <c r="G1997">
        <v>6271</v>
      </c>
      <c r="H1997">
        <v>106607</v>
      </c>
      <c r="I1997">
        <f t="shared" si="31"/>
        <v>106607</v>
      </c>
    </row>
    <row r="1998" spans="1:9" x14ac:dyDescent="0.3">
      <c r="A1998">
        <v>11997</v>
      </c>
      <c r="B1998" s="2">
        <v>45037</v>
      </c>
      <c r="C1998" t="s">
        <v>14</v>
      </c>
      <c r="D1998" t="s">
        <v>17</v>
      </c>
      <c r="E1998" t="s">
        <v>22</v>
      </c>
      <c r="F1998">
        <v>16</v>
      </c>
      <c r="G1998">
        <v>29481</v>
      </c>
      <c r="H1998">
        <v>471696</v>
      </c>
      <c r="I1998">
        <f t="shared" si="31"/>
        <v>471696</v>
      </c>
    </row>
    <row r="1999" spans="1:9" x14ac:dyDescent="0.3">
      <c r="A1999">
        <v>11998</v>
      </c>
      <c r="B1999" s="2">
        <v>45133</v>
      </c>
      <c r="C1999" t="s">
        <v>9</v>
      </c>
      <c r="D1999" t="s">
        <v>16</v>
      </c>
      <c r="E1999" t="s">
        <v>24</v>
      </c>
      <c r="F1999">
        <v>12</v>
      </c>
      <c r="G1999">
        <v>12097</v>
      </c>
      <c r="H1999">
        <v>145164</v>
      </c>
      <c r="I1999">
        <f t="shared" si="31"/>
        <v>145164</v>
      </c>
    </row>
    <row r="2000" spans="1:9" x14ac:dyDescent="0.3">
      <c r="A2000">
        <v>11999</v>
      </c>
      <c r="B2000" s="2">
        <v>45032</v>
      </c>
      <c r="C2000" t="s">
        <v>10</v>
      </c>
      <c r="D2000" t="s">
        <v>17</v>
      </c>
      <c r="E2000" t="s">
        <v>23</v>
      </c>
      <c r="F2000">
        <v>1</v>
      </c>
      <c r="G2000">
        <v>33765</v>
      </c>
      <c r="H2000">
        <v>33765</v>
      </c>
      <c r="I2000">
        <f t="shared" si="31"/>
        <v>33765</v>
      </c>
    </row>
    <row r="2001" spans="1:9" x14ac:dyDescent="0.3">
      <c r="A2001">
        <v>12000</v>
      </c>
      <c r="B2001" s="2">
        <v>44990</v>
      </c>
      <c r="C2001" t="s">
        <v>9</v>
      </c>
      <c r="D2001" t="s">
        <v>17</v>
      </c>
      <c r="E2001" t="s">
        <v>19</v>
      </c>
      <c r="F2001">
        <v>9</v>
      </c>
      <c r="G2001">
        <v>43641</v>
      </c>
      <c r="H2001">
        <v>392769</v>
      </c>
      <c r="I2001">
        <f t="shared" si="31"/>
        <v>392769</v>
      </c>
    </row>
    <row r="2002" spans="1:9" x14ac:dyDescent="0.3">
      <c r="A2002">
        <v>12001</v>
      </c>
      <c r="B2002" s="2">
        <v>45237</v>
      </c>
      <c r="C2002" t="s">
        <v>9</v>
      </c>
      <c r="D2002" t="s">
        <v>17</v>
      </c>
      <c r="E2002" t="s">
        <v>23</v>
      </c>
      <c r="F2002">
        <v>1</v>
      </c>
      <c r="G2002">
        <v>52012</v>
      </c>
      <c r="H2002">
        <v>52012</v>
      </c>
      <c r="I2002">
        <f t="shared" si="31"/>
        <v>52012</v>
      </c>
    </row>
    <row r="2003" spans="1:9" x14ac:dyDescent="0.3">
      <c r="A2003">
        <v>12002</v>
      </c>
      <c r="B2003" s="2">
        <v>45233</v>
      </c>
      <c r="C2003" t="s">
        <v>13</v>
      </c>
      <c r="D2003" t="s">
        <v>16</v>
      </c>
      <c r="E2003" t="s">
        <v>21</v>
      </c>
      <c r="F2003">
        <v>15</v>
      </c>
      <c r="G2003">
        <v>40639</v>
      </c>
      <c r="H2003">
        <v>609585</v>
      </c>
      <c r="I2003">
        <f t="shared" si="31"/>
        <v>609585</v>
      </c>
    </row>
    <row r="2004" spans="1:9" x14ac:dyDescent="0.3">
      <c r="A2004">
        <v>12003</v>
      </c>
      <c r="B2004" s="2">
        <v>45174</v>
      </c>
      <c r="C2004" t="s">
        <v>10</v>
      </c>
      <c r="D2004" t="s">
        <v>15</v>
      </c>
      <c r="E2004" t="s">
        <v>19</v>
      </c>
      <c r="F2004">
        <v>12</v>
      </c>
      <c r="G2004">
        <v>24258</v>
      </c>
      <c r="H2004">
        <v>291096</v>
      </c>
      <c r="I2004">
        <f t="shared" si="31"/>
        <v>291096</v>
      </c>
    </row>
    <row r="2005" spans="1:9" x14ac:dyDescent="0.3">
      <c r="A2005">
        <v>12004</v>
      </c>
      <c r="B2005" s="2">
        <v>45118</v>
      </c>
      <c r="C2005" t="s">
        <v>11</v>
      </c>
      <c r="D2005" t="s">
        <v>15</v>
      </c>
      <c r="E2005" t="s">
        <v>20</v>
      </c>
      <c r="F2005">
        <v>13</v>
      </c>
      <c r="G2005">
        <v>32853</v>
      </c>
      <c r="H2005">
        <v>427089</v>
      </c>
      <c r="I2005">
        <f t="shared" si="31"/>
        <v>427089</v>
      </c>
    </row>
    <row r="2006" spans="1:9" x14ac:dyDescent="0.3">
      <c r="A2006">
        <v>12005</v>
      </c>
      <c r="B2006" s="2">
        <v>45096</v>
      </c>
      <c r="C2006" t="s">
        <v>8</v>
      </c>
      <c r="D2006" t="s">
        <v>18</v>
      </c>
      <c r="E2006" t="s">
        <v>23</v>
      </c>
      <c r="F2006">
        <v>20</v>
      </c>
      <c r="G2006">
        <v>54051</v>
      </c>
      <c r="H2006">
        <v>1081020</v>
      </c>
      <c r="I2006">
        <f t="shared" si="31"/>
        <v>1081020</v>
      </c>
    </row>
    <row r="2007" spans="1:9" x14ac:dyDescent="0.3">
      <c r="A2007">
        <v>12006</v>
      </c>
      <c r="B2007" s="2">
        <v>45200</v>
      </c>
      <c r="C2007" t="s">
        <v>11</v>
      </c>
      <c r="D2007" t="s">
        <v>17</v>
      </c>
      <c r="E2007" t="s">
        <v>23</v>
      </c>
      <c r="F2007">
        <v>9</v>
      </c>
      <c r="G2007">
        <v>30835</v>
      </c>
      <c r="H2007">
        <v>277515</v>
      </c>
      <c r="I2007">
        <f t="shared" si="31"/>
        <v>277515</v>
      </c>
    </row>
    <row r="2008" spans="1:9" x14ac:dyDescent="0.3">
      <c r="A2008">
        <v>12007</v>
      </c>
      <c r="B2008" s="2">
        <v>44937</v>
      </c>
      <c r="C2008" t="s">
        <v>14</v>
      </c>
      <c r="D2008" t="s">
        <v>16</v>
      </c>
      <c r="E2008" t="s">
        <v>20</v>
      </c>
      <c r="F2008">
        <v>3</v>
      </c>
      <c r="G2008">
        <v>40653</v>
      </c>
      <c r="H2008">
        <v>121959</v>
      </c>
      <c r="I2008">
        <f t="shared" si="31"/>
        <v>121959</v>
      </c>
    </row>
    <row r="2009" spans="1:9" x14ac:dyDescent="0.3">
      <c r="A2009">
        <v>12008</v>
      </c>
      <c r="B2009" s="2">
        <v>45248</v>
      </c>
      <c r="C2009" t="s">
        <v>9</v>
      </c>
      <c r="D2009" t="s">
        <v>16</v>
      </c>
      <c r="E2009" t="s">
        <v>22</v>
      </c>
      <c r="F2009">
        <v>20</v>
      </c>
      <c r="G2009">
        <v>27602</v>
      </c>
      <c r="H2009">
        <v>552040</v>
      </c>
      <c r="I2009">
        <f t="shared" si="31"/>
        <v>552040</v>
      </c>
    </row>
    <row r="2010" spans="1:9" x14ac:dyDescent="0.3">
      <c r="A2010">
        <v>12009</v>
      </c>
      <c r="B2010" s="2">
        <v>45137</v>
      </c>
      <c r="C2010" t="s">
        <v>9</v>
      </c>
      <c r="D2010" t="s">
        <v>18</v>
      </c>
      <c r="E2010" t="s">
        <v>20</v>
      </c>
      <c r="F2010">
        <v>13</v>
      </c>
      <c r="G2010">
        <v>43308</v>
      </c>
      <c r="H2010">
        <v>563004</v>
      </c>
      <c r="I2010">
        <f t="shared" si="31"/>
        <v>563004</v>
      </c>
    </row>
    <row r="2011" spans="1:9" x14ac:dyDescent="0.3">
      <c r="A2011">
        <v>12010</v>
      </c>
      <c r="B2011" s="2">
        <v>45175</v>
      </c>
      <c r="C2011" t="s">
        <v>13</v>
      </c>
      <c r="D2011" t="s">
        <v>15</v>
      </c>
      <c r="E2011" t="s">
        <v>19</v>
      </c>
      <c r="F2011">
        <v>16</v>
      </c>
      <c r="G2011">
        <v>46163</v>
      </c>
      <c r="H2011">
        <v>738608</v>
      </c>
      <c r="I2011">
        <f t="shared" si="31"/>
        <v>738608</v>
      </c>
    </row>
    <row r="2012" spans="1:9" x14ac:dyDescent="0.3">
      <c r="A2012">
        <v>12011</v>
      </c>
      <c r="B2012" s="2">
        <v>45081</v>
      </c>
      <c r="C2012" t="s">
        <v>8</v>
      </c>
      <c r="D2012" t="s">
        <v>15</v>
      </c>
      <c r="E2012" t="s">
        <v>19</v>
      </c>
      <c r="F2012">
        <v>11</v>
      </c>
      <c r="G2012">
        <v>31869</v>
      </c>
      <c r="H2012">
        <v>350559</v>
      </c>
      <c r="I2012">
        <f t="shared" si="31"/>
        <v>350559</v>
      </c>
    </row>
    <row r="2013" spans="1:9" x14ac:dyDescent="0.3">
      <c r="A2013">
        <v>12012</v>
      </c>
      <c r="B2013" s="2">
        <v>45004</v>
      </c>
      <c r="C2013" t="s">
        <v>8</v>
      </c>
      <c r="D2013" t="s">
        <v>18</v>
      </c>
      <c r="E2013" t="s">
        <v>19</v>
      </c>
      <c r="F2013">
        <v>16</v>
      </c>
      <c r="G2013">
        <v>8848</v>
      </c>
      <c r="H2013">
        <v>141568</v>
      </c>
      <c r="I2013">
        <f t="shared" si="31"/>
        <v>141568</v>
      </c>
    </row>
    <row r="2014" spans="1:9" x14ac:dyDescent="0.3">
      <c r="A2014">
        <v>12013</v>
      </c>
      <c r="B2014" s="2">
        <v>45006</v>
      </c>
      <c r="C2014" t="s">
        <v>13</v>
      </c>
      <c r="D2014" t="s">
        <v>18</v>
      </c>
      <c r="E2014" t="s">
        <v>23</v>
      </c>
      <c r="F2014">
        <v>17</v>
      </c>
      <c r="G2014">
        <v>24438</v>
      </c>
      <c r="H2014">
        <v>415446</v>
      </c>
      <c r="I2014">
        <f t="shared" si="31"/>
        <v>415446</v>
      </c>
    </row>
    <row r="2015" spans="1:9" x14ac:dyDescent="0.3">
      <c r="A2015">
        <v>12014</v>
      </c>
      <c r="B2015" s="2">
        <v>45284</v>
      </c>
      <c r="C2015" t="s">
        <v>11</v>
      </c>
      <c r="D2015" t="s">
        <v>15</v>
      </c>
      <c r="E2015" t="s">
        <v>22</v>
      </c>
      <c r="F2015">
        <v>17</v>
      </c>
      <c r="G2015">
        <v>47201</v>
      </c>
      <c r="H2015">
        <v>802417</v>
      </c>
      <c r="I2015">
        <f t="shared" si="31"/>
        <v>802417</v>
      </c>
    </row>
    <row r="2016" spans="1:9" x14ac:dyDescent="0.3">
      <c r="A2016">
        <v>12015</v>
      </c>
      <c r="B2016" s="2">
        <v>44966</v>
      </c>
      <c r="C2016" t="s">
        <v>14</v>
      </c>
      <c r="D2016" t="s">
        <v>17</v>
      </c>
      <c r="E2016" t="s">
        <v>19</v>
      </c>
      <c r="F2016">
        <v>18</v>
      </c>
      <c r="G2016">
        <v>36023</v>
      </c>
      <c r="H2016">
        <v>648414</v>
      </c>
      <c r="I2016">
        <f t="shared" si="31"/>
        <v>648414</v>
      </c>
    </row>
    <row r="2017" spans="1:9" x14ac:dyDescent="0.3">
      <c r="A2017">
        <v>12016</v>
      </c>
      <c r="B2017" s="2">
        <v>45029</v>
      </c>
      <c r="C2017" t="s">
        <v>9</v>
      </c>
      <c r="D2017" t="s">
        <v>15</v>
      </c>
      <c r="E2017" t="s">
        <v>24</v>
      </c>
      <c r="F2017">
        <v>3</v>
      </c>
      <c r="G2017">
        <v>5326</v>
      </c>
      <c r="H2017">
        <v>15978</v>
      </c>
      <c r="I2017">
        <f t="shared" si="31"/>
        <v>15978</v>
      </c>
    </row>
    <row r="2018" spans="1:9" x14ac:dyDescent="0.3">
      <c r="A2018">
        <v>12017</v>
      </c>
      <c r="B2018" s="2">
        <v>45291</v>
      </c>
      <c r="C2018" t="s">
        <v>14</v>
      </c>
      <c r="D2018" t="s">
        <v>15</v>
      </c>
      <c r="E2018" t="s">
        <v>21</v>
      </c>
      <c r="F2018">
        <v>16</v>
      </c>
      <c r="G2018">
        <v>13963</v>
      </c>
      <c r="H2018">
        <v>223408</v>
      </c>
      <c r="I2018">
        <f t="shared" si="31"/>
        <v>223408</v>
      </c>
    </row>
    <row r="2019" spans="1:9" x14ac:dyDescent="0.3">
      <c r="A2019">
        <v>12018</v>
      </c>
      <c r="B2019" s="2">
        <v>45249</v>
      </c>
      <c r="C2019" t="s">
        <v>14</v>
      </c>
      <c r="D2019" t="s">
        <v>17</v>
      </c>
      <c r="E2019" t="s">
        <v>20</v>
      </c>
      <c r="F2019">
        <v>1</v>
      </c>
      <c r="G2019">
        <v>58485</v>
      </c>
      <c r="H2019">
        <v>58485</v>
      </c>
      <c r="I2019">
        <f t="shared" si="31"/>
        <v>58485</v>
      </c>
    </row>
    <row r="2020" spans="1:9" x14ac:dyDescent="0.3">
      <c r="A2020">
        <v>12019</v>
      </c>
      <c r="B2020" s="2">
        <v>44999</v>
      </c>
      <c r="C2020" t="s">
        <v>9</v>
      </c>
      <c r="D2020" t="s">
        <v>18</v>
      </c>
      <c r="E2020" t="s">
        <v>24</v>
      </c>
      <c r="F2020">
        <v>11</v>
      </c>
      <c r="G2020">
        <v>43160</v>
      </c>
      <c r="H2020">
        <v>474760</v>
      </c>
      <c r="I2020">
        <f t="shared" si="31"/>
        <v>474760</v>
      </c>
    </row>
    <row r="2021" spans="1:9" x14ac:dyDescent="0.3">
      <c r="A2021">
        <v>12020</v>
      </c>
      <c r="B2021" s="2">
        <v>45170</v>
      </c>
      <c r="C2021" t="s">
        <v>11</v>
      </c>
      <c r="D2021" t="s">
        <v>16</v>
      </c>
      <c r="E2021" t="s">
        <v>21</v>
      </c>
      <c r="F2021">
        <v>2</v>
      </c>
      <c r="G2021">
        <v>22416</v>
      </c>
      <c r="H2021">
        <v>44832</v>
      </c>
      <c r="I2021">
        <f t="shared" si="31"/>
        <v>44832</v>
      </c>
    </row>
    <row r="2022" spans="1:9" x14ac:dyDescent="0.3">
      <c r="A2022">
        <v>12021</v>
      </c>
      <c r="B2022" s="2">
        <v>45180</v>
      </c>
      <c r="C2022" t="s">
        <v>14</v>
      </c>
      <c r="D2022" t="s">
        <v>15</v>
      </c>
      <c r="E2022" t="s">
        <v>19</v>
      </c>
      <c r="F2022">
        <v>9</v>
      </c>
      <c r="G2022">
        <v>41031</v>
      </c>
      <c r="H2022">
        <v>369279</v>
      </c>
      <c r="I2022">
        <f t="shared" si="31"/>
        <v>369279</v>
      </c>
    </row>
    <row r="2023" spans="1:9" x14ac:dyDescent="0.3">
      <c r="A2023">
        <v>12022</v>
      </c>
      <c r="B2023" s="2">
        <v>45231</v>
      </c>
      <c r="C2023" t="s">
        <v>8</v>
      </c>
      <c r="D2023" t="s">
        <v>18</v>
      </c>
      <c r="E2023" t="s">
        <v>21</v>
      </c>
      <c r="F2023">
        <v>13</v>
      </c>
      <c r="G2023">
        <v>56316</v>
      </c>
      <c r="H2023">
        <v>732108</v>
      </c>
      <c r="I2023">
        <f t="shared" si="31"/>
        <v>732108</v>
      </c>
    </row>
    <row r="2024" spans="1:9" x14ac:dyDescent="0.3">
      <c r="A2024">
        <v>12023</v>
      </c>
      <c r="B2024" s="2">
        <v>44935</v>
      </c>
      <c r="C2024" t="s">
        <v>9</v>
      </c>
      <c r="D2024" t="s">
        <v>18</v>
      </c>
      <c r="E2024" t="s">
        <v>19</v>
      </c>
      <c r="F2024">
        <v>7</v>
      </c>
      <c r="G2024">
        <v>17321</v>
      </c>
      <c r="H2024">
        <v>121247</v>
      </c>
      <c r="I2024">
        <f t="shared" si="31"/>
        <v>121247</v>
      </c>
    </row>
    <row r="2025" spans="1:9" x14ac:dyDescent="0.3">
      <c r="A2025">
        <v>12024</v>
      </c>
      <c r="B2025" s="2">
        <v>45030</v>
      </c>
      <c r="C2025" t="s">
        <v>11</v>
      </c>
      <c r="D2025" t="s">
        <v>15</v>
      </c>
      <c r="E2025" t="s">
        <v>22</v>
      </c>
      <c r="F2025">
        <v>16</v>
      </c>
      <c r="G2025">
        <v>50260</v>
      </c>
      <c r="H2025">
        <v>804160</v>
      </c>
      <c r="I2025">
        <f t="shared" si="31"/>
        <v>804160</v>
      </c>
    </row>
    <row r="2026" spans="1:9" x14ac:dyDescent="0.3">
      <c r="A2026">
        <v>12025</v>
      </c>
      <c r="B2026" s="2">
        <v>45159</v>
      </c>
      <c r="C2026" t="s">
        <v>9</v>
      </c>
      <c r="D2026" t="s">
        <v>16</v>
      </c>
      <c r="E2026" t="s">
        <v>23</v>
      </c>
      <c r="F2026">
        <v>20</v>
      </c>
      <c r="G2026">
        <v>8208</v>
      </c>
      <c r="H2026">
        <v>164160</v>
      </c>
      <c r="I2026">
        <f t="shared" si="31"/>
        <v>164160</v>
      </c>
    </row>
    <row r="2027" spans="1:9" x14ac:dyDescent="0.3">
      <c r="A2027">
        <v>12026</v>
      </c>
      <c r="B2027" s="2">
        <v>45230</v>
      </c>
      <c r="C2027" t="s">
        <v>9</v>
      </c>
      <c r="D2027" t="s">
        <v>16</v>
      </c>
      <c r="E2027" t="s">
        <v>19</v>
      </c>
      <c r="F2027">
        <v>15</v>
      </c>
      <c r="G2027">
        <v>39794</v>
      </c>
      <c r="H2027">
        <v>596910</v>
      </c>
      <c r="I2027">
        <f t="shared" si="31"/>
        <v>596910</v>
      </c>
    </row>
    <row r="2028" spans="1:9" x14ac:dyDescent="0.3">
      <c r="A2028">
        <v>12027</v>
      </c>
      <c r="B2028" s="2">
        <v>45239</v>
      </c>
      <c r="C2028" t="s">
        <v>12</v>
      </c>
      <c r="D2028" t="s">
        <v>17</v>
      </c>
      <c r="E2028" t="s">
        <v>21</v>
      </c>
      <c r="F2028">
        <v>4</v>
      </c>
      <c r="G2028">
        <v>58576</v>
      </c>
      <c r="H2028">
        <v>234304</v>
      </c>
      <c r="I2028">
        <f t="shared" si="31"/>
        <v>234304</v>
      </c>
    </row>
    <row r="2029" spans="1:9" x14ac:dyDescent="0.3">
      <c r="A2029">
        <v>12028</v>
      </c>
      <c r="B2029" s="2">
        <v>45201</v>
      </c>
      <c r="C2029" t="s">
        <v>13</v>
      </c>
      <c r="D2029" t="s">
        <v>15</v>
      </c>
      <c r="E2029" t="s">
        <v>23</v>
      </c>
      <c r="F2029">
        <v>7</v>
      </c>
      <c r="G2029">
        <v>7360</v>
      </c>
      <c r="H2029">
        <v>51520</v>
      </c>
      <c r="I2029">
        <f t="shared" si="31"/>
        <v>51520</v>
      </c>
    </row>
    <row r="2030" spans="1:9" x14ac:dyDescent="0.3">
      <c r="A2030">
        <v>12029</v>
      </c>
      <c r="B2030" s="2">
        <v>44930</v>
      </c>
      <c r="C2030" t="s">
        <v>11</v>
      </c>
      <c r="D2030" t="s">
        <v>17</v>
      </c>
      <c r="E2030" t="s">
        <v>24</v>
      </c>
      <c r="F2030">
        <v>11</v>
      </c>
      <c r="G2030">
        <v>41045</v>
      </c>
      <c r="H2030">
        <v>451495</v>
      </c>
      <c r="I2030">
        <f t="shared" si="31"/>
        <v>451495</v>
      </c>
    </row>
    <row r="2031" spans="1:9" x14ac:dyDescent="0.3">
      <c r="A2031">
        <v>12030</v>
      </c>
      <c r="B2031" s="2">
        <v>45201</v>
      </c>
      <c r="C2031" t="s">
        <v>9</v>
      </c>
      <c r="D2031" t="s">
        <v>16</v>
      </c>
      <c r="E2031" t="s">
        <v>20</v>
      </c>
      <c r="F2031">
        <v>14</v>
      </c>
      <c r="G2031">
        <v>40406</v>
      </c>
      <c r="H2031">
        <v>565684</v>
      </c>
      <c r="I2031">
        <f t="shared" si="31"/>
        <v>565684</v>
      </c>
    </row>
    <row r="2032" spans="1:9" x14ac:dyDescent="0.3">
      <c r="A2032">
        <v>12031</v>
      </c>
      <c r="B2032" s="2">
        <v>45133</v>
      </c>
      <c r="C2032" t="s">
        <v>10</v>
      </c>
      <c r="D2032" t="s">
        <v>18</v>
      </c>
      <c r="E2032" t="s">
        <v>24</v>
      </c>
      <c r="F2032">
        <v>11</v>
      </c>
      <c r="G2032">
        <v>31503</v>
      </c>
      <c r="H2032">
        <v>346533</v>
      </c>
      <c r="I2032">
        <f t="shared" si="31"/>
        <v>346533</v>
      </c>
    </row>
    <row r="2033" spans="1:9" x14ac:dyDescent="0.3">
      <c r="A2033">
        <v>12032</v>
      </c>
      <c r="B2033" s="2">
        <v>45018</v>
      </c>
      <c r="C2033" t="s">
        <v>9</v>
      </c>
      <c r="D2033" t="s">
        <v>18</v>
      </c>
      <c r="E2033" t="s">
        <v>19</v>
      </c>
      <c r="F2033">
        <v>16</v>
      </c>
      <c r="G2033">
        <v>47089</v>
      </c>
      <c r="H2033">
        <v>753424</v>
      </c>
      <c r="I2033">
        <f t="shared" si="31"/>
        <v>753424</v>
      </c>
    </row>
    <row r="2034" spans="1:9" x14ac:dyDescent="0.3">
      <c r="A2034">
        <v>12033</v>
      </c>
      <c r="B2034" s="2">
        <v>45075</v>
      </c>
      <c r="C2034" t="s">
        <v>8</v>
      </c>
      <c r="D2034" t="s">
        <v>17</v>
      </c>
      <c r="E2034" t="s">
        <v>24</v>
      </c>
      <c r="F2034">
        <v>15</v>
      </c>
      <c r="G2034">
        <v>57480</v>
      </c>
      <c r="H2034">
        <v>862200</v>
      </c>
      <c r="I2034">
        <f t="shared" si="31"/>
        <v>862200</v>
      </c>
    </row>
    <row r="2035" spans="1:9" x14ac:dyDescent="0.3">
      <c r="A2035">
        <v>12034</v>
      </c>
      <c r="B2035" s="2">
        <v>45068</v>
      </c>
      <c r="C2035" t="s">
        <v>14</v>
      </c>
      <c r="D2035" t="s">
        <v>18</v>
      </c>
      <c r="E2035" t="s">
        <v>21</v>
      </c>
      <c r="F2035">
        <v>12</v>
      </c>
      <c r="G2035">
        <v>42398</v>
      </c>
      <c r="H2035">
        <v>508776</v>
      </c>
      <c r="I2035">
        <f t="shared" si="31"/>
        <v>508776</v>
      </c>
    </row>
    <row r="2036" spans="1:9" x14ac:dyDescent="0.3">
      <c r="A2036">
        <v>12035</v>
      </c>
      <c r="B2036" s="2">
        <v>44948</v>
      </c>
      <c r="C2036" t="s">
        <v>9</v>
      </c>
      <c r="D2036" t="s">
        <v>16</v>
      </c>
      <c r="E2036" t="s">
        <v>21</v>
      </c>
      <c r="F2036">
        <v>12</v>
      </c>
      <c r="G2036">
        <v>9858</v>
      </c>
      <c r="H2036">
        <v>118296</v>
      </c>
      <c r="I2036">
        <f t="shared" si="31"/>
        <v>118296</v>
      </c>
    </row>
    <row r="2037" spans="1:9" x14ac:dyDescent="0.3">
      <c r="A2037">
        <v>12036</v>
      </c>
      <c r="B2037" s="2">
        <v>45262</v>
      </c>
      <c r="C2037" t="s">
        <v>8</v>
      </c>
      <c r="D2037" t="s">
        <v>17</v>
      </c>
      <c r="E2037" t="s">
        <v>21</v>
      </c>
      <c r="F2037">
        <v>15</v>
      </c>
      <c r="G2037">
        <v>4849</v>
      </c>
      <c r="H2037">
        <v>72735</v>
      </c>
      <c r="I2037">
        <f t="shared" si="31"/>
        <v>72735</v>
      </c>
    </row>
    <row r="2038" spans="1:9" x14ac:dyDescent="0.3">
      <c r="A2038">
        <v>12037</v>
      </c>
      <c r="B2038" s="2">
        <v>45212</v>
      </c>
      <c r="C2038" t="s">
        <v>11</v>
      </c>
      <c r="D2038" t="s">
        <v>16</v>
      </c>
      <c r="E2038" t="s">
        <v>20</v>
      </c>
      <c r="F2038">
        <v>16</v>
      </c>
      <c r="G2038">
        <v>38097</v>
      </c>
      <c r="H2038">
        <v>609552</v>
      </c>
      <c r="I2038">
        <f t="shared" si="31"/>
        <v>609552</v>
      </c>
    </row>
    <row r="2039" spans="1:9" x14ac:dyDescent="0.3">
      <c r="A2039">
        <v>12038</v>
      </c>
      <c r="B2039" s="2">
        <v>45232</v>
      </c>
      <c r="C2039" t="s">
        <v>13</v>
      </c>
      <c r="D2039" t="s">
        <v>15</v>
      </c>
      <c r="E2039" t="s">
        <v>20</v>
      </c>
      <c r="F2039">
        <v>6</v>
      </c>
      <c r="G2039">
        <v>7089</v>
      </c>
      <c r="H2039">
        <v>42534</v>
      </c>
      <c r="I2039">
        <f t="shared" si="31"/>
        <v>42534</v>
      </c>
    </row>
    <row r="2040" spans="1:9" x14ac:dyDescent="0.3">
      <c r="A2040">
        <v>12039</v>
      </c>
      <c r="B2040" s="2">
        <v>45058</v>
      </c>
      <c r="C2040" t="s">
        <v>11</v>
      </c>
      <c r="D2040" t="s">
        <v>16</v>
      </c>
      <c r="E2040" t="s">
        <v>20</v>
      </c>
      <c r="F2040">
        <v>20</v>
      </c>
      <c r="G2040">
        <v>4080</v>
      </c>
      <c r="H2040">
        <v>81600</v>
      </c>
      <c r="I2040">
        <f t="shared" si="31"/>
        <v>81600</v>
      </c>
    </row>
    <row r="2041" spans="1:9" x14ac:dyDescent="0.3">
      <c r="A2041">
        <v>12040</v>
      </c>
      <c r="B2041" s="2">
        <v>45248</v>
      </c>
      <c r="C2041" t="s">
        <v>10</v>
      </c>
      <c r="D2041" t="s">
        <v>18</v>
      </c>
      <c r="E2041" t="s">
        <v>24</v>
      </c>
      <c r="F2041">
        <v>5</v>
      </c>
      <c r="G2041">
        <v>26986</v>
      </c>
      <c r="H2041">
        <v>134930</v>
      </c>
      <c r="I2041">
        <f t="shared" si="31"/>
        <v>134930</v>
      </c>
    </row>
    <row r="2042" spans="1:9" x14ac:dyDescent="0.3">
      <c r="A2042">
        <v>12041</v>
      </c>
      <c r="B2042" s="2">
        <v>45083</v>
      </c>
      <c r="C2042" t="s">
        <v>10</v>
      </c>
      <c r="D2042" t="s">
        <v>17</v>
      </c>
      <c r="E2042" t="s">
        <v>20</v>
      </c>
      <c r="F2042">
        <v>14</v>
      </c>
      <c r="G2042">
        <v>53775</v>
      </c>
      <c r="H2042">
        <v>752850</v>
      </c>
      <c r="I2042">
        <f t="shared" si="31"/>
        <v>752850</v>
      </c>
    </row>
    <row r="2043" spans="1:9" x14ac:dyDescent="0.3">
      <c r="A2043">
        <v>12042</v>
      </c>
      <c r="B2043" s="2">
        <v>45075</v>
      </c>
      <c r="C2043" t="s">
        <v>14</v>
      </c>
      <c r="D2043" t="s">
        <v>17</v>
      </c>
      <c r="E2043" t="s">
        <v>23</v>
      </c>
      <c r="F2043">
        <v>12</v>
      </c>
      <c r="G2043">
        <v>37751</v>
      </c>
      <c r="H2043">
        <v>453012</v>
      </c>
      <c r="I2043">
        <f t="shared" si="31"/>
        <v>453012</v>
      </c>
    </row>
    <row r="2044" spans="1:9" x14ac:dyDescent="0.3">
      <c r="A2044">
        <v>12043</v>
      </c>
      <c r="B2044" s="2">
        <v>45179</v>
      </c>
      <c r="C2044" t="s">
        <v>10</v>
      </c>
      <c r="D2044" t="s">
        <v>16</v>
      </c>
      <c r="E2044" t="s">
        <v>19</v>
      </c>
      <c r="F2044">
        <v>2</v>
      </c>
      <c r="G2044">
        <v>45943</v>
      </c>
      <c r="H2044">
        <v>91886</v>
      </c>
      <c r="I2044">
        <f t="shared" si="31"/>
        <v>91886</v>
      </c>
    </row>
    <row r="2045" spans="1:9" x14ac:dyDescent="0.3">
      <c r="A2045">
        <v>12044</v>
      </c>
      <c r="B2045" s="2">
        <v>45058</v>
      </c>
      <c r="C2045" t="s">
        <v>10</v>
      </c>
      <c r="D2045" t="s">
        <v>15</v>
      </c>
      <c r="E2045" t="s">
        <v>22</v>
      </c>
      <c r="F2045">
        <v>18</v>
      </c>
      <c r="G2045">
        <v>26507</v>
      </c>
      <c r="H2045">
        <v>477126</v>
      </c>
      <c r="I2045">
        <f t="shared" si="31"/>
        <v>477126</v>
      </c>
    </row>
    <row r="2046" spans="1:9" x14ac:dyDescent="0.3">
      <c r="A2046">
        <v>12045</v>
      </c>
      <c r="B2046" s="2">
        <v>45122</v>
      </c>
      <c r="C2046" t="s">
        <v>9</v>
      </c>
      <c r="D2046" t="s">
        <v>16</v>
      </c>
      <c r="E2046" t="s">
        <v>19</v>
      </c>
      <c r="F2046">
        <v>4</v>
      </c>
      <c r="G2046">
        <v>12701</v>
      </c>
      <c r="H2046">
        <v>50804</v>
      </c>
      <c r="I2046">
        <f t="shared" si="31"/>
        <v>50804</v>
      </c>
    </row>
    <row r="2047" spans="1:9" x14ac:dyDescent="0.3">
      <c r="A2047">
        <v>12046</v>
      </c>
      <c r="B2047" s="2">
        <v>44934</v>
      </c>
      <c r="C2047" t="s">
        <v>14</v>
      </c>
      <c r="D2047" t="s">
        <v>15</v>
      </c>
      <c r="E2047" t="s">
        <v>22</v>
      </c>
      <c r="F2047">
        <v>8</v>
      </c>
      <c r="G2047">
        <v>48087</v>
      </c>
      <c r="H2047">
        <v>384696</v>
      </c>
      <c r="I2047">
        <f t="shared" si="31"/>
        <v>384696</v>
      </c>
    </row>
    <row r="2048" spans="1:9" x14ac:dyDescent="0.3">
      <c r="A2048">
        <v>12047</v>
      </c>
      <c r="B2048" s="2">
        <v>44954</v>
      </c>
      <c r="C2048" t="s">
        <v>9</v>
      </c>
      <c r="D2048" t="s">
        <v>18</v>
      </c>
      <c r="E2048" t="s">
        <v>22</v>
      </c>
      <c r="F2048">
        <v>16</v>
      </c>
      <c r="G2048">
        <v>52280</v>
      </c>
      <c r="H2048">
        <v>836480</v>
      </c>
      <c r="I2048">
        <f t="shared" si="31"/>
        <v>836480</v>
      </c>
    </row>
    <row r="2049" spans="1:9" x14ac:dyDescent="0.3">
      <c r="A2049">
        <v>12048</v>
      </c>
      <c r="B2049" s="2">
        <v>45143</v>
      </c>
      <c r="C2049" t="s">
        <v>11</v>
      </c>
      <c r="D2049" t="s">
        <v>15</v>
      </c>
      <c r="E2049" t="s">
        <v>24</v>
      </c>
      <c r="F2049">
        <v>10</v>
      </c>
      <c r="G2049">
        <v>6266</v>
      </c>
      <c r="H2049">
        <v>62660</v>
      </c>
      <c r="I2049">
        <f t="shared" si="31"/>
        <v>62660</v>
      </c>
    </row>
    <row r="2050" spans="1:9" x14ac:dyDescent="0.3">
      <c r="A2050">
        <v>12049</v>
      </c>
      <c r="B2050" s="2">
        <v>45042</v>
      </c>
      <c r="C2050" t="s">
        <v>9</v>
      </c>
      <c r="D2050" t="s">
        <v>17</v>
      </c>
      <c r="E2050" t="s">
        <v>22</v>
      </c>
      <c r="F2050">
        <v>18</v>
      </c>
      <c r="G2050">
        <v>51220</v>
      </c>
      <c r="H2050">
        <v>921960</v>
      </c>
      <c r="I2050">
        <f t="shared" si="31"/>
        <v>921960</v>
      </c>
    </row>
    <row r="2051" spans="1:9" x14ac:dyDescent="0.3">
      <c r="A2051">
        <v>12050</v>
      </c>
      <c r="B2051" s="2">
        <v>45022</v>
      </c>
      <c r="C2051" t="s">
        <v>14</v>
      </c>
      <c r="D2051" t="s">
        <v>18</v>
      </c>
      <c r="E2051" t="s">
        <v>22</v>
      </c>
      <c r="F2051">
        <v>17</v>
      </c>
      <c r="G2051">
        <v>8694</v>
      </c>
      <c r="H2051">
        <v>147798</v>
      </c>
      <c r="I2051">
        <f t="shared" ref="I2051:I2114" si="32">G2051*F2051</f>
        <v>147798</v>
      </c>
    </row>
    <row r="2052" spans="1:9" x14ac:dyDescent="0.3">
      <c r="A2052">
        <v>12051</v>
      </c>
      <c r="B2052" s="2">
        <v>45129</v>
      </c>
      <c r="C2052" t="s">
        <v>10</v>
      </c>
      <c r="D2052" t="s">
        <v>17</v>
      </c>
      <c r="E2052" t="s">
        <v>22</v>
      </c>
      <c r="F2052">
        <v>4</v>
      </c>
      <c r="G2052">
        <v>41072</v>
      </c>
      <c r="H2052">
        <v>164288</v>
      </c>
      <c r="I2052">
        <f t="shared" si="32"/>
        <v>164288</v>
      </c>
    </row>
    <row r="2053" spans="1:9" x14ac:dyDescent="0.3">
      <c r="A2053">
        <v>12052</v>
      </c>
      <c r="B2053" s="2">
        <v>45287</v>
      </c>
      <c r="C2053" t="s">
        <v>14</v>
      </c>
      <c r="D2053" t="s">
        <v>18</v>
      </c>
      <c r="E2053" t="s">
        <v>23</v>
      </c>
      <c r="F2053">
        <v>8</v>
      </c>
      <c r="G2053">
        <v>50871</v>
      </c>
      <c r="H2053">
        <v>406968</v>
      </c>
      <c r="I2053">
        <f t="shared" si="32"/>
        <v>406968</v>
      </c>
    </row>
    <row r="2054" spans="1:9" x14ac:dyDescent="0.3">
      <c r="A2054">
        <v>12053</v>
      </c>
      <c r="B2054" s="2">
        <v>45252</v>
      </c>
      <c r="C2054" t="s">
        <v>11</v>
      </c>
      <c r="D2054" t="s">
        <v>17</v>
      </c>
      <c r="E2054" t="s">
        <v>23</v>
      </c>
      <c r="F2054">
        <v>13</v>
      </c>
      <c r="G2054">
        <v>7107</v>
      </c>
      <c r="H2054">
        <v>92391</v>
      </c>
      <c r="I2054">
        <f t="shared" si="32"/>
        <v>92391</v>
      </c>
    </row>
    <row r="2055" spans="1:9" x14ac:dyDescent="0.3">
      <c r="A2055">
        <v>12054</v>
      </c>
      <c r="B2055" s="2">
        <v>45193</v>
      </c>
      <c r="C2055" t="s">
        <v>9</v>
      </c>
      <c r="D2055" t="s">
        <v>16</v>
      </c>
      <c r="E2055" t="s">
        <v>21</v>
      </c>
      <c r="F2055">
        <v>1</v>
      </c>
      <c r="G2055">
        <v>18337</v>
      </c>
      <c r="H2055">
        <v>18337</v>
      </c>
      <c r="I2055">
        <f t="shared" si="32"/>
        <v>18337</v>
      </c>
    </row>
    <row r="2056" spans="1:9" x14ac:dyDescent="0.3">
      <c r="A2056">
        <v>12055</v>
      </c>
      <c r="B2056" s="2">
        <v>45290</v>
      </c>
      <c r="C2056" t="s">
        <v>13</v>
      </c>
      <c r="D2056" t="s">
        <v>17</v>
      </c>
      <c r="E2056" t="s">
        <v>20</v>
      </c>
      <c r="F2056">
        <v>16</v>
      </c>
      <c r="G2056">
        <v>3906</v>
      </c>
      <c r="H2056">
        <v>62496</v>
      </c>
      <c r="I2056">
        <f t="shared" si="32"/>
        <v>62496</v>
      </c>
    </row>
    <row r="2057" spans="1:9" x14ac:dyDescent="0.3">
      <c r="A2057">
        <v>12056</v>
      </c>
      <c r="B2057" s="2">
        <v>45153</v>
      </c>
      <c r="C2057" t="s">
        <v>14</v>
      </c>
      <c r="D2057" t="s">
        <v>16</v>
      </c>
      <c r="E2057" t="s">
        <v>24</v>
      </c>
      <c r="F2057">
        <v>10</v>
      </c>
      <c r="G2057">
        <v>30381</v>
      </c>
      <c r="H2057">
        <v>303810</v>
      </c>
      <c r="I2057">
        <f t="shared" si="32"/>
        <v>303810</v>
      </c>
    </row>
    <row r="2058" spans="1:9" x14ac:dyDescent="0.3">
      <c r="A2058">
        <v>12057</v>
      </c>
      <c r="B2058" s="2">
        <v>45153</v>
      </c>
      <c r="C2058" t="s">
        <v>13</v>
      </c>
      <c r="D2058" t="s">
        <v>18</v>
      </c>
      <c r="E2058" t="s">
        <v>21</v>
      </c>
      <c r="F2058">
        <v>20</v>
      </c>
      <c r="G2058">
        <v>36820</v>
      </c>
      <c r="H2058">
        <v>736400</v>
      </c>
      <c r="I2058">
        <f t="shared" si="32"/>
        <v>736400</v>
      </c>
    </row>
    <row r="2059" spans="1:9" x14ac:dyDescent="0.3">
      <c r="A2059">
        <v>12058</v>
      </c>
      <c r="B2059" s="2">
        <v>45101</v>
      </c>
      <c r="C2059" t="s">
        <v>11</v>
      </c>
      <c r="D2059" t="s">
        <v>17</v>
      </c>
      <c r="E2059" t="s">
        <v>20</v>
      </c>
      <c r="F2059">
        <v>2</v>
      </c>
      <c r="G2059">
        <v>24509</v>
      </c>
      <c r="H2059">
        <v>49018</v>
      </c>
      <c r="I2059">
        <f t="shared" si="32"/>
        <v>49018</v>
      </c>
    </row>
    <row r="2060" spans="1:9" x14ac:dyDescent="0.3">
      <c r="A2060">
        <v>12059</v>
      </c>
      <c r="B2060" s="2">
        <v>45114</v>
      </c>
      <c r="C2060" t="s">
        <v>8</v>
      </c>
      <c r="D2060" t="s">
        <v>18</v>
      </c>
      <c r="E2060" t="s">
        <v>21</v>
      </c>
      <c r="F2060">
        <v>12</v>
      </c>
      <c r="G2060">
        <v>22161</v>
      </c>
      <c r="H2060">
        <v>265932</v>
      </c>
      <c r="I2060">
        <f t="shared" si="32"/>
        <v>265932</v>
      </c>
    </row>
    <row r="2061" spans="1:9" x14ac:dyDescent="0.3">
      <c r="A2061">
        <v>12060</v>
      </c>
      <c r="B2061" s="2">
        <v>45217</v>
      </c>
      <c r="C2061" t="s">
        <v>12</v>
      </c>
      <c r="D2061" t="s">
        <v>16</v>
      </c>
      <c r="E2061" t="s">
        <v>21</v>
      </c>
      <c r="F2061">
        <v>14</v>
      </c>
      <c r="G2061">
        <v>39691</v>
      </c>
      <c r="H2061">
        <v>555674</v>
      </c>
      <c r="I2061">
        <f t="shared" si="32"/>
        <v>555674</v>
      </c>
    </row>
    <row r="2062" spans="1:9" x14ac:dyDescent="0.3">
      <c r="A2062">
        <v>12061</v>
      </c>
      <c r="B2062" s="2">
        <v>44973</v>
      </c>
      <c r="C2062" t="s">
        <v>13</v>
      </c>
      <c r="D2062" t="s">
        <v>18</v>
      </c>
      <c r="E2062" t="s">
        <v>23</v>
      </c>
      <c r="F2062">
        <v>12</v>
      </c>
      <c r="G2062">
        <v>59898</v>
      </c>
      <c r="H2062">
        <v>718776</v>
      </c>
      <c r="I2062">
        <f t="shared" si="32"/>
        <v>718776</v>
      </c>
    </row>
    <row r="2063" spans="1:9" x14ac:dyDescent="0.3">
      <c r="A2063">
        <v>12062</v>
      </c>
      <c r="B2063" s="2">
        <v>44986</v>
      </c>
      <c r="C2063" t="s">
        <v>13</v>
      </c>
      <c r="D2063" t="s">
        <v>15</v>
      </c>
      <c r="E2063" t="s">
        <v>20</v>
      </c>
      <c r="F2063">
        <v>2</v>
      </c>
      <c r="G2063">
        <v>46934</v>
      </c>
      <c r="H2063">
        <v>93868</v>
      </c>
      <c r="I2063">
        <f t="shared" si="32"/>
        <v>93868</v>
      </c>
    </row>
    <row r="2064" spans="1:9" x14ac:dyDescent="0.3">
      <c r="A2064">
        <v>12063</v>
      </c>
      <c r="B2064" s="2">
        <v>45236</v>
      </c>
      <c r="C2064" t="s">
        <v>10</v>
      </c>
      <c r="D2064" t="s">
        <v>17</v>
      </c>
      <c r="E2064" t="s">
        <v>23</v>
      </c>
      <c r="F2064">
        <v>7</v>
      </c>
      <c r="G2064">
        <v>58149</v>
      </c>
      <c r="H2064">
        <v>407043</v>
      </c>
      <c r="I2064">
        <f t="shared" si="32"/>
        <v>407043</v>
      </c>
    </row>
    <row r="2065" spans="1:9" x14ac:dyDescent="0.3">
      <c r="A2065">
        <v>12064</v>
      </c>
      <c r="B2065" s="2">
        <v>45121</v>
      </c>
      <c r="C2065" t="s">
        <v>10</v>
      </c>
      <c r="D2065" t="s">
        <v>17</v>
      </c>
      <c r="E2065" t="s">
        <v>22</v>
      </c>
      <c r="F2065">
        <v>12</v>
      </c>
      <c r="G2065">
        <v>24315</v>
      </c>
      <c r="H2065">
        <v>291780</v>
      </c>
      <c r="I2065">
        <f t="shared" si="32"/>
        <v>291780</v>
      </c>
    </row>
    <row r="2066" spans="1:9" x14ac:dyDescent="0.3">
      <c r="A2066">
        <v>12065</v>
      </c>
      <c r="B2066" s="2">
        <v>45054</v>
      </c>
      <c r="C2066" t="s">
        <v>8</v>
      </c>
      <c r="D2066" t="s">
        <v>18</v>
      </c>
      <c r="E2066" t="s">
        <v>24</v>
      </c>
      <c r="F2066">
        <v>9</v>
      </c>
      <c r="G2066">
        <v>45835</v>
      </c>
      <c r="H2066">
        <v>412515</v>
      </c>
      <c r="I2066">
        <f t="shared" si="32"/>
        <v>412515</v>
      </c>
    </row>
    <row r="2067" spans="1:9" x14ac:dyDescent="0.3">
      <c r="A2067">
        <v>12066</v>
      </c>
      <c r="B2067" s="2">
        <v>45103</v>
      </c>
      <c r="C2067" t="s">
        <v>14</v>
      </c>
      <c r="D2067" t="s">
        <v>17</v>
      </c>
      <c r="E2067" t="s">
        <v>20</v>
      </c>
      <c r="F2067">
        <v>3</v>
      </c>
      <c r="G2067">
        <v>15034</v>
      </c>
      <c r="H2067">
        <v>45102</v>
      </c>
      <c r="I2067">
        <f t="shared" si="32"/>
        <v>45102</v>
      </c>
    </row>
    <row r="2068" spans="1:9" x14ac:dyDescent="0.3">
      <c r="A2068">
        <v>12067</v>
      </c>
      <c r="B2068" s="2">
        <v>45256</v>
      </c>
      <c r="C2068" t="s">
        <v>14</v>
      </c>
      <c r="D2068" t="s">
        <v>18</v>
      </c>
      <c r="E2068" t="s">
        <v>24</v>
      </c>
      <c r="F2068">
        <v>14</v>
      </c>
      <c r="G2068">
        <v>4476</v>
      </c>
      <c r="H2068">
        <v>62664</v>
      </c>
      <c r="I2068">
        <f t="shared" si="32"/>
        <v>62664</v>
      </c>
    </row>
    <row r="2069" spans="1:9" x14ac:dyDescent="0.3">
      <c r="A2069">
        <v>12068</v>
      </c>
      <c r="B2069" s="2">
        <v>45100</v>
      </c>
      <c r="C2069" t="s">
        <v>13</v>
      </c>
      <c r="D2069" t="s">
        <v>18</v>
      </c>
      <c r="E2069" t="s">
        <v>22</v>
      </c>
      <c r="F2069">
        <v>11</v>
      </c>
      <c r="G2069">
        <v>38636</v>
      </c>
      <c r="H2069">
        <v>424996</v>
      </c>
      <c r="I2069">
        <f t="shared" si="32"/>
        <v>424996</v>
      </c>
    </row>
    <row r="2070" spans="1:9" x14ac:dyDescent="0.3">
      <c r="A2070">
        <v>12069</v>
      </c>
      <c r="B2070" s="2">
        <v>45246</v>
      </c>
      <c r="C2070" t="s">
        <v>9</v>
      </c>
      <c r="D2070" t="s">
        <v>18</v>
      </c>
      <c r="E2070" t="s">
        <v>24</v>
      </c>
      <c r="F2070">
        <v>17</v>
      </c>
      <c r="G2070">
        <v>53029</v>
      </c>
      <c r="H2070">
        <v>901493</v>
      </c>
      <c r="I2070">
        <f t="shared" si="32"/>
        <v>901493</v>
      </c>
    </row>
    <row r="2071" spans="1:9" x14ac:dyDescent="0.3">
      <c r="A2071">
        <v>12070</v>
      </c>
      <c r="B2071" s="2">
        <v>45217</v>
      </c>
      <c r="C2071" t="s">
        <v>12</v>
      </c>
      <c r="D2071" t="s">
        <v>18</v>
      </c>
      <c r="E2071" t="s">
        <v>19</v>
      </c>
      <c r="F2071">
        <v>9</v>
      </c>
      <c r="G2071">
        <v>46026</v>
      </c>
      <c r="H2071">
        <v>414234</v>
      </c>
      <c r="I2071">
        <f t="shared" si="32"/>
        <v>414234</v>
      </c>
    </row>
    <row r="2072" spans="1:9" x14ac:dyDescent="0.3">
      <c r="A2072">
        <v>12071</v>
      </c>
      <c r="B2072" s="2">
        <v>45080</v>
      </c>
      <c r="C2072" t="s">
        <v>10</v>
      </c>
      <c r="D2072" t="s">
        <v>15</v>
      </c>
      <c r="E2072" t="s">
        <v>20</v>
      </c>
      <c r="F2072">
        <v>8</v>
      </c>
      <c r="G2072">
        <v>14429</v>
      </c>
      <c r="H2072">
        <v>115432</v>
      </c>
      <c r="I2072">
        <f t="shared" si="32"/>
        <v>115432</v>
      </c>
    </row>
    <row r="2073" spans="1:9" x14ac:dyDescent="0.3">
      <c r="A2073">
        <v>12072</v>
      </c>
      <c r="B2073" s="2">
        <v>45196</v>
      </c>
      <c r="C2073" t="s">
        <v>8</v>
      </c>
      <c r="D2073" t="s">
        <v>17</v>
      </c>
      <c r="E2073" t="s">
        <v>22</v>
      </c>
      <c r="F2073">
        <v>1</v>
      </c>
      <c r="G2073">
        <v>45809</v>
      </c>
      <c r="H2073">
        <v>45809</v>
      </c>
      <c r="I2073">
        <f t="shared" si="32"/>
        <v>45809</v>
      </c>
    </row>
    <row r="2074" spans="1:9" x14ac:dyDescent="0.3">
      <c r="A2074">
        <v>12073</v>
      </c>
      <c r="B2074" s="2">
        <v>45217</v>
      </c>
      <c r="C2074" t="s">
        <v>12</v>
      </c>
      <c r="D2074" t="s">
        <v>17</v>
      </c>
      <c r="E2074" t="s">
        <v>23</v>
      </c>
      <c r="F2074">
        <v>12</v>
      </c>
      <c r="G2074">
        <v>12305</v>
      </c>
      <c r="H2074">
        <v>147660</v>
      </c>
      <c r="I2074">
        <f t="shared" si="32"/>
        <v>147660</v>
      </c>
    </row>
    <row r="2075" spans="1:9" x14ac:dyDescent="0.3">
      <c r="A2075">
        <v>12074</v>
      </c>
      <c r="B2075" s="2">
        <v>45041</v>
      </c>
      <c r="C2075" t="s">
        <v>13</v>
      </c>
      <c r="D2075" t="s">
        <v>17</v>
      </c>
      <c r="E2075" t="s">
        <v>19</v>
      </c>
      <c r="F2075">
        <v>2</v>
      </c>
      <c r="G2075">
        <v>9421</v>
      </c>
      <c r="H2075">
        <v>18842</v>
      </c>
      <c r="I2075">
        <f t="shared" si="32"/>
        <v>18842</v>
      </c>
    </row>
    <row r="2076" spans="1:9" x14ac:dyDescent="0.3">
      <c r="A2076">
        <v>12075</v>
      </c>
      <c r="B2076" s="2">
        <v>45075</v>
      </c>
      <c r="C2076" t="s">
        <v>11</v>
      </c>
      <c r="D2076" t="s">
        <v>17</v>
      </c>
      <c r="E2076" t="s">
        <v>24</v>
      </c>
      <c r="F2076">
        <v>15</v>
      </c>
      <c r="G2076">
        <v>36071</v>
      </c>
      <c r="H2076">
        <v>541065</v>
      </c>
      <c r="I2076">
        <f t="shared" si="32"/>
        <v>541065</v>
      </c>
    </row>
    <row r="2077" spans="1:9" x14ac:dyDescent="0.3">
      <c r="A2077">
        <v>12076</v>
      </c>
      <c r="B2077" s="2">
        <v>44952</v>
      </c>
      <c r="C2077" t="s">
        <v>12</v>
      </c>
      <c r="D2077" t="s">
        <v>17</v>
      </c>
      <c r="E2077" t="s">
        <v>19</v>
      </c>
      <c r="F2077">
        <v>7</v>
      </c>
      <c r="G2077">
        <v>48020</v>
      </c>
      <c r="H2077">
        <v>336140</v>
      </c>
      <c r="I2077">
        <f t="shared" si="32"/>
        <v>336140</v>
      </c>
    </row>
    <row r="2078" spans="1:9" x14ac:dyDescent="0.3">
      <c r="A2078">
        <v>12077</v>
      </c>
      <c r="B2078" s="2">
        <v>45107</v>
      </c>
      <c r="C2078" t="s">
        <v>13</v>
      </c>
      <c r="D2078" t="s">
        <v>15</v>
      </c>
      <c r="E2078" t="s">
        <v>20</v>
      </c>
      <c r="F2078">
        <v>6</v>
      </c>
      <c r="G2078">
        <v>8845</v>
      </c>
      <c r="H2078">
        <v>53070</v>
      </c>
      <c r="I2078">
        <f t="shared" si="32"/>
        <v>53070</v>
      </c>
    </row>
    <row r="2079" spans="1:9" x14ac:dyDescent="0.3">
      <c r="A2079">
        <v>12078</v>
      </c>
      <c r="B2079" s="2">
        <v>45172</v>
      </c>
      <c r="C2079" t="s">
        <v>14</v>
      </c>
      <c r="D2079" t="s">
        <v>15</v>
      </c>
      <c r="E2079" t="s">
        <v>22</v>
      </c>
      <c r="F2079">
        <v>5</v>
      </c>
      <c r="G2079">
        <v>49187</v>
      </c>
      <c r="H2079">
        <v>245935</v>
      </c>
      <c r="I2079">
        <f t="shared" si="32"/>
        <v>245935</v>
      </c>
    </row>
    <row r="2080" spans="1:9" x14ac:dyDescent="0.3">
      <c r="A2080">
        <v>12079</v>
      </c>
      <c r="B2080" s="2">
        <v>44938</v>
      </c>
      <c r="C2080" t="s">
        <v>11</v>
      </c>
      <c r="D2080" t="s">
        <v>15</v>
      </c>
      <c r="E2080" t="s">
        <v>19</v>
      </c>
      <c r="F2080">
        <v>8</v>
      </c>
      <c r="G2080">
        <v>37654</v>
      </c>
      <c r="H2080">
        <v>301232</v>
      </c>
      <c r="I2080">
        <f t="shared" si="32"/>
        <v>301232</v>
      </c>
    </row>
    <row r="2081" spans="1:9" x14ac:dyDescent="0.3">
      <c r="A2081">
        <v>12080</v>
      </c>
      <c r="B2081" s="2">
        <v>45059</v>
      </c>
      <c r="C2081" t="s">
        <v>8</v>
      </c>
      <c r="D2081" t="s">
        <v>16</v>
      </c>
      <c r="E2081" t="s">
        <v>22</v>
      </c>
      <c r="F2081">
        <v>11</v>
      </c>
      <c r="G2081">
        <v>48839</v>
      </c>
      <c r="H2081">
        <v>537229</v>
      </c>
      <c r="I2081">
        <f t="shared" si="32"/>
        <v>537229</v>
      </c>
    </row>
    <row r="2082" spans="1:9" x14ac:dyDescent="0.3">
      <c r="A2082">
        <v>12081</v>
      </c>
      <c r="B2082" s="2">
        <v>45018</v>
      </c>
      <c r="C2082" t="s">
        <v>12</v>
      </c>
      <c r="D2082" t="s">
        <v>16</v>
      </c>
      <c r="E2082" t="s">
        <v>24</v>
      </c>
      <c r="F2082">
        <v>13</v>
      </c>
      <c r="G2082">
        <v>58910</v>
      </c>
      <c r="H2082">
        <v>765830</v>
      </c>
      <c r="I2082">
        <f t="shared" si="32"/>
        <v>765830</v>
      </c>
    </row>
    <row r="2083" spans="1:9" x14ac:dyDescent="0.3">
      <c r="A2083">
        <v>12082</v>
      </c>
      <c r="B2083" s="2">
        <v>45152</v>
      </c>
      <c r="C2083" t="s">
        <v>14</v>
      </c>
      <c r="D2083" t="s">
        <v>15</v>
      </c>
      <c r="E2083" t="s">
        <v>23</v>
      </c>
      <c r="F2083">
        <v>16</v>
      </c>
      <c r="G2083">
        <v>23318</v>
      </c>
      <c r="H2083">
        <v>373088</v>
      </c>
      <c r="I2083">
        <f t="shared" si="32"/>
        <v>373088</v>
      </c>
    </row>
    <row r="2084" spans="1:9" x14ac:dyDescent="0.3">
      <c r="A2084">
        <v>12083</v>
      </c>
      <c r="B2084" s="2">
        <v>45245</v>
      </c>
      <c r="C2084" t="s">
        <v>12</v>
      </c>
      <c r="D2084" t="s">
        <v>18</v>
      </c>
      <c r="E2084" t="s">
        <v>21</v>
      </c>
      <c r="F2084">
        <v>9</v>
      </c>
      <c r="G2084">
        <v>3557</v>
      </c>
      <c r="H2084">
        <v>32013</v>
      </c>
      <c r="I2084">
        <f t="shared" si="32"/>
        <v>32013</v>
      </c>
    </row>
    <row r="2085" spans="1:9" x14ac:dyDescent="0.3">
      <c r="A2085">
        <v>12084</v>
      </c>
      <c r="B2085" s="2">
        <v>45135</v>
      </c>
      <c r="C2085" t="s">
        <v>10</v>
      </c>
      <c r="D2085" t="s">
        <v>15</v>
      </c>
      <c r="E2085" t="s">
        <v>22</v>
      </c>
      <c r="F2085">
        <v>4</v>
      </c>
      <c r="G2085">
        <v>53876</v>
      </c>
      <c r="H2085">
        <v>215504</v>
      </c>
      <c r="I2085">
        <f t="shared" si="32"/>
        <v>215504</v>
      </c>
    </row>
    <row r="2086" spans="1:9" x14ac:dyDescent="0.3">
      <c r="A2086">
        <v>12085</v>
      </c>
      <c r="B2086" s="2">
        <v>45212</v>
      </c>
      <c r="C2086" t="s">
        <v>8</v>
      </c>
      <c r="D2086" t="s">
        <v>15</v>
      </c>
      <c r="E2086" t="s">
        <v>24</v>
      </c>
      <c r="F2086">
        <v>6</v>
      </c>
      <c r="G2086">
        <v>56895</v>
      </c>
      <c r="H2086">
        <v>341370</v>
      </c>
      <c r="I2086">
        <f t="shared" si="32"/>
        <v>341370</v>
      </c>
    </row>
    <row r="2087" spans="1:9" x14ac:dyDescent="0.3">
      <c r="A2087">
        <v>12086</v>
      </c>
      <c r="B2087" s="2">
        <v>45196</v>
      </c>
      <c r="C2087" t="s">
        <v>8</v>
      </c>
      <c r="D2087" t="s">
        <v>15</v>
      </c>
      <c r="E2087" t="s">
        <v>20</v>
      </c>
      <c r="F2087">
        <v>11</v>
      </c>
      <c r="G2087">
        <v>10813</v>
      </c>
      <c r="H2087">
        <v>118943</v>
      </c>
      <c r="I2087">
        <f t="shared" si="32"/>
        <v>118943</v>
      </c>
    </row>
    <row r="2088" spans="1:9" x14ac:dyDescent="0.3">
      <c r="A2088">
        <v>12087</v>
      </c>
      <c r="B2088" s="2">
        <v>45253</v>
      </c>
      <c r="C2088" t="s">
        <v>13</v>
      </c>
      <c r="D2088" t="s">
        <v>18</v>
      </c>
      <c r="E2088" t="s">
        <v>23</v>
      </c>
      <c r="F2088">
        <v>8</v>
      </c>
      <c r="G2088">
        <v>44096</v>
      </c>
      <c r="H2088">
        <v>352768</v>
      </c>
      <c r="I2088">
        <f t="shared" si="32"/>
        <v>352768</v>
      </c>
    </row>
    <row r="2089" spans="1:9" x14ac:dyDescent="0.3">
      <c r="A2089">
        <v>12088</v>
      </c>
      <c r="B2089" s="2">
        <v>45038</v>
      </c>
      <c r="C2089" t="s">
        <v>13</v>
      </c>
      <c r="D2089" t="s">
        <v>16</v>
      </c>
      <c r="E2089" t="s">
        <v>20</v>
      </c>
      <c r="F2089">
        <v>10</v>
      </c>
      <c r="G2089">
        <v>48911</v>
      </c>
      <c r="H2089">
        <v>489110</v>
      </c>
      <c r="I2089">
        <f t="shared" si="32"/>
        <v>489110</v>
      </c>
    </row>
    <row r="2090" spans="1:9" x14ac:dyDescent="0.3">
      <c r="A2090">
        <v>12089</v>
      </c>
      <c r="B2090" s="2">
        <v>44952</v>
      </c>
      <c r="C2090" t="s">
        <v>13</v>
      </c>
      <c r="D2090" t="s">
        <v>15</v>
      </c>
      <c r="E2090" t="s">
        <v>23</v>
      </c>
      <c r="F2090">
        <v>20</v>
      </c>
      <c r="G2090">
        <v>47930</v>
      </c>
      <c r="H2090">
        <v>958600</v>
      </c>
      <c r="I2090">
        <f t="shared" si="32"/>
        <v>958600</v>
      </c>
    </row>
    <row r="2091" spans="1:9" x14ac:dyDescent="0.3">
      <c r="A2091">
        <v>12090</v>
      </c>
      <c r="B2091" s="2">
        <v>45244</v>
      </c>
      <c r="C2091" t="s">
        <v>12</v>
      </c>
      <c r="D2091" t="s">
        <v>18</v>
      </c>
      <c r="E2091" t="s">
        <v>20</v>
      </c>
      <c r="F2091">
        <v>11</v>
      </c>
      <c r="G2091">
        <v>45459</v>
      </c>
      <c r="H2091">
        <v>500049</v>
      </c>
      <c r="I2091">
        <f t="shared" si="32"/>
        <v>500049</v>
      </c>
    </row>
    <row r="2092" spans="1:9" x14ac:dyDescent="0.3">
      <c r="A2092">
        <v>12091</v>
      </c>
      <c r="B2092" s="2">
        <v>45257</v>
      </c>
      <c r="C2092" t="s">
        <v>9</v>
      </c>
      <c r="D2092" t="s">
        <v>16</v>
      </c>
      <c r="E2092" t="s">
        <v>19</v>
      </c>
      <c r="F2092">
        <v>3</v>
      </c>
      <c r="G2092">
        <v>4784</v>
      </c>
      <c r="H2092">
        <v>14352</v>
      </c>
      <c r="I2092">
        <f t="shared" si="32"/>
        <v>14352</v>
      </c>
    </row>
    <row r="2093" spans="1:9" x14ac:dyDescent="0.3">
      <c r="A2093">
        <v>12092</v>
      </c>
      <c r="B2093" s="2">
        <v>44983</v>
      </c>
      <c r="C2093" t="s">
        <v>12</v>
      </c>
      <c r="D2093" t="s">
        <v>15</v>
      </c>
      <c r="E2093" t="s">
        <v>24</v>
      </c>
      <c r="F2093">
        <v>1</v>
      </c>
      <c r="G2093">
        <v>21391</v>
      </c>
      <c r="H2093">
        <v>21391</v>
      </c>
      <c r="I2093">
        <f t="shared" si="32"/>
        <v>21391</v>
      </c>
    </row>
    <row r="2094" spans="1:9" x14ac:dyDescent="0.3">
      <c r="A2094">
        <v>12093</v>
      </c>
      <c r="B2094" s="2">
        <v>45225</v>
      </c>
      <c r="C2094" t="s">
        <v>8</v>
      </c>
      <c r="D2094" t="s">
        <v>16</v>
      </c>
      <c r="E2094" t="s">
        <v>20</v>
      </c>
      <c r="F2094">
        <v>8</v>
      </c>
      <c r="G2094">
        <v>50437</v>
      </c>
      <c r="H2094">
        <v>403496</v>
      </c>
      <c r="I2094">
        <f t="shared" si="32"/>
        <v>403496</v>
      </c>
    </row>
    <row r="2095" spans="1:9" x14ac:dyDescent="0.3">
      <c r="A2095">
        <v>12094</v>
      </c>
      <c r="B2095" s="2">
        <v>45106</v>
      </c>
      <c r="C2095" t="s">
        <v>11</v>
      </c>
      <c r="D2095" t="s">
        <v>16</v>
      </c>
      <c r="E2095" t="s">
        <v>20</v>
      </c>
      <c r="F2095">
        <v>16</v>
      </c>
      <c r="G2095">
        <v>21329</v>
      </c>
      <c r="H2095">
        <v>341264</v>
      </c>
      <c r="I2095">
        <f t="shared" si="32"/>
        <v>341264</v>
      </c>
    </row>
    <row r="2096" spans="1:9" x14ac:dyDescent="0.3">
      <c r="A2096">
        <v>12095</v>
      </c>
      <c r="B2096" s="2">
        <v>44957</v>
      </c>
      <c r="C2096" t="s">
        <v>8</v>
      </c>
      <c r="D2096" t="s">
        <v>17</v>
      </c>
      <c r="E2096" t="s">
        <v>20</v>
      </c>
      <c r="F2096">
        <v>5</v>
      </c>
      <c r="G2096">
        <v>35591</v>
      </c>
      <c r="H2096">
        <v>177955</v>
      </c>
      <c r="I2096">
        <f t="shared" si="32"/>
        <v>177955</v>
      </c>
    </row>
    <row r="2097" spans="1:9" x14ac:dyDescent="0.3">
      <c r="A2097">
        <v>12096</v>
      </c>
      <c r="B2097" s="2">
        <v>45142</v>
      </c>
      <c r="C2097" t="s">
        <v>12</v>
      </c>
      <c r="D2097" t="s">
        <v>17</v>
      </c>
      <c r="E2097" t="s">
        <v>23</v>
      </c>
      <c r="F2097">
        <v>15</v>
      </c>
      <c r="G2097">
        <v>27099</v>
      </c>
      <c r="H2097">
        <v>406485</v>
      </c>
      <c r="I2097">
        <f t="shared" si="32"/>
        <v>406485</v>
      </c>
    </row>
    <row r="2098" spans="1:9" x14ac:dyDescent="0.3">
      <c r="A2098">
        <v>12097</v>
      </c>
      <c r="B2098" s="2">
        <v>44986</v>
      </c>
      <c r="C2098" t="s">
        <v>11</v>
      </c>
      <c r="D2098" t="s">
        <v>18</v>
      </c>
      <c r="E2098" t="s">
        <v>23</v>
      </c>
      <c r="F2098">
        <v>10</v>
      </c>
      <c r="G2098">
        <v>42588</v>
      </c>
      <c r="H2098">
        <v>425880</v>
      </c>
      <c r="I2098">
        <f t="shared" si="32"/>
        <v>425880</v>
      </c>
    </row>
    <row r="2099" spans="1:9" x14ac:dyDescent="0.3">
      <c r="A2099">
        <v>12098</v>
      </c>
      <c r="B2099" s="2">
        <v>45112</v>
      </c>
      <c r="C2099" t="s">
        <v>12</v>
      </c>
      <c r="D2099" t="s">
        <v>16</v>
      </c>
      <c r="E2099" t="s">
        <v>20</v>
      </c>
      <c r="F2099">
        <v>10</v>
      </c>
      <c r="G2099">
        <v>36504</v>
      </c>
      <c r="H2099">
        <v>365040</v>
      </c>
      <c r="I2099">
        <f t="shared" si="32"/>
        <v>365040</v>
      </c>
    </row>
    <row r="2100" spans="1:9" x14ac:dyDescent="0.3">
      <c r="A2100">
        <v>12099</v>
      </c>
      <c r="B2100" s="2">
        <v>45134</v>
      </c>
      <c r="C2100" t="s">
        <v>8</v>
      </c>
      <c r="D2100" t="s">
        <v>18</v>
      </c>
      <c r="E2100" t="s">
        <v>22</v>
      </c>
      <c r="F2100">
        <v>1</v>
      </c>
      <c r="G2100">
        <v>43455</v>
      </c>
      <c r="H2100">
        <v>43455</v>
      </c>
      <c r="I2100">
        <f t="shared" si="32"/>
        <v>43455</v>
      </c>
    </row>
    <row r="2101" spans="1:9" x14ac:dyDescent="0.3">
      <c r="A2101">
        <v>12100</v>
      </c>
      <c r="B2101" s="2">
        <v>44980</v>
      </c>
      <c r="C2101" t="s">
        <v>8</v>
      </c>
      <c r="D2101" t="s">
        <v>18</v>
      </c>
      <c r="E2101" t="s">
        <v>21</v>
      </c>
      <c r="F2101">
        <v>4</v>
      </c>
      <c r="G2101">
        <v>32870</v>
      </c>
      <c r="H2101">
        <v>131480</v>
      </c>
      <c r="I2101">
        <f t="shared" si="32"/>
        <v>131480</v>
      </c>
    </row>
    <row r="2102" spans="1:9" x14ac:dyDescent="0.3">
      <c r="A2102">
        <v>12101</v>
      </c>
      <c r="B2102" s="2">
        <v>45024</v>
      </c>
      <c r="C2102" t="s">
        <v>13</v>
      </c>
      <c r="D2102" t="s">
        <v>15</v>
      </c>
      <c r="E2102" t="s">
        <v>19</v>
      </c>
      <c r="F2102">
        <v>17</v>
      </c>
      <c r="G2102">
        <v>20661</v>
      </c>
      <c r="H2102">
        <v>351237</v>
      </c>
      <c r="I2102">
        <f t="shared" si="32"/>
        <v>351237</v>
      </c>
    </row>
    <row r="2103" spans="1:9" x14ac:dyDescent="0.3">
      <c r="A2103">
        <v>12102</v>
      </c>
      <c r="B2103" s="2">
        <v>45103</v>
      </c>
      <c r="C2103" t="s">
        <v>13</v>
      </c>
      <c r="D2103" t="s">
        <v>18</v>
      </c>
      <c r="E2103" t="s">
        <v>22</v>
      </c>
      <c r="F2103">
        <v>19</v>
      </c>
      <c r="G2103">
        <v>11050</v>
      </c>
      <c r="H2103">
        <v>209950</v>
      </c>
      <c r="I2103">
        <f t="shared" si="32"/>
        <v>209950</v>
      </c>
    </row>
    <row r="2104" spans="1:9" x14ac:dyDescent="0.3">
      <c r="A2104">
        <v>12103</v>
      </c>
      <c r="B2104" s="2">
        <v>45039</v>
      </c>
      <c r="C2104" t="s">
        <v>12</v>
      </c>
      <c r="D2104" t="s">
        <v>17</v>
      </c>
      <c r="E2104" t="s">
        <v>23</v>
      </c>
      <c r="F2104">
        <v>15</v>
      </c>
      <c r="G2104">
        <v>12182</v>
      </c>
      <c r="H2104">
        <v>182730</v>
      </c>
      <c r="I2104">
        <f t="shared" si="32"/>
        <v>182730</v>
      </c>
    </row>
    <row r="2105" spans="1:9" x14ac:dyDescent="0.3">
      <c r="A2105">
        <v>12104</v>
      </c>
      <c r="B2105" s="2">
        <v>45114</v>
      </c>
      <c r="C2105" t="s">
        <v>9</v>
      </c>
      <c r="D2105" t="s">
        <v>17</v>
      </c>
      <c r="E2105" t="s">
        <v>21</v>
      </c>
      <c r="F2105">
        <v>9</v>
      </c>
      <c r="G2105">
        <v>30538</v>
      </c>
      <c r="H2105">
        <v>274842</v>
      </c>
      <c r="I2105">
        <f t="shared" si="32"/>
        <v>274842</v>
      </c>
    </row>
    <row r="2106" spans="1:9" x14ac:dyDescent="0.3">
      <c r="A2106">
        <v>12105</v>
      </c>
      <c r="B2106" s="2">
        <v>45284</v>
      </c>
      <c r="C2106" t="s">
        <v>11</v>
      </c>
      <c r="D2106" t="s">
        <v>18</v>
      </c>
      <c r="E2106" t="s">
        <v>21</v>
      </c>
      <c r="F2106">
        <v>10</v>
      </c>
      <c r="G2106">
        <v>15479</v>
      </c>
      <c r="H2106">
        <v>154790</v>
      </c>
      <c r="I2106">
        <f t="shared" si="32"/>
        <v>154790</v>
      </c>
    </row>
    <row r="2107" spans="1:9" x14ac:dyDescent="0.3">
      <c r="A2107">
        <v>12106</v>
      </c>
      <c r="B2107" s="2">
        <v>45186</v>
      </c>
      <c r="C2107" t="s">
        <v>13</v>
      </c>
      <c r="D2107" t="s">
        <v>17</v>
      </c>
      <c r="E2107" t="s">
        <v>21</v>
      </c>
      <c r="F2107">
        <v>7</v>
      </c>
      <c r="G2107">
        <v>32596</v>
      </c>
      <c r="H2107">
        <v>228172</v>
      </c>
      <c r="I2107">
        <f t="shared" si="32"/>
        <v>228172</v>
      </c>
    </row>
    <row r="2108" spans="1:9" x14ac:dyDescent="0.3">
      <c r="A2108">
        <v>12107</v>
      </c>
      <c r="B2108" s="2">
        <v>45127</v>
      </c>
      <c r="C2108" t="s">
        <v>8</v>
      </c>
      <c r="D2108" t="s">
        <v>17</v>
      </c>
      <c r="E2108" t="s">
        <v>20</v>
      </c>
      <c r="F2108">
        <v>1</v>
      </c>
      <c r="G2108">
        <v>44650</v>
      </c>
      <c r="H2108">
        <v>44650</v>
      </c>
      <c r="I2108">
        <f t="shared" si="32"/>
        <v>44650</v>
      </c>
    </row>
    <row r="2109" spans="1:9" x14ac:dyDescent="0.3">
      <c r="A2109">
        <v>12108</v>
      </c>
      <c r="B2109" s="2">
        <v>45082</v>
      </c>
      <c r="C2109" t="s">
        <v>14</v>
      </c>
      <c r="D2109" t="s">
        <v>18</v>
      </c>
      <c r="E2109" t="s">
        <v>24</v>
      </c>
      <c r="F2109">
        <v>9</v>
      </c>
      <c r="G2109">
        <v>24840</v>
      </c>
      <c r="H2109">
        <v>223560</v>
      </c>
      <c r="I2109">
        <f t="shared" si="32"/>
        <v>223560</v>
      </c>
    </row>
    <row r="2110" spans="1:9" x14ac:dyDescent="0.3">
      <c r="A2110">
        <v>12109</v>
      </c>
      <c r="B2110" s="2">
        <v>45136</v>
      </c>
      <c r="C2110" t="s">
        <v>8</v>
      </c>
      <c r="D2110" t="s">
        <v>16</v>
      </c>
      <c r="E2110" t="s">
        <v>22</v>
      </c>
      <c r="F2110">
        <v>4</v>
      </c>
      <c r="G2110">
        <v>47062</v>
      </c>
      <c r="H2110">
        <v>188248</v>
      </c>
      <c r="I2110">
        <f t="shared" si="32"/>
        <v>188248</v>
      </c>
    </row>
    <row r="2111" spans="1:9" x14ac:dyDescent="0.3">
      <c r="A2111">
        <v>12110</v>
      </c>
      <c r="B2111" s="2">
        <v>45017</v>
      </c>
      <c r="C2111" t="s">
        <v>9</v>
      </c>
      <c r="D2111" t="s">
        <v>18</v>
      </c>
      <c r="E2111" t="s">
        <v>24</v>
      </c>
      <c r="F2111">
        <v>4</v>
      </c>
      <c r="G2111">
        <v>58521</v>
      </c>
      <c r="H2111">
        <v>234084</v>
      </c>
      <c r="I2111">
        <f t="shared" si="32"/>
        <v>234084</v>
      </c>
    </row>
    <row r="2112" spans="1:9" x14ac:dyDescent="0.3">
      <c r="A2112">
        <v>12111</v>
      </c>
      <c r="B2112" s="2">
        <v>45041</v>
      </c>
      <c r="C2112" t="s">
        <v>9</v>
      </c>
      <c r="D2112" t="s">
        <v>18</v>
      </c>
      <c r="E2112" t="s">
        <v>21</v>
      </c>
      <c r="F2112">
        <v>1</v>
      </c>
      <c r="G2112">
        <v>40338</v>
      </c>
      <c r="H2112">
        <v>40338</v>
      </c>
      <c r="I2112">
        <f t="shared" si="32"/>
        <v>40338</v>
      </c>
    </row>
    <row r="2113" spans="1:9" x14ac:dyDescent="0.3">
      <c r="A2113">
        <v>12112</v>
      </c>
      <c r="B2113" s="2">
        <v>45209</v>
      </c>
      <c r="C2113" t="s">
        <v>12</v>
      </c>
      <c r="D2113" t="s">
        <v>17</v>
      </c>
      <c r="E2113" t="s">
        <v>24</v>
      </c>
      <c r="F2113">
        <v>11</v>
      </c>
      <c r="G2113">
        <v>51222</v>
      </c>
      <c r="H2113">
        <v>563442</v>
      </c>
      <c r="I2113">
        <f t="shared" si="32"/>
        <v>563442</v>
      </c>
    </row>
    <row r="2114" spans="1:9" x14ac:dyDescent="0.3">
      <c r="A2114">
        <v>12113</v>
      </c>
      <c r="B2114" s="2">
        <v>45179</v>
      </c>
      <c r="C2114" t="s">
        <v>12</v>
      </c>
      <c r="D2114" t="s">
        <v>17</v>
      </c>
      <c r="E2114" t="s">
        <v>20</v>
      </c>
      <c r="F2114">
        <v>13</v>
      </c>
      <c r="G2114">
        <v>31428</v>
      </c>
      <c r="H2114">
        <v>408564</v>
      </c>
      <c r="I2114">
        <f t="shared" si="32"/>
        <v>408564</v>
      </c>
    </row>
    <row r="2115" spans="1:9" x14ac:dyDescent="0.3">
      <c r="A2115">
        <v>12114</v>
      </c>
      <c r="B2115" s="2">
        <v>45050</v>
      </c>
      <c r="C2115" t="s">
        <v>9</v>
      </c>
      <c r="D2115" t="s">
        <v>16</v>
      </c>
      <c r="E2115" t="s">
        <v>23</v>
      </c>
      <c r="F2115">
        <v>1</v>
      </c>
      <c r="G2115">
        <v>41877</v>
      </c>
      <c r="H2115">
        <v>41877</v>
      </c>
      <c r="I2115">
        <f t="shared" ref="I2115:I2178" si="33">G2115*F2115</f>
        <v>41877</v>
      </c>
    </row>
    <row r="2116" spans="1:9" x14ac:dyDescent="0.3">
      <c r="A2116">
        <v>12115</v>
      </c>
      <c r="B2116" s="2">
        <v>45224</v>
      </c>
      <c r="C2116" t="s">
        <v>14</v>
      </c>
      <c r="D2116" t="s">
        <v>15</v>
      </c>
      <c r="E2116" t="s">
        <v>23</v>
      </c>
      <c r="F2116">
        <v>10</v>
      </c>
      <c r="G2116">
        <v>43897</v>
      </c>
      <c r="H2116">
        <v>438970</v>
      </c>
      <c r="I2116">
        <f t="shared" si="33"/>
        <v>438970</v>
      </c>
    </row>
    <row r="2117" spans="1:9" x14ac:dyDescent="0.3">
      <c r="A2117">
        <v>12116</v>
      </c>
      <c r="B2117" s="2">
        <v>45286</v>
      </c>
      <c r="C2117" t="s">
        <v>8</v>
      </c>
      <c r="D2117" t="s">
        <v>15</v>
      </c>
      <c r="E2117" t="s">
        <v>22</v>
      </c>
      <c r="F2117">
        <v>6</v>
      </c>
      <c r="G2117">
        <v>52841</v>
      </c>
      <c r="H2117">
        <v>317046</v>
      </c>
      <c r="I2117">
        <f t="shared" si="33"/>
        <v>317046</v>
      </c>
    </row>
    <row r="2118" spans="1:9" x14ac:dyDescent="0.3">
      <c r="A2118">
        <v>12117</v>
      </c>
      <c r="B2118" s="2">
        <v>45188</v>
      </c>
      <c r="C2118" t="s">
        <v>10</v>
      </c>
      <c r="D2118" t="s">
        <v>17</v>
      </c>
      <c r="E2118" t="s">
        <v>23</v>
      </c>
      <c r="F2118">
        <v>13</v>
      </c>
      <c r="G2118">
        <v>18009</v>
      </c>
      <c r="H2118">
        <v>234117</v>
      </c>
      <c r="I2118">
        <f t="shared" si="33"/>
        <v>234117</v>
      </c>
    </row>
    <row r="2119" spans="1:9" x14ac:dyDescent="0.3">
      <c r="A2119">
        <v>12118</v>
      </c>
      <c r="B2119" s="2">
        <v>45147</v>
      </c>
      <c r="C2119" t="s">
        <v>11</v>
      </c>
      <c r="D2119" t="s">
        <v>18</v>
      </c>
      <c r="E2119" t="s">
        <v>23</v>
      </c>
      <c r="F2119">
        <v>1</v>
      </c>
      <c r="G2119">
        <v>54549</v>
      </c>
      <c r="H2119">
        <v>54549</v>
      </c>
      <c r="I2119">
        <f t="shared" si="33"/>
        <v>54549</v>
      </c>
    </row>
    <row r="2120" spans="1:9" x14ac:dyDescent="0.3">
      <c r="A2120">
        <v>12119</v>
      </c>
      <c r="B2120" s="2">
        <v>44989</v>
      </c>
      <c r="C2120" t="s">
        <v>9</v>
      </c>
      <c r="D2120" t="s">
        <v>18</v>
      </c>
      <c r="E2120" t="s">
        <v>20</v>
      </c>
      <c r="F2120">
        <v>14</v>
      </c>
      <c r="G2120">
        <v>9473</v>
      </c>
      <c r="H2120">
        <v>132622</v>
      </c>
      <c r="I2120">
        <f t="shared" si="33"/>
        <v>132622</v>
      </c>
    </row>
    <row r="2121" spans="1:9" x14ac:dyDescent="0.3">
      <c r="A2121">
        <v>12120</v>
      </c>
      <c r="B2121" s="2">
        <v>45077</v>
      </c>
      <c r="C2121" t="s">
        <v>8</v>
      </c>
      <c r="D2121" t="s">
        <v>16</v>
      </c>
      <c r="E2121" t="s">
        <v>23</v>
      </c>
      <c r="F2121">
        <v>17</v>
      </c>
      <c r="G2121">
        <v>21037</v>
      </c>
      <c r="H2121">
        <v>357629</v>
      </c>
      <c r="I2121">
        <f t="shared" si="33"/>
        <v>357629</v>
      </c>
    </row>
    <row r="2122" spans="1:9" x14ac:dyDescent="0.3">
      <c r="A2122">
        <v>12121</v>
      </c>
      <c r="B2122" s="2">
        <v>45044</v>
      </c>
      <c r="C2122" t="s">
        <v>11</v>
      </c>
      <c r="D2122" t="s">
        <v>18</v>
      </c>
      <c r="E2122" t="s">
        <v>23</v>
      </c>
      <c r="F2122">
        <v>8</v>
      </c>
      <c r="G2122">
        <v>2825</v>
      </c>
      <c r="H2122">
        <v>22600</v>
      </c>
      <c r="I2122">
        <f t="shared" si="33"/>
        <v>22600</v>
      </c>
    </row>
    <row r="2123" spans="1:9" x14ac:dyDescent="0.3">
      <c r="A2123">
        <v>12122</v>
      </c>
      <c r="B2123" s="2">
        <v>44989</v>
      </c>
      <c r="C2123" t="s">
        <v>12</v>
      </c>
      <c r="D2123" t="s">
        <v>18</v>
      </c>
      <c r="E2123" t="s">
        <v>21</v>
      </c>
      <c r="F2123">
        <v>1</v>
      </c>
      <c r="G2123">
        <v>15373</v>
      </c>
      <c r="H2123">
        <v>15373</v>
      </c>
      <c r="I2123">
        <f t="shared" si="33"/>
        <v>15373</v>
      </c>
    </row>
    <row r="2124" spans="1:9" x14ac:dyDescent="0.3">
      <c r="A2124">
        <v>12123</v>
      </c>
      <c r="B2124" s="2">
        <v>44990</v>
      </c>
      <c r="C2124" t="s">
        <v>14</v>
      </c>
      <c r="D2124" t="s">
        <v>16</v>
      </c>
      <c r="E2124" t="s">
        <v>21</v>
      </c>
      <c r="F2124">
        <v>11</v>
      </c>
      <c r="G2124">
        <v>45070</v>
      </c>
      <c r="H2124">
        <v>495770</v>
      </c>
      <c r="I2124">
        <f t="shared" si="33"/>
        <v>495770</v>
      </c>
    </row>
    <row r="2125" spans="1:9" x14ac:dyDescent="0.3">
      <c r="A2125">
        <v>12124</v>
      </c>
      <c r="B2125" s="2">
        <v>45279</v>
      </c>
      <c r="C2125" t="s">
        <v>14</v>
      </c>
      <c r="D2125" t="s">
        <v>15</v>
      </c>
      <c r="E2125" t="s">
        <v>23</v>
      </c>
      <c r="F2125">
        <v>20</v>
      </c>
      <c r="G2125">
        <v>58826</v>
      </c>
      <c r="H2125">
        <v>1176520</v>
      </c>
      <c r="I2125">
        <f t="shared" si="33"/>
        <v>1176520</v>
      </c>
    </row>
    <row r="2126" spans="1:9" x14ac:dyDescent="0.3">
      <c r="A2126">
        <v>12125</v>
      </c>
      <c r="B2126" s="2">
        <v>44956</v>
      </c>
      <c r="C2126" t="s">
        <v>13</v>
      </c>
      <c r="D2126" t="s">
        <v>15</v>
      </c>
      <c r="E2126" t="s">
        <v>22</v>
      </c>
      <c r="F2126">
        <v>16</v>
      </c>
      <c r="G2126">
        <v>10198</v>
      </c>
      <c r="H2126">
        <v>163168</v>
      </c>
      <c r="I2126">
        <f t="shared" si="33"/>
        <v>163168</v>
      </c>
    </row>
    <row r="2127" spans="1:9" x14ac:dyDescent="0.3">
      <c r="A2127">
        <v>12126</v>
      </c>
      <c r="B2127" s="2">
        <v>45152</v>
      </c>
      <c r="C2127" t="s">
        <v>12</v>
      </c>
      <c r="D2127" t="s">
        <v>17</v>
      </c>
      <c r="E2127" t="s">
        <v>24</v>
      </c>
      <c r="F2127">
        <v>19</v>
      </c>
      <c r="G2127">
        <v>39803</v>
      </c>
      <c r="H2127">
        <v>756257</v>
      </c>
      <c r="I2127">
        <f t="shared" si="33"/>
        <v>756257</v>
      </c>
    </row>
    <row r="2128" spans="1:9" x14ac:dyDescent="0.3">
      <c r="A2128">
        <v>12127</v>
      </c>
      <c r="B2128" s="2">
        <v>44951</v>
      </c>
      <c r="C2128" t="s">
        <v>8</v>
      </c>
      <c r="D2128" t="s">
        <v>16</v>
      </c>
      <c r="E2128" t="s">
        <v>23</v>
      </c>
      <c r="F2128">
        <v>1</v>
      </c>
      <c r="G2128">
        <v>44450</v>
      </c>
      <c r="H2128">
        <v>44450</v>
      </c>
      <c r="I2128">
        <f t="shared" si="33"/>
        <v>44450</v>
      </c>
    </row>
    <row r="2129" spans="1:9" x14ac:dyDescent="0.3">
      <c r="A2129">
        <v>12128</v>
      </c>
      <c r="B2129" s="2">
        <v>45005</v>
      </c>
      <c r="C2129" t="s">
        <v>8</v>
      </c>
      <c r="D2129" t="s">
        <v>16</v>
      </c>
      <c r="E2129" t="s">
        <v>20</v>
      </c>
      <c r="F2129">
        <v>8</v>
      </c>
      <c r="G2129">
        <v>39618</v>
      </c>
      <c r="H2129">
        <v>316944</v>
      </c>
      <c r="I2129">
        <f t="shared" si="33"/>
        <v>316944</v>
      </c>
    </row>
    <row r="2130" spans="1:9" x14ac:dyDescent="0.3">
      <c r="A2130">
        <v>12129</v>
      </c>
      <c r="B2130" s="2">
        <v>44999</v>
      </c>
      <c r="C2130" t="s">
        <v>13</v>
      </c>
      <c r="D2130" t="s">
        <v>17</v>
      </c>
      <c r="E2130" t="s">
        <v>21</v>
      </c>
      <c r="F2130">
        <v>19</v>
      </c>
      <c r="G2130">
        <v>51573</v>
      </c>
      <c r="H2130">
        <v>979887</v>
      </c>
      <c r="I2130">
        <f t="shared" si="33"/>
        <v>979887</v>
      </c>
    </row>
    <row r="2131" spans="1:9" x14ac:dyDescent="0.3">
      <c r="A2131">
        <v>12130</v>
      </c>
      <c r="B2131" s="2">
        <v>45114</v>
      </c>
      <c r="C2131" t="s">
        <v>13</v>
      </c>
      <c r="D2131" t="s">
        <v>16</v>
      </c>
      <c r="E2131" t="s">
        <v>20</v>
      </c>
      <c r="F2131">
        <v>2</v>
      </c>
      <c r="G2131">
        <v>56764</v>
      </c>
      <c r="H2131">
        <v>113528</v>
      </c>
      <c r="I2131">
        <f t="shared" si="33"/>
        <v>113528</v>
      </c>
    </row>
    <row r="2132" spans="1:9" x14ac:dyDescent="0.3">
      <c r="A2132">
        <v>12131</v>
      </c>
      <c r="B2132" s="2">
        <v>45214</v>
      </c>
      <c r="C2132" t="s">
        <v>11</v>
      </c>
      <c r="D2132" t="s">
        <v>18</v>
      </c>
      <c r="E2132" t="s">
        <v>24</v>
      </c>
      <c r="F2132">
        <v>20</v>
      </c>
      <c r="G2132">
        <v>48936</v>
      </c>
      <c r="H2132">
        <v>978720</v>
      </c>
      <c r="I2132">
        <f t="shared" si="33"/>
        <v>978720</v>
      </c>
    </row>
    <row r="2133" spans="1:9" x14ac:dyDescent="0.3">
      <c r="A2133">
        <v>12132</v>
      </c>
      <c r="B2133" s="2">
        <v>45191</v>
      </c>
      <c r="C2133" t="s">
        <v>10</v>
      </c>
      <c r="D2133" t="s">
        <v>16</v>
      </c>
      <c r="E2133" t="s">
        <v>21</v>
      </c>
      <c r="F2133">
        <v>9</v>
      </c>
      <c r="G2133">
        <v>52528</v>
      </c>
      <c r="H2133">
        <v>472752</v>
      </c>
      <c r="I2133">
        <f t="shared" si="33"/>
        <v>472752</v>
      </c>
    </row>
    <row r="2134" spans="1:9" x14ac:dyDescent="0.3">
      <c r="A2134">
        <v>12133</v>
      </c>
      <c r="B2134" s="2">
        <v>44954</v>
      </c>
      <c r="C2134" t="s">
        <v>11</v>
      </c>
      <c r="D2134" t="s">
        <v>18</v>
      </c>
      <c r="E2134" t="s">
        <v>24</v>
      </c>
      <c r="F2134">
        <v>13</v>
      </c>
      <c r="G2134">
        <v>1504</v>
      </c>
      <c r="H2134">
        <v>19552</v>
      </c>
      <c r="I2134">
        <f t="shared" si="33"/>
        <v>19552</v>
      </c>
    </row>
    <row r="2135" spans="1:9" x14ac:dyDescent="0.3">
      <c r="A2135">
        <v>12134</v>
      </c>
      <c r="B2135" s="2">
        <v>45213</v>
      </c>
      <c r="C2135" t="s">
        <v>8</v>
      </c>
      <c r="D2135" t="s">
        <v>16</v>
      </c>
      <c r="E2135" t="s">
        <v>20</v>
      </c>
      <c r="F2135">
        <v>6</v>
      </c>
      <c r="G2135">
        <v>39360</v>
      </c>
      <c r="H2135">
        <v>236160</v>
      </c>
      <c r="I2135">
        <f t="shared" si="33"/>
        <v>236160</v>
      </c>
    </row>
    <row r="2136" spans="1:9" x14ac:dyDescent="0.3">
      <c r="A2136">
        <v>12135</v>
      </c>
      <c r="B2136" s="2">
        <v>45055</v>
      </c>
      <c r="C2136" t="s">
        <v>10</v>
      </c>
      <c r="D2136" t="s">
        <v>16</v>
      </c>
      <c r="E2136" t="s">
        <v>23</v>
      </c>
      <c r="F2136">
        <v>5</v>
      </c>
      <c r="G2136">
        <v>52520</v>
      </c>
      <c r="H2136">
        <v>262600</v>
      </c>
      <c r="I2136">
        <f t="shared" si="33"/>
        <v>262600</v>
      </c>
    </row>
    <row r="2137" spans="1:9" x14ac:dyDescent="0.3">
      <c r="A2137">
        <v>12136</v>
      </c>
      <c r="B2137" s="2">
        <v>45011</v>
      </c>
      <c r="C2137" t="s">
        <v>13</v>
      </c>
      <c r="D2137" t="s">
        <v>17</v>
      </c>
      <c r="E2137" t="s">
        <v>20</v>
      </c>
      <c r="F2137">
        <v>3</v>
      </c>
      <c r="G2137">
        <v>16722</v>
      </c>
      <c r="H2137">
        <v>50166</v>
      </c>
      <c r="I2137">
        <f t="shared" si="33"/>
        <v>50166</v>
      </c>
    </row>
    <row r="2138" spans="1:9" x14ac:dyDescent="0.3">
      <c r="A2138">
        <v>12137</v>
      </c>
      <c r="B2138" s="2">
        <v>45097</v>
      </c>
      <c r="C2138" t="s">
        <v>12</v>
      </c>
      <c r="D2138" t="s">
        <v>18</v>
      </c>
      <c r="E2138" t="s">
        <v>23</v>
      </c>
      <c r="F2138">
        <v>13</v>
      </c>
      <c r="G2138">
        <v>5975</v>
      </c>
      <c r="H2138">
        <v>77675</v>
      </c>
      <c r="I2138">
        <f t="shared" si="33"/>
        <v>77675</v>
      </c>
    </row>
    <row r="2139" spans="1:9" x14ac:dyDescent="0.3">
      <c r="A2139">
        <v>12138</v>
      </c>
      <c r="B2139" s="2">
        <v>45249</v>
      </c>
      <c r="C2139" t="s">
        <v>8</v>
      </c>
      <c r="D2139" t="s">
        <v>18</v>
      </c>
      <c r="E2139" t="s">
        <v>19</v>
      </c>
      <c r="F2139">
        <v>2</v>
      </c>
      <c r="G2139">
        <v>39120</v>
      </c>
      <c r="H2139">
        <v>78240</v>
      </c>
      <c r="I2139">
        <f t="shared" si="33"/>
        <v>78240</v>
      </c>
    </row>
    <row r="2140" spans="1:9" x14ac:dyDescent="0.3">
      <c r="A2140">
        <v>12139</v>
      </c>
      <c r="B2140" s="2">
        <v>45237</v>
      </c>
      <c r="C2140" t="s">
        <v>13</v>
      </c>
      <c r="D2140" t="s">
        <v>17</v>
      </c>
      <c r="E2140" t="s">
        <v>23</v>
      </c>
      <c r="F2140">
        <v>8</v>
      </c>
      <c r="G2140">
        <v>49561</v>
      </c>
      <c r="H2140">
        <v>396488</v>
      </c>
      <c r="I2140">
        <f t="shared" si="33"/>
        <v>396488</v>
      </c>
    </row>
    <row r="2141" spans="1:9" x14ac:dyDescent="0.3">
      <c r="A2141">
        <v>12140</v>
      </c>
      <c r="B2141" s="2">
        <v>45253</v>
      </c>
      <c r="C2141" t="s">
        <v>8</v>
      </c>
      <c r="D2141" t="s">
        <v>16</v>
      </c>
      <c r="E2141" t="s">
        <v>21</v>
      </c>
      <c r="F2141">
        <v>5</v>
      </c>
      <c r="G2141">
        <v>43025</v>
      </c>
      <c r="H2141">
        <v>215125</v>
      </c>
      <c r="I2141">
        <f t="shared" si="33"/>
        <v>215125</v>
      </c>
    </row>
    <row r="2142" spans="1:9" x14ac:dyDescent="0.3">
      <c r="A2142">
        <v>12141</v>
      </c>
      <c r="B2142" s="2">
        <v>45155</v>
      </c>
      <c r="C2142" t="s">
        <v>9</v>
      </c>
      <c r="D2142" t="s">
        <v>16</v>
      </c>
      <c r="E2142" t="s">
        <v>22</v>
      </c>
      <c r="F2142">
        <v>11</v>
      </c>
      <c r="G2142">
        <v>18381</v>
      </c>
      <c r="H2142">
        <v>202191</v>
      </c>
      <c r="I2142">
        <f t="shared" si="33"/>
        <v>202191</v>
      </c>
    </row>
    <row r="2143" spans="1:9" x14ac:dyDescent="0.3">
      <c r="A2143">
        <v>12142</v>
      </c>
      <c r="B2143" s="2">
        <v>44945</v>
      </c>
      <c r="C2143" t="s">
        <v>9</v>
      </c>
      <c r="D2143" t="s">
        <v>17</v>
      </c>
      <c r="E2143" t="s">
        <v>23</v>
      </c>
      <c r="F2143">
        <v>7</v>
      </c>
      <c r="G2143">
        <v>57208</v>
      </c>
      <c r="H2143">
        <v>400456</v>
      </c>
      <c r="I2143">
        <f t="shared" si="33"/>
        <v>400456</v>
      </c>
    </row>
    <row r="2144" spans="1:9" x14ac:dyDescent="0.3">
      <c r="A2144">
        <v>12143</v>
      </c>
      <c r="B2144" s="2">
        <v>45061</v>
      </c>
      <c r="C2144" t="s">
        <v>12</v>
      </c>
      <c r="D2144" t="s">
        <v>18</v>
      </c>
      <c r="E2144" t="s">
        <v>22</v>
      </c>
      <c r="F2144">
        <v>12</v>
      </c>
      <c r="G2144">
        <v>35817</v>
      </c>
      <c r="H2144">
        <v>429804</v>
      </c>
      <c r="I2144">
        <f t="shared" si="33"/>
        <v>429804</v>
      </c>
    </row>
    <row r="2145" spans="1:9" x14ac:dyDescent="0.3">
      <c r="A2145">
        <v>12144</v>
      </c>
      <c r="B2145" s="2">
        <v>44930</v>
      </c>
      <c r="C2145" t="s">
        <v>11</v>
      </c>
      <c r="D2145" t="s">
        <v>16</v>
      </c>
      <c r="E2145" t="s">
        <v>24</v>
      </c>
      <c r="F2145">
        <v>18</v>
      </c>
      <c r="G2145">
        <v>48911</v>
      </c>
      <c r="H2145">
        <v>880398</v>
      </c>
      <c r="I2145">
        <f t="shared" si="33"/>
        <v>880398</v>
      </c>
    </row>
    <row r="2146" spans="1:9" x14ac:dyDescent="0.3">
      <c r="A2146">
        <v>12145</v>
      </c>
      <c r="B2146" s="2">
        <v>44983</v>
      </c>
      <c r="C2146" t="s">
        <v>8</v>
      </c>
      <c r="D2146" t="s">
        <v>17</v>
      </c>
      <c r="E2146" t="s">
        <v>22</v>
      </c>
      <c r="F2146">
        <v>3</v>
      </c>
      <c r="G2146">
        <v>21435</v>
      </c>
      <c r="H2146">
        <v>64305</v>
      </c>
      <c r="I2146">
        <f t="shared" si="33"/>
        <v>64305</v>
      </c>
    </row>
    <row r="2147" spans="1:9" x14ac:dyDescent="0.3">
      <c r="A2147">
        <v>12146</v>
      </c>
      <c r="B2147" s="2">
        <v>45255</v>
      </c>
      <c r="C2147" t="s">
        <v>13</v>
      </c>
      <c r="D2147" t="s">
        <v>16</v>
      </c>
      <c r="E2147" t="s">
        <v>20</v>
      </c>
      <c r="F2147">
        <v>20</v>
      </c>
      <c r="G2147">
        <v>45055</v>
      </c>
      <c r="H2147">
        <v>901100</v>
      </c>
      <c r="I2147">
        <f t="shared" si="33"/>
        <v>901100</v>
      </c>
    </row>
    <row r="2148" spans="1:9" x14ac:dyDescent="0.3">
      <c r="A2148">
        <v>12147</v>
      </c>
      <c r="B2148" s="2">
        <v>45262</v>
      </c>
      <c r="C2148" t="s">
        <v>11</v>
      </c>
      <c r="D2148" t="s">
        <v>16</v>
      </c>
      <c r="E2148" t="s">
        <v>24</v>
      </c>
      <c r="F2148">
        <v>10</v>
      </c>
      <c r="G2148">
        <v>47775</v>
      </c>
      <c r="H2148">
        <v>477750</v>
      </c>
      <c r="I2148">
        <f t="shared" si="33"/>
        <v>477750</v>
      </c>
    </row>
    <row r="2149" spans="1:9" x14ac:dyDescent="0.3">
      <c r="A2149">
        <v>12148</v>
      </c>
      <c r="B2149" s="2">
        <v>45052</v>
      </c>
      <c r="C2149" t="s">
        <v>10</v>
      </c>
      <c r="D2149" t="s">
        <v>16</v>
      </c>
      <c r="E2149" t="s">
        <v>23</v>
      </c>
      <c r="F2149">
        <v>9</v>
      </c>
      <c r="G2149">
        <v>58609</v>
      </c>
      <c r="H2149">
        <v>527481</v>
      </c>
      <c r="I2149">
        <f t="shared" si="33"/>
        <v>527481</v>
      </c>
    </row>
    <row r="2150" spans="1:9" x14ac:dyDescent="0.3">
      <c r="A2150">
        <v>12149</v>
      </c>
      <c r="B2150" s="2">
        <v>45133</v>
      </c>
      <c r="C2150" t="s">
        <v>11</v>
      </c>
      <c r="D2150" t="s">
        <v>15</v>
      </c>
      <c r="E2150" t="s">
        <v>20</v>
      </c>
      <c r="F2150">
        <v>13</v>
      </c>
      <c r="G2150">
        <v>52768</v>
      </c>
      <c r="H2150">
        <v>685984</v>
      </c>
      <c r="I2150">
        <f t="shared" si="33"/>
        <v>685984</v>
      </c>
    </row>
    <row r="2151" spans="1:9" x14ac:dyDescent="0.3">
      <c r="A2151">
        <v>12150</v>
      </c>
      <c r="B2151" s="2">
        <v>45131</v>
      </c>
      <c r="C2151" t="s">
        <v>12</v>
      </c>
      <c r="D2151" t="s">
        <v>17</v>
      </c>
      <c r="E2151" t="s">
        <v>21</v>
      </c>
      <c r="F2151">
        <v>6</v>
      </c>
      <c r="G2151">
        <v>3090</v>
      </c>
      <c r="H2151">
        <v>18540</v>
      </c>
      <c r="I2151">
        <f t="shared" si="33"/>
        <v>18540</v>
      </c>
    </row>
    <row r="2152" spans="1:9" x14ac:dyDescent="0.3">
      <c r="A2152">
        <v>12151</v>
      </c>
      <c r="B2152" s="2">
        <v>45256</v>
      </c>
      <c r="C2152" t="s">
        <v>8</v>
      </c>
      <c r="D2152" t="s">
        <v>18</v>
      </c>
      <c r="E2152" t="s">
        <v>23</v>
      </c>
      <c r="F2152">
        <v>20</v>
      </c>
      <c r="G2152">
        <v>10314</v>
      </c>
      <c r="H2152">
        <v>206280</v>
      </c>
      <c r="I2152">
        <f t="shared" si="33"/>
        <v>206280</v>
      </c>
    </row>
    <row r="2153" spans="1:9" x14ac:dyDescent="0.3">
      <c r="A2153">
        <v>12152</v>
      </c>
      <c r="B2153" s="2">
        <v>44965</v>
      </c>
      <c r="C2153" t="s">
        <v>11</v>
      </c>
      <c r="D2153" t="s">
        <v>16</v>
      </c>
      <c r="E2153" t="s">
        <v>23</v>
      </c>
      <c r="F2153">
        <v>13</v>
      </c>
      <c r="G2153">
        <v>32800</v>
      </c>
      <c r="H2153">
        <v>426400</v>
      </c>
      <c r="I2153">
        <f t="shared" si="33"/>
        <v>426400</v>
      </c>
    </row>
    <row r="2154" spans="1:9" x14ac:dyDescent="0.3">
      <c r="A2154">
        <v>12153</v>
      </c>
      <c r="B2154" s="2">
        <v>45012</v>
      </c>
      <c r="C2154" t="s">
        <v>12</v>
      </c>
      <c r="D2154" t="s">
        <v>18</v>
      </c>
      <c r="E2154" t="s">
        <v>19</v>
      </c>
      <c r="F2154">
        <v>13</v>
      </c>
      <c r="G2154">
        <v>33700</v>
      </c>
      <c r="H2154">
        <v>438100</v>
      </c>
      <c r="I2154">
        <f t="shared" si="33"/>
        <v>438100</v>
      </c>
    </row>
    <row r="2155" spans="1:9" x14ac:dyDescent="0.3">
      <c r="A2155">
        <v>12154</v>
      </c>
      <c r="B2155" s="2">
        <v>44930</v>
      </c>
      <c r="C2155" t="s">
        <v>12</v>
      </c>
      <c r="D2155" t="s">
        <v>17</v>
      </c>
      <c r="E2155" t="s">
        <v>22</v>
      </c>
      <c r="F2155">
        <v>4</v>
      </c>
      <c r="G2155">
        <v>32067</v>
      </c>
      <c r="H2155">
        <v>128268</v>
      </c>
      <c r="I2155">
        <f t="shared" si="33"/>
        <v>128268</v>
      </c>
    </row>
    <row r="2156" spans="1:9" x14ac:dyDescent="0.3">
      <c r="A2156">
        <v>12155</v>
      </c>
      <c r="B2156" s="2">
        <v>44976</v>
      </c>
      <c r="C2156" t="s">
        <v>12</v>
      </c>
      <c r="D2156" t="s">
        <v>17</v>
      </c>
      <c r="E2156" t="s">
        <v>23</v>
      </c>
      <c r="F2156">
        <v>6</v>
      </c>
      <c r="G2156">
        <v>5992</v>
      </c>
      <c r="H2156">
        <v>35952</v>
      </c>
      <c r="I2156">
        <f t="shared" si="33"/>
        <v>35952</v>
      </c>
    </row>
    <row r="2157" spans="1:9" x14ac:dyDescent="0.3">
      <c r="A2157">
        <v>12156</v>
      </c>
      <c r="B2157" s="2">
        <v>45138</v>
      </c>
      <c r="C2157" t="s">
        <v>11</v>
      </c>
      <c r="D2157" t="s">
        <v>15</v>
      </c>
      <c r="E2157" t="s">
        <v>23</v>
      </c>
      <c r="F2157">
        <v>12</v>
      </c>
      <c r="G2157">
        <v>35752</v>
      </c>
      <c r="H2157">
        <v>429024</v>
      </c>
      <c r="I2157">
        <f t="shared" si="33"/>
        <v>429024</v>
      </c>
    </row>
    <row r="2158" spans="1:9" x14ac:dyDescent="0.3">
      <c r="A2158">
        <v>12157</v>
      </c>
      <c r="B2158" s="2">
        <v>45111</v>
      </c>
      <c r="C2158" t="s">
        <v>8</v>
      </c>
      <c r="D2158" t="s">
        <v>18</v>
      </c>
      <c r="E2158" t="s">
        <v>24</v>
      </c>
      <c r="F2158">
        <v>4</v>
      </c>
      <c r="G2158">
        <v>32254</v>
      </c>
      <c r="H2158">
        <v>129016</v>
      </c>
      <c r="I2158">
        <f t="shared" si="33"/>
        <v>129016</v>
      </c>
    </row>
    <row r="2159" spans="1:9" x14ac:dyDescent="0.3">
      <c r="A2159">
        <v>12158</v>
      </c>
      <c r="B2159" s="2">
        <v>45065</v>
      </c>
      <c r="C2159" t="s">
        <v>10</v>
      </c>
      <c r="D2159" t="s">
        <v>17</v>
      </c>
      <c r="E2159" t="s">
        <v>24</v>
      </c>
      <c r="F2159">
        <v>1</v>
      </c>
      <c r="G2159">
        <v>48664</v>
      </c>
      <c r="H2159">
        <v>48664</v>
      </c>
      <c r="I2159">
        <f t="shared" si="33"/>
        <v>48664</v>
      </c>
    </row>
    <row r="2160" spans="1:9" x14ac:dyDescent="0.3">
      <c r="A2160">
        <v>12159</v>
      </c>
      <c r="B2160" s="2">
        <v>45153</v>
      </c>
      <c r="C2160" t="s">
        <v>13</v>
      </c>
      <c r="D2160" t="s">
        <v>17</v>
      </c>
      <c r="E2160" t="s">
        <v>22</v>
      </c>
      <c r="F2160">
        <v>3</v>
      </c>
      <c r="G2160">
        <v>32298</v>
      </c>
      <c r="H2160">
        <v>96894</v>
      </c>
      <c r="I2160">
        <f t="shared" si="33"/>
        <v>96894</v>
      </c>
    </row>
    <row r="2161" spans="1:9" x14ac:dyDescent="0.3">
      <c r="A2161">
        <v>12160</v>
      </c>
      <c r="B2161" s="2">
        <v>45119</v>
      </c>
      <c r="C2161" t="s">
        <v>14</v>
      </c>
      <c r="D2161" t="s">
        <v>16</v>
      </c>
      <c r="E2161" t="s">
        <v>22</v>
      </c>
      <c r="F2161">
        <v>13</v>
      </c>
      <c r="G2161">
        <v>7138</v>
      </c>
      <c r="H2161">
        <v>92794</v>
      </c>
      <c r="I2161">
        <f t="shared" si="33"/>
        <v>92794</v>
      </c>
    </row>
    <row r="2162" spans="1:9" x14ac:dyDescent="0.3">
      <c r="A2162">
        <v>12161</v>
      </c>
      <c r="B2162" s="2">
        <v>45254</v>
      </c>
      <c r="C2162" t="s">
        <v>9</v>
      </c>
      <c r="D2162" t="s">
        <v>17</v>
      </c>
      <c r="E2162" t="s">
        <v>22</v>
      </c>
      <c r="F2162">
        <v>4</v>
      </c>
      <c r="G2162">
        <v>26803</v>
      </c>
      <c r="H2162">
        <v>107212</v>
      </c>
      <c r="I2162">
        <f t="shared" si="33"/>
        <v>107212</v>
      </c>
    </row>
    <row r="2163" spans="1:9" x14ac:dyDescent="0.3">
      <c r="A2163">
        <v>12162</v>
      </c>
      <c r="B2163" s="2">
        <v>45033</v>
      </c>
      <c r="C2163" t="s">
        <v>14</v>
      </c>
      <c r="D2163" t="s">
        <v>15</v>
      </c>
      <c r="E2163" t="s">
        <v>21</v>
      </c>
      <c r="F2163">
        <v>3</v>
      </c>
      <c r="G2163">
        <v>51781</v>
      </c>
      <c r="H2163">
        <v>155343</v>
      </c>
      <c r="I2163">
        <f t="shared" si="33"/>
        <v>155343</v>
      </c>
    </row>
    <row r="2164" spans="1:9" x14ac:dyDescent="0.3">
      <c r="A2164">
        <v>12163</v>
      </c>
      <c r="B2164" s="2">
        <v>45169</v>
      </c>
      <c r="C2164" t="s">
        <v>10</v>
      </c>
      <c r="D2164" t="s">
        <v>16</v>
      </c>
      <c r="E2164" t="s">
        <v>22</v>
      </c>
      <c r="F2164">
        <v>10</v>
      </c>
      <c r="G2164">
        <v>25793</v>
      </c>
      <c r="H2164">
        <v>257930</v>
      </c>
      <c r="I2164">
        <f t="shared" si="33"/>
        <v>257930</v>
      </c>
    </row>
    <row r="2165" spans="1:9" x14ac:dyDescent="0.3">
      <c r="A2165">
        <v>12164</v>
      </c>
      <c r="B2165" s="2">
        <v>45268</v>
      </c>
      <c r="C2165" t="s">
        <v>14</v>
      </c>
      <c r="D2165" t="s">
        <v>18</v>
      </c>
      <c r="E2165" t="s">
        <v>20</v>
      </c>
      <c r="F2165">
        <v>18</v>
      </c>
      <c r="G2165">
        <v>33828</v>
      </c>
      <c r="H2165">
        <v>608904</v>
      </c>
      <c r="I2165">
        <f t="shared" si="33"/>
        <v>608904</v>
      </c>
    </row>
    <row r="2166" spans="1:9" x14ac:dyDescent="0.3">
      <c r="A2166">
        <v>12165</v>
      </c>
      <c r="B2166" s="2">
        <v>45207</v>
      </c>
      <c r="C2166" t="s">
        <v>9</v>
      </c>
      <c r="D2166" t="s">
        <v>18</v>
      </c>
      <c r="E2166" t="s">
        <v>22</v>
      </c>
      <c r="F2166">
        <v>13</v>
      </c>
      <c r="G2166">
        <v>53908</v>
      </c>
      <c r="H2166">
        <v>700804</v>
      </c>
      <c r="I2166">
        <f t="shared" si="33"/>
        <v>700804</v>
      </c>
    </row>
    <row r="2167" spans="1:9" x14ac:dyDescent="0.3">
      <c r="A2167">
        <v>12166</v>
      </c>
      <c r="B2167" s="2">
        <v>45072</v>
      </c>
      <c r="C2167" t="s">
        <v>11</v>
      </c>
      <c r="D2167" t="s">
        <v>18</v>
      </c>
      <c r="E2167" t="s">
        <v>23</v>
      </c>
      <c r="F2167">
        <v>2</v>
      </c>
      <c r="G2167">
        <v>28110</v>
      </c>
      <c r="H2167">
        <v>56220</v>
      </c>
      <c r="I2167">
        <f t="shared" si="33"/>
        <v>56220</v>
      </c>
    </row>
    <row r="2168" spans="1:9" x14ac:dyDescent="0.3">
      <c r="A2168">
        <v>12167</v>
      </c>
      <c r="B2168" s="2">
        <v>45035</v>
      </c>
      <c r="C2168" t="s">
        <v>10</v>
      </c>
      <c r="D2168" t="s">
        <v>17</v>
      </c>
      <c r="E2168" t="s">
        <v>23</v>
      </c>
      <c r="F2168">
        <v>20</v>
      </c>
      <c r="G2168">
        <v>5987</v>
      </c>
      <c r="H2168">
        <v>119740</v>
      </c>
      <c r="I2168">
        <f t="shared" si="33"/>
        <v>119740</v>
      </c>
    </row>
    <row r="2169" spans="1:9" x14ac:dyDescent="0.3">
      <c r="A2169">
        <v>12168</v>
      </c>
      <c r="B2169" s="2">
        <v>45029</v>
      </c>
      <c r="C2169" t="s">
        <v>13</v>
      </c>
      <c r="D2169" t="s">
        <v>18</v>
      </c>
      <c r="E2169" t="s">
        <v>24</v>
      </c>
      <c r="F2169">
        <v>16</v>
      </c>
      <c r="G2169">
        <v>7474</v>
      </c>
      <c r="H2169">
        <v>119584</v>
      </c>
      <c r="I2169">
        <f t="shared" si="33"/>
        <v>119584</v>
      </c>
    </row>
    <row r="2170" spans="1:9" x14ac:dyDescent="0.3">
      <c r="A2170">
        <v>12169</v>
      </c>
      <c r="B2170" s="2">
        <v>45292</v>
      </c>
      <c r="C2170" t="s">
        <v>12</v>
      </c>
      <c r="D2170" t="s">
        <v>17</v>
      </c>
      <c r="E2170" t="s">
        <v>24</v>
      </c>
      <c r="F2170">
        <v>10</v>
      </c>
      <c r="G2170">
        <v>24250</v>
      </c>
      <c r="H2170">
        <v>242500</v>
      </c>
      <c r="I2170">
        <f t="shared" si="33"/>
        <v>242500</v>
      </c>
    </row>
    <row r="2171" spans="1:9" x14ac:dyDescent="0.3">
      <c r="A2171">
        <v>12170</v>
      </c>
      <c r="B2171" s="2">
        <v>45285</v>
      </c>
      <c r="C2171" t="s">
        <v>12</v>
      </c>
      <c r="D2171" t="s">
        <v>16</v>
      </c>
      <c r="E2171" t="s">
        <v>23</v>
      </c>
      <c r="F2171">
        <v>13</v>
      </c>
      <c r="G2171">
        <v>20047</v>
      </c>
      <c r="H2171">
        <v>260611</v>
      </c>
      <c r="I2171">
        <f t="shared" si="33"/>
        <v>260611</v>
      </c>
    </row>
    <row r="2172" spans="1:9" x14ac:dyDescent="0.3">
      <c r="A2172">
        <v>12171</v>
      </c>
      <c r="B2172" s="2">
        <v>45238</v>
      </c>
      <c r="C2172" t="s">
        <v>10</v>
      </c>
      <c r="D2172" t="s">
        <v>18</v>
      </c>
      <c r="E2172" t="s">
        <v>22</v>
      </c>
      <c r="F2172">
        <v>9</v>
      </c>
      <c r="G2172">
        <v>8375</v>
      </c>
      <c r="H2172">
        <v>75375</v>
      </c>
      <c r="I2172">
        <f t="shared" si="33"/>
        <v>75375</v>
      </c>
    </row>
    <row r="2173" spans="1:9" x14ac:dyDescent="0.3">
      <c r="A2173">
        <v>12172</v>
      </c>
      <c r="B2173" s="2">
        <v>45153</v>
      </c>
      <c r="C2173" t="s">
        <v>11</v>
      </c>
      <c r="D2173" t="s">
        <v>16</v>
      </c>
      <c r="E2173" t="s">
        <v>24</v>
      </c>
      <c r="F2173">
        <v>7</v>
      </c>
      <c r="G2173">
        <v>24271</v>
      </c>
      <c r="H2173">
        <v>169897</v>
      </c>
      <c r="I2173">
        <f t="shared" si="33"/>
        <v>169897</v>
      </c>
    </row>
    <row r="2174" spans="1:9" x14ac:dyDescent="0.3">
      <c r="A2174">
        <v>12173</v>
      </c>
      <c r="B2174" s="2">
        <v>45085</v>
      </c>
      <c r="C2174" t="s">
        <v>9</v>
      </c>
      <c r="D2174" t="s">
        <v>18</v>
      </c>
      <c r="E2174" t="s">
        <v>21</v>
      </c>
      <c r="F2174">
        <v>20</v>
      </c>
      <c r="G2174">
        <v>22817</v>
      </c>
      <c r="H2174">
        <v>456340</v>
      </c>
      <c r="I2174">
        <f t="shared" si="33"/>
        <v>456340</v>
      </c>
    </row>
    <row r="2175" spans="1:9" x14ac:dyDescent="0.3">
      <c r="A2175">
        <v>12174</v>
      </c>
      <c r="B2175" s="2">
        <v>45084</v>
      </c>
      <c r="C2175" t="s">
        <v>13</v>
      </c>
      <c r="D2175" t="s">
        <v>17</v>
      </c>
      <c r="E2175" t="s">
        <v>23</v>
      </c>
      <c r="F2175">
        <v>15</v>
      </c>
      <c r="G2175">
        <v>17627</v>
      </c>
      <c r="H2175">
        <v>264405</v>
      </c>
      <c r="I2175">
        <f t="shared" si="33"/>
        <v>264405</v>
      </c>
    </row>
    <row r="2176" spans="1:9" x14ac:dyDescent="0.3">
      <c r="A2176">
        <v>12175</v>
      </c>
      <c r="B2176" s="2">
        <v>45269</v>
      </c>
      <c r="C2176" t="s">
        <v>13</v>
      </c>
      <c r="D2176" t="s">
        <v>17</v>
      </c>
      <c r="E2176" t="s">
        <v>23</v>
      </c>
      <c r="F2176">
        <v>9</v>
      </c>
      <c r="G2176">
        <v>7709</v>
      </c>
      <c r="H2176">
        <v>69381</v>
      </c>
      <c r="I2176">
        <f t="shared" si="33"/>
        <v>69381</v>
      </c>
    </row>
    <row r="2177" spans="1:9" x14ac:dyDescent="0.3">
      <c r="A2177">
        <v>12176</v>
      </c>
      <c r="B2177" s="2">
        <v>45033</v>
      </c>
      <c r="C2177" t="s">
        <v>14</v>
      </c>
      <c r="D2177" t="s">
        <v>18</v>
      </c>
      <c r="E2177" t="s">
        <v>24</v>
      </c>
      <c r="F2177">
        <v>20</v>
      </c>
      <c r="G2177">
        <v>13231</v>
      </c>
      <c r="H2177">
        <v>264620</v>
      </c>
      <c r="I2177">
        <f t="shared" si="33"/>
        <v>264620</v>
      </c>
    </row>
    <row r="2178" spans="1:9" x14ac:dyDescent="0.3">
      <c r="A2178">
        <v>12177</v>
      </c>
      <c r="B2178" s="2">
        <v>45153</v>
      </c>
      <c r="C2178" t="s">
        <v>11</v>
      </c>
      <c r="D2178" t="s">
        <v>18</v>
      </c>
      <c r="E2178" t="s">
        <v>20</v>
      </c>
      <c r="F2178">
        <v>13</v>
      </c>
      <c r="G2178">
        <v>25235</v>
      </c>
      <c r="H2178">
        <v>328055</v>
      </c>
      <c r="I2178">
        <f t="shared" si="33"/>
        <v>328055</v>
      </c>
    </row>
    <row r="2179" spans="1:9" x14ac:dyDescent="0.3">
      <c r="A2179">
        <v>12178</v>
      </c>
      <c r="B2179" s="2">
        <v>45112</v>
      </c>
      <c r="C2179" t="s">
        <v>10</v>
      </c>
      <c r="D2179" t="s">
        <v>16</v>
      </c>
      <c r="E2179" t="s">
        <v>22</v>
      </c>
      <c r="F2179">
        <v>20</v>
      </c>
      <c r="G2179">
        <v>45082</v>
      </c>
      <c r="H2179">
        <v>901640</v>
      </c>
      <c r="I2179">
        <f t="shared" ref="I2179:I2242" si="34">G2179*F2179</f>
        <v>901640</v>
      </c>
    </row>
    <row r="2180" spans="1:9" x14ac:dyDescent="0.3">
      <c r="A2180">
        <v>12179</v>
      </c>
      <c r="B2180" s="2">
        <v>44989</v>
      </c>
      <c r="C2180" t="s">
        <v>13</v>
      </c>
      <c r="D2180" t="s">
        <v>16</v>
      </c>
      <c r="E2180" t="s">
        <v>21</v>
      </c>
      <c r="F2180">
        <v>19</v>
      </c>
      <c r="G2180">
        <v>14736</v>
      </c>
      <c r="H2180">
        <v>279984</v>
      </c>
      <c r="I2180">
        <f t="shared" si="34"/>
        <v>279984</v>
      </c>
    </row>
    <row r="2181" spans="1:9" x14ac:dyDescent="0.3">
      <c r="A2181">
        <v>12180</v>
      </c>
      <c r="B2181" s="2">
        <v>45131</v>
      </c>
      <c r="C2181" t="s">
        <v>12</v>
      </c>
      <c r="D2181" t="s">
        <v>18</v>
      </c>
      <c r="E2181" t="s">
        <v>24</v>
      </c>
      <c r="F2181">
        <v>20</v>
      </c>
      <c r="G2181">
        <v>23657</v>
      </c>
      <c r="H2181">
        <v>473140</v>
      </c>
      <c r="I2181">
        <f t="shared" si="34"/>
        <v>473140</v>
      </c>
    </row>
    <row r="2182" spans="1:9" x14ac:dyDescent="0.3">
      <c r="A2182">
        <v>12181</v>
      </c>
      <c r="B2182" s="2">
        <v>45026</v>
      </c>
      <c r="C2182" t="s">
        <v>8</v>
      </c>
      <c r="D2182" t="s">
        <v>16</v>
      </c>
      <c r="E2182" t="s">
        <v>20</v>
      </c>
      <c r="F2182">
        <v>20</v>
      </c>
      <c r="G2182">
        <v>37798</v>
      </c>
      <c r="H2182">
        <v>755960</v>
      </c>
      <c r="I2182">
        <f t="shared" si="34"/>
        <v>755960</v>
      </c>
    </row>
    <row r="2183" spans="1:9" x14ac:dyDescent="0.3">
      <c r="A2183">
        <v>12182</v>
      </c>
      <c r="B2183" s="2">
        <v>45030</v>
      </c>
      <c r="C2183" t="s">
        <v>8</v>
      </c>
      <c r="D2183" t="s">
        <v>18</v>
      </c>
      <c r="E2183" t="s">
        <v>19</v>
      </c>
      <c r="F2183">
        <v>17</v>
      </c>
      <c r="G2183">
        <v>58088</v>
      </c>
      <c r="H2183">
        <v>987496</v>
      </c>
      <c r="I2183">
        <f t="shared" si="34"/>
        <v>987496</v>
      </c>
    </row>
    <row r="2184" spans="1:9" x14ac:dyDescent="0.3">
      <c r="A2184">
        <v>12183</v>
      </c>
      <c r="B2184" s="2">
        <v>44992</v>
      </c>
      <c r="C2184" t="s">
        <v>13</v>
      </c>
      <c r="D2184" t="s">
        <v>16</v>
      </c>
      <c r="E2184" t="s">
        <v>24</v>
      </c>
      <c r="F2184">
        <v>19</v>
      </c>
      <c r="G2184">
        <v>43609</v>
      </c>
      <c r="H2184">
        <v>828571</v>
      </c>
      <c r="I2184">
        <f t="shared" si="34"/>
        <v>828571</v>
      </c>
    </row>
    <row r="2185" spans="1:9" x14ac:dyDescent="0.3">
      <c r="A2185">
        <v>12184</v>
      </c>
      <c r="B2185" s="2">
        <v>45169</v>
      </c>
      <c r="C2185" t="s">
        <v>12</v>
      </c>
      <c r="D2185" t="s">
        <v>16</v>
      </c>
      <c r="E2185" t="s">
        <v>21</v>
      </c>
      <c r="F2185">
        <v>1</v>
      </c>
      <c r="G2185">
        <v>42867</v>
      </c>
      <c r="H2185">
        <v>42867</v>
      </c>
      <c r="I2185">
        <f t="shared" si="34"/>
        <v>42867</v>
      </c>
    </row>
    <row r="2186" spans="1:9" x14ac:dyDescent="0.3">
      <c r="A2186">
        <v>12185</v>
      </c>
      <c r="B2186" s="2">
        <v>45032</v>
      </c>
      <c r="C2186" t="s">
        <v>8</v>
      </c>
      <c r="D2186" t="s">
        <v>18</v>
      </c>
      <c r="E2186" t="s">
        <v>21</v>
      </c>
      <c r="F2186">
        <v>12</v>
      </c>
      <c r="G2186">
        <v>18582</v>
      </c>
      <c r="H2186">
        <v>222984</v>
      </c>
      <c r="I2186">
        <f t="shared" si="34"/>
        <v>222984</v>
      </c>
    </row>
    <row r="2187" spans="1:9" x14ac:dyDescent="0.3">
      <c r="A2187">
        <v>12186</v>
      </c>
      <c r="B2187" s="2">
        <v>45291</v>
      </c>
      <c r="C2187" t="s">
        <v>13</v>
      </c>
      <c r="D2187" t="s">
        <v>16</v>
      </c>
      <c r="E2187" t="s">
        <v>21</v>
      </c>
      <c r="F2187">
        <v>18</v>
      </c>
      <c r="G2187">
        <v>29273</v>
      </c>
      <c r="H2187">
        <v>526914</v>
      </c>
      <c r="I2187">
        <f t="shared" si="34"/>
        <v>526914</v>
      </c>
    </row>
    <row r="2188" spans="1:9" x14ac:dyDescent="0.3">
      <c r="A2188">
        <v>12187</v>
      </c>
      <c r="B2188" s="2">
        <v>45001</v>
      </c>
      <c r="C2188" t="s">
        <v>10</v>
      </c>
      <c r="D2188" t="s">
        <v>16</v>
      </c>
      <c r="E2188" t="s">
        <v>24</v>
      </c>
      <c r="F2188">
        <v>2</v>
      </c>
      <c r="G2188">
        <v>2978</v>
      </c>
      <c r="H2188">
        <v>5956</v>
      </c>
      <c r="I2188">
        <f t="shared" si="34"/>
        <v>5956</v>
      </c>
    </row>
    <row r="2189" spans="1:9" x14ac:dyDescent="0.3">
      <c r="A2189">
        <v>12188</v>
      </c>
      <c r="B2189" s="2">
        <v>45214</v>
      </c>
      <c r="C2189" t="s">
        <v>14</v>
      </c>
      <c r="D2189" t="s">
        <v>18</v>
      </c>
      <c r="E2189" t="s">
        <v>22</v>
      </c>
      <c r="F2189">
        <v>6</v>
      </c>
      <c r="G2189">
        <v>5108</v>
      </c>
      <c r="H2189">
        <v>30648</v>
      </c>
      <c r="I2189">
        <f t="shared" si="34"/>
        <v>30648</v>
      </c>
    </row>
    <row r="2190" spans="1:9" x14ac:dyDescent="0.3">
      <c r="A2190">
        <v>12189</v>
      </c>
      <c r="B2190" s="2">
        <v>45240</v>
      </c>
      <c r="C2190" t="s">
        <v>12</v>
      </c>
      <c r="D2190" t="s">
        <v>16</v>
      </c>
      <c r="E2190" t="s">
        <v>21</v>
      </c>
      <c r="F2190">
        <v>17</v>
      </c>
      <c r="G2190">
        <v>29602</v>
      </c>
      <c r="H2190">
        <v>503234</v>
      </c>
      <c r="I2190">
        <f t="shared" si="34"/>
        <v>503234</v>
      </c>
    </row>
    <row r="2191" spans="1:9" x14ac:dyDescent="0.3">
      <c r="A2191">
        <v>12190</v>
      </c>
      <c r="B2191" s="2">
        <v>45135</v>
      </c>
      <c r="C2191" t="s">
        <v>14</v>
      </c>
      <c r="D2191" t="s">
        <v>15</v>
      </c>
      <c r="E2191" t="s">
        <v>19</v>
      </c>
      <c r="F2191">
        <v>14</v>
      </c>
      <c r="G2191">
        <v>37619</v>
      </c>
      <c r="H2191">
        <v>526666</v>
      </c>
      <c r="I2191">
        <f t="shared" si="34"/>
        <v>526666</v>
      </c>
    </row>
    <row r="2192" spans="1:9" x14ac:dyDescent="0.3">
      <c r="A2192">
        <v>12191</v>
      </c>
      <c r="B2192" s="2">
        <v>45157</v>
      </c>
      <c r="C2192" t="s">
        <v>13</v>
      </c>
      <c r="D2192" t="s">
        <v>16</v>
      </c>
      <c r="E2192" t="s">
        <v>19</v>
      </c>
      <c r="F2192">
        <v>13</v>
      </c>
      <c r="G2192">
        <v>59439</v>
      </c>
      <c r="H2192">
        <v>772707</v>
      </c>
      <c r="I2192">
        <f t="shared" si="34"/>
        <v>772707</v>
      </c>
    </row>
    <row r="2193" spans="1:9" x14ac:dyDescent="0.3">
      <c r="A2193">
        <v>12192</v>
      </c>
      <c r="B2193" s="2">
        <v>45077</v>
      </c>
      <c r="C2193" t="s">
        <v>13</v>
      </c>
      <c r="D2193" t="s">
        <v>16</v>
      </c>
      <c r="E2193" t="s">
        <v>22</v>
      </c>
      <c r="F2193">
        <v>9</v>
      </c>
      <c r="G2193">
        <v>46756</v>
      </c>
      <c r="H2193">
        <v>420804</v>
      </c>
      <c r="I2193">
        <f t="shared" si="34"/>
        <v>420804</v>
      </c>
    </row>
    <row r="2194" spans="1:9" x14ac:dyDescent="0.3">
      <c r="A2194">
        <v>12193</v>
      </c>
      <c r="B2194" s="2">
        <v>44947</v>
      </c>
      <c r="C2194" t="s">
        <v>14</v>
      </c>
      <c r="D2194" t="s">
        <v>16</v>
      </c>
      <c r="E2194" t="s">
        <v>23</v>
      </c>
      <c r="F2194">
        <v>18</v>
      </c>
      <c r="G2194">
        <v>34855</v>
      </c>
      <c r="H2194">
        <v>627390</v>
      </c>
      <c r="I2194">
        <f t="shared" si="34"/>
        <v>627390</v>
      </c>
    </row>
    <row r="2195" spans="1:9" x14ac:dyDescent="0.3">
      <c r="A2195">
        <v>12194</v>
      </c>
      <c r="B2195" s="2">
        <v>45084</v>
      </c>
      <c r="C2195" t="s">
        <v>12</v>
      </c>
      <c r="D2195" t="s">
        <v>18</v>
      </c>
      <c r="E2195" t="s">
        <v>22</v>
      </c>
      <c r="F2195">
        <v>14</v>
      </c>
      <c r="G2195">
        <v>51550</v>
      </c>
      <c r="H2195">
        <v>721700</v>
      </c>
      <c r="I2195">
        <f t="shared" si="34"/>
        <v>721700</v>
      </c>
    </row>
    <row r="2196" spans="1:9" x14ac:dyDescent="0.3">
      <c r="A2196">
        <v>12195</v>
      </c>
      <c r="B2196" s="2">
        <v>45173</v>
      </c>
      <c r="C2196" t="s">
        <v>10</v>
      </c>
      <c r="D2196" t="s">
        <v>17</v>
      </c>
      <c r="E2196" t="s">
        <v>20</v>
      </c>
      <c r="F2196">
        <v>1</v>
      </c>
      <c r="G2196">
        <v>35901</v>
      </c>
      <c r="H2196">
        <v>35901</v>
      </c>
      <c r="I2196">
        <f t="shared" si="34"/>
        <v>35901</v>
      </c>
    </row>
    <row r="2197" spans="1:9" x14ac:dyDescent="0.3">
      <c r="A2197">
        <v>12196</v>
      </c>
      <c r="B2197" s="2">
        <v>44934</v>
      </c>
      <c r="C2197" t="s">
        <v>10</v>
      </c>
      <c r="D2197" t="s">
        <v>17</v>
      </c>
      <c r="E2197" t="s">
        <v>23</v>
      </c>
      <c r="F2197">
        <v>11</v>
      </c>
      <c r="G2197">
        <v>39025</v>
      </c>
      <c r="H2197">
        <v>429275</v>
      </c>
      <c r="I2197">
        <f t="shared" si="34"/>
        <v>429275</v>
      </c>
    </row>
    <row r="2198" spans="1:9" x14ac:dyDescent="0.3">
      <c r="A2198">
        <v>12197</v>
      </c>
      <c r="B2198" s="2">
        <v>45039</v>
      </c>
      <c r="C2198" t="s">
        <v>8</v>
      </c>
      <c r="D2198" t="s">
        <v>17</v>
      </c>
      <c r="E2198" t="s">
        <v>19</v>
      </c>
      <c r="F2198">
        <v>7</v>
      </c>
      <c r="G2198">
        <v>42662</v>
      </c>
      <c r="H2198">
        <v>298634</v>
      </c>
      <c r="I2198">
        <f t="shared" si="34"/>
        <v>298634</v>
      </c>
    </row>
    <row r="2199" spans="1:9" x14ac:dyDescent="0.3">
      <c r="A2199">
        <v>12198</v>
      </c>
      <c r="B2199" s="2">
        <v>44972</v>
      </c>
      <c r="C2199" t="s">
        <v>13</v>
      </c>
      <c r="D2199" t="s">
        <v>16</v>
      </c>
      <c r="E2199" t="s">
        <v>23</v>
      </c>
      <c r="F2199">
        <v>3</v>
      </c>
      <c r="G2199">
        <v>55264</v>
      </c>
      <c r="H2199">
        <v>165792</v>
      </c>
      <c r="I2199">
        <f t="shared" si="34"/>
        <v>165792</v>
      </c>
    </row>
    <row r="2200" spans="1:9" x14ac:dyDescent="0.3">
      <c r="A2200">
        <v>12199</v>
      </c>
      <c r="B2200" s="2">
        <v>44951</v>
      </c>
      <c r="C2200" t="s">
        <v>13</v>
      </c>
      <c r="D2200" t="s">
        <v>15</v>
      </c>
      <c r="E2200" t="s">
        <v>19</v>
      </c>
      <c r="F2200">
        <v>17</v>
      </c>
      <c r="G2200">
        <v>44904</v>
      </c>
      <c r="H2200">
        <v>763368</v>
      </c>
      <c r="I2200">
        <f t="shared" si="34"/>
        <v>763368</v>
      </c>
    </row>
    <row r="2201" spans="1:9" x14ac:dyDescent="0.3">
      <c r="A2201">
        <v>12200</v>
      </c>
      <c r="B2201" s="2">
        <v>45279</v>
      </c>
      <c r="C2201" t="s">
        <v>8</v>
      </c>
      <c r="D2201" t="s">
        <v>17</v>
      </c>
      <c r="E2201" t="s">
        <v>22</v>
      </c>
      <c r="F2201">
        <v>9</v>
      </c>
      <c r="G2201">
        <v>34828</v>
      </c>
      <c r="H2201">
        <v>313452</v>
      </c>
      <c r="I2201">
        <f t="shared" si="34"/>
        <v>313452</v>
      </c>
    </row>
    <row r="2202" spans="1:9" x14ac:dyDescent="0.3">
      <c r="A2202">
        <v>12201</v>
      </c>
      <c r="B2202" s="2">
        <v>45143</v>
      </c>
      <c r="C2202" t="s">
        <v>12</v>
      </c>
      <c r="D2202" t="s">
        <v>15</v>
      </c>
      <c r="E2202" t="s">
        <v>24</v>
      </c>
      <c r="F2202">
        <v>12</v>
      </c>
      <c r="G2202">
        <v>18919</v>
      </c>
      <c r="H2202">
        <v>227028</v>
      </c>
      <c r="I2202">
        <f t="shared" si="34"/>
        <v>227028</v>
      </c>
    </row>
    <row r="2203" spans="1:9" x14ac:dyDescent="0.3">
      <c r="A2203">
        <v>12202</v>
      </c>
      <c r="B2203" s="2">
        <v>45161</v>
      </c>
      <c r="C2203" t="s">
        <v>13</v>
      </c>
      <c r="D2203" t="s">
        <v>18</v>
      </c>
      <c r="E2203" t="s">
        <v>20</v>
      </c>
      <c r="F2203">
        <v>16</v>
      </c>
      <c r="G2203">
        <v>3383</v>
      </c>
      <c r="H2203">
        <v>54128</v>
      </c>
      <c r="I2203">
        <f t="shared" si="34"/>
        <v>54128</v>
      </c>
    </row>
    <row r="2204" spans="1:9" x14ac:dyDescent="0.3">
      <c r="A2204">
        <v>12203</v>
      </c>
      <c r="B2204" s="2">
        <v>45286</v>
      </c>
      <c r="C2204" t="s">
        <v>11</v>
      </c>
      <c r="D2204" t="s">
        <v>17</v>
      </c>
      <c r="E2204" t="s">
        <v>21</v>
      </c>
      <c r="F2204">
        <v>12</v>
      </c>
      <c r="G2204">
        <v>51783</v>
      </c>
      <c r="H2204">
        <v>621396</v>
      </c>
      <c r="I2204">
        <f t="shared" si="34"/>
        <v>621396</v>
      </c>
    </row>
    <row r="2205" spans="1:9" x14ac:dyDescent="0.3">
      <c r="A2205">
        <v>12204</v>
      </c>
      <c r="B2205" s="2">
        <v>45220</v>
      </c>
      <c r="C2205" t="s">
        <v>11</v>
      </c>
      <c r="D2205" t="s">
        <v>18</v>
      </c>
      <c r="E2205" t="s">
        <v>19</v>
      </c>
      <c r="F2205">
        <v>9</v>
      </c>
      <c r="G2205">
        <v>40396</v>
      </c>
      <c r="H2205">
        <v>363564</v>
      </c>
      <c r="I2205">
        <f t="shared" si="34"/>
        <v>363564</v>
      </c>
    </row>
    <row r="2206" spans="1:9" x14ac:dyDescent="0.3">
      <c r="A2206">
        <v>12205</v>
      </c>
      <c r="B2206" s="2">
        <v>44944</v>
      </c>
      <c r="C2206" t="s">
        <v>9</v>
      </c>
      <c r="D2206" t="s">
        <v>18</v>
      </c>
      <c r="E2206" t="s">
        <v>22</v>
      </c>
      <c r="F2206">
        <v>18</v>
      </c>
      <c r="G2206">
        <v>21068</v>
      </c>
      <c r="H2206">
        <v>379224</v>
      </c>
      <c r="I2206">
        <f t="shared" si="34"/>
        <v>379224</v>
      </c>
    </row>
    <row r="2207" spans="1:9" x14ac:dyDescent="0.3">
      <c r="A2207">
        <v>12206</v>
      </c>
      <c r="B2207" s="2">
        <v>44950</v>
      </c>
      <c r="C2207" t="s">
        <v>10</v>
      </c>
      <c r="D2207" t="s">
        <v>17</v>
      </c>
      <c r="E2207" t="s">
        <v>20</v>
      </c>
      <c r="F2207">
        <v>13</v>
      </c>
      <c r="G2207">
        <v>34662</v>
      </c>
      <c r="H2207">
        <v>450606</v>
      </c>
      <c r="I2207">
        <f t="shared" si="34"/>
        <v>450606</v>
      </c>
    </row>
    <row r="2208" spans="1:9" x14ac:dyDescent="0.3">
      <c r="A2208">
        <v>12207</v>
      </c>
      <c r="B2208" s="2">
        <v>45050</v>
      </c>
      <c r="C2208" t="s">
        <v>13</v>
      </c>
      <c r="D2208" t="s">
        <v>16</v>
      </c>
      <c r="E2208" t="s">
        <v>21</v>
      </c>
      <c r="F2208">
        <v>17</v>
      </c>
      <c r="G2208">
        <v>7806</v>
      </c>
      <c r="H2208">
        <v>132702</v>
      </c>
      <c r="I2208">
        <f t="shared" si="34"/>
        <v>132702</v>
      </c>
    </row>
    <row r="2209" spans="1:9" x14ac:dyDescent="0.3">
      <c r="A2209">
        <v>12208</v>
      </c>
      <c r="B2209" s="2">
        <v>45049</v>
      </c>
      <c r="C2209" t="s">
        <v>9</v>
      </c>
      <c r="D2209" t="s">
        <v>16</v>
      </c>
      <c r="E2209" t="s">
        <v>19</v>
      </c>
      <c r="F2209">
        <v>16</v>
      </c>
      <c r="G2209">
        <v>42634</v>
      </c>
      <c r="H2209">
        <v>682144</v>
      </c>
      <c r="I2209">
        <f t="shared" si="34"/>
        <v>682144</v>
      </c>
    </row>
    <row r="2210" spans="1:9" x14ac:dyDescent="0.3">
      <c r="A2210">
        <v>12209</v>
      </c>
      <c r="B2210" s="2">
        <v>44975</v>
      </c>
      <c r="C2210" t="s">
        <v>11</v>
      </c>
      <c r="D2210" t="s">
        <v>17</v>
      </c>
      <c r="E2210" t="s">
        <v>21</v>
      </c>
      <c r="F2210">
        <v>1</v>
      </c>
      <c r="G2210">
        <v>24368</v>
      </c>
      <c r="H2210">
        <v>24368</v>
      </c>
      <c r="I2210">
        <f t="shared" si="34"/>
        <v>24368</v>
      </c>
    </row>
    <row r="2211" spans="1:9" x14ac:dyDescent="0.3">
      <c r="A2211">
        <v>12210</v>
      </c>
      <c r="B2211" s="2">
        <v>44976</v>
      </c>
      <c r="C2211" t="s">
        <v>9</v>
      </c>
      <c r="D2211" t="s">
        <v>17</v>
      </c>
      <c r="E2211" t="s">
        <v>21</v>
      </c>
      <c r="F2211">
        <v>1</v>
      </c>
      <c r="G2211">
        <v>31467</v>
      </c>
      <c r="H2211">
        <v>31467</v>
      </c>
      <c r="I2211">
        <f t="shared" si="34"/>
        <v>31467</v>
      </c>
    </row>
    <row r="2212" spans="1:9" x14ac:dyDescent="0.3">
      <c r="A2212">
        <v>12211</v>
      </c>
      <c r="B2212" s="2">
        <v>45272</v>
      </c>
      <c r="C2212" t="s">
        <v>12</v>
      </c>
      <c r="D2212" t="s">
        <v>17</v>
      </c>
      <c r="E2212" t="s">
        <v>21</v>
      </c>
      <c r="F2212">
        <v>1</v>
      </c>
      <c r="G2212">
        <v>34559</v>
      </c>
      <c r="H2212">
        <v>34559</v>
      </c>
      <c r="I2212">
        <f t="shared" si="34"/>
        <v>34559</v>
      </c>
    </row>
    <row r="2213" spans="1:9" x14ac:dyDescent="0.3">
      <c r="A2213">
        <v>12212</v>
      </c>
      <c r="B2213" s="2">
        <v>45255</v>
      </c>
      <c r="C2213" t="s">
        <v>10</v>
      </c>
      <c r="D2213" t="s">
        <v>17</v>
      </c>
      <c r="E2213" t="s">
        <v>19</v>
      </c>
      <c r="F2213">
        <v>5</v>
      </c>
      <c r="G2213">
        <v>49737</v>
      </c>
      <c r="H2213">
        <v>248685</v>
      </c>
      <c r="I2213">
        <f t="shared" si="34"/>
        <v>248685</v>
      </c>
    </row>
    <row r="2214" spans="1:9" x14ac:dyDescent="0.3">
      <c r="A2214">
        <v>12213</v>
      </c>
      <c r="B2214" s="2">
        <v>45031</v>
      </c>
      <c r="C2214" t="s">
        <v>8</v>
      </c>
      <c r="D2214" t="s">
        <v>17</v>
      </c>
      <c r="E2214" t="s">
        <v>20</v>
      </c>
      <c r="F2214">
        <v>3</v>
      </c>
      <c r="G2214">
        <v>42694</v>
      </c>
      <c r="H2214">
        <v>128082</v>
      </c>
      <c r="I2214">
        <f t="shared" si="34"/>
        <v>128082</v>
      </c>
    </row>
    <row r="2215" spans="1:9" x14ac:dyDescent="0.3">
      <c r="A2215">
        <v>12214</v>
      </c>
      <c r="B2215" s="2">
        <v>45019</v>
      </c>
      <c r="C2215" t="s">
        <v>11</v>
      </c>
      <c r="D2215" t="s">
        <v>17</v>
      </c>
      <c r="E2215" t="s">
        <v>20</v>
      </c>
      <c r="F2215">
        <v>2</v>
      </c>
      <c r="G2215">
        <v>24918</v>
      </c>
      <c r="H2215">
        <v>49836</v>
      </c>
      <c r="I2215">
        <f t="shared" si="34"/>
        <v>49836</v>
      </c>
    </row>
    <row r="2216" spans="1:9" x14ac:dyDescent="0.3">
      <c r="A2216">
        <v>12215</v>
      </c>
      <c r="B2216" s="2">
        <v>45025</v>
      </c>
      <c r="C2216" t="s">
        <v>10</v>
      </c>
      <c r="D2216" t="s">
        <v>16</v>
      </c>
      <c r="E2216" t="s">
        <v>20</v>
      </c>
      <c r="F2216">
        <v>7</v>
      </c>
      <c r="G2216">
        <v>18234</v>
      </c>
      <c r="H2216">
        <v>127638</v>
      </c>
      <c r="I2216">
        <f t="shared" si="34"/>
        <v>127638</v>
      </c>
    </row>
    <row r="2217" spans="1:9" x14ac:dyDescent="0.3">
      <c r="A2217">
        <v>12216</v>
      </c>
      <c r="B2217" s="2">
        <v>44971</v>
      </c>
      <c r="C2217" t="s">
        <v>13</v>
      </c>
      <c r="D2217" t="s">
        <v>18</v>
      </c>
      <c r="E2217" t="s">
        <v>21</v>
      </c>
      <c r="F2217">
        <v>18</v>
      </c>
      <c r="G2217">
        <v>10975</v>
      </c>
      <c r="H2217">
        <v>197550</v>
      </c>
      <c r="I2217">
        <f t="shared" si="34"/>
        <v>197550</v>
      </c>
    </row>
    <row r="2218" spans="1:9" x14ac:dyDescent="0.3">
      <c r="A2218">
        <v>12217</v>
      </c>
      <c r="B2218" s="2">
        <v>45269</v>
      </c>
      <c r="C2218" t="s">
        <v>14</v>
      </c>
      <c r="D2218" t="s">
        <v>16</v>
      </c>
      <c r="E2218" t="s">
        <v>22</v>
      </c>
      <c r="F2218">
        <v>5</v>
      </c>
      <c r="G2218">
        <v>32118</v>
      </c>
      <c r="H2218">
        <v>160590</v>
      </c>
      <c r="I2218">
        <f t="shared" si="34"/>
        <v>160590</v>
      </c>
    </row>
    <row r="2219" spans="1:9" x14ac:dyDescent="0.3">
      <c r="A2219">
        <v>12218</v>
      </c>
      <c r="B2219" s="2">
        <v>45184</v>
      </c>
      <c r="C2219" t="s">
        <v>8</v>
      </c>
      <c r="D2219" t="s">
        <v>17</v>
      </c>
      <c r="E2219" t="s">
        <v>20</v>
      </c>
      <c r="F2219">
        <v>14</v>
      </c>
      <c r="G2219">
        <v>40745</v>
      </c>
      <c r="H2219">
        <v>570430</v>
      </c>
      <c r="I2219">
        <f t="shared" si="34"/>
        <v>570430</v>
      </c>
    </row>
    <row r="2220" spans="1:9" x14ac:dyDescent="0.3">
      <c r="A2220">
        <v>12219</v>
      </c>
      <c r="B2220" s="2">
        <v>45036</v>
      </c>
      <c r="C2220" t="s">
        <v>8</v>
      </c>
      <c r="D2220" t="s">
        <v>15</v>
      </c>
      <c r="E2220" t="s">
        <v>20</v>
      </c>
      <c r="F2220">
        <v>12</v>
      </c>
      <c r="G2220">
        <v>17591</v>
      </c>
      <c r="H2220">
        <v>211092</v>
      </c>
      <c r="I2220">
        <f t="shared" si="34"/>
        <v>211092</v>
      </c>
    </row>
    <row r="2221" spans="1:9" x14ac:dyDescent="0.3">
      <c r="A2221">
        <v>12220</v>
      </c>
      <c r="B2221" s="2">
        <v>45199</v>
      </c>
      <c r="C2221" t="s">
        <v>14</v>
      </c>
      <c r="D2221" t="s">
        <v>15</v>
      </c>
      <c r="E2221" t="s">
        <v>23</v>
      </c>
      <c r="F2221">
        <v>1</v>
      </c>
      <c r="G2221">
        <v>47035</v>
      </c>
      <c r="H2221">
        <v>47035</v>
      </c>
      <c r="I2221">
        <f t="shared" si="34"/>
        <v>47035</v>
      </c>
    </row>
    <row r="2222" spans="1:9" x14ac:dyDescent="0.3">
      <c r="A2222">
        <v>12221</v>
      </c>
      <c r="B2222" s="2">
        <v>45206</v>
      </c>
      <c r="C2222" t="s">
        <v>14</v>
      </c>
      <c r="D2222" t="s">
        <v>15</v>
      </c>
      <c r="E2222" t="s">
        <v>22</v>
      </c>
      <c r="F2222">
        <v>18</v>
      </c>
      <c r="G2222">
        <v>49056</v>
      </c>
      <c r="H2222">
        <v>883008</v>
      </c>
      <c r="I2222">
        <f t="shared" si="34"/>
        <v>883008</v>
      </c>
    </row>
    <row r="2223" spans="1:9" x14ac:dyDescent="0.3">
      <c r="A2223">
        <v>12222</v>
      </c>
      <c r="B2223" s="2">
        <v>45269</v>
      </c>
      <c r="C2223" t="s">
        <v>13</v>
      </c>
      <c r="D2223" t="s">
        <v>15</v>
      </c>
      <c r="E2223" t="s">
        <v>19</v>
      </c>
      <c r="F2223">
        <v>19</v>
      </c>
      <c r="G2223">
        <v>18070</v>
      </c>
      <c r="H2223">
        <v>343330</v>
      </c>
      <c r="I2223">
        <f t="shared" si="34"/>
        <v>343330</v>
      </c>
    </row>
    <row r="2224" spans="1:9" x14ac:dyDescent="0.3">
      <c r="A2224">
        <v>12223</v>
      </c>
      <c r="B2224" s="2">
        <v>45228</v>
      </c>
      <c r="C2224" t="s">
        <v>9</v>
      </c>
      <c r="D2224" t="s">
        <v>17</v>
      </c>
      <c r="E2224" t="s">
        <v>24</v>
      </c>
      <c r="F2224">
        <v>16</v>
      </c>
      <c r="G2224">
        <v>51176</v>
      </c>
      <c r="H2224">
        <v>818816</v>
      </c>
      <c r="I2224">
        <f t="shared" si="34"/>
        <v>818816</v>
      </c>
    </row>
    <row r="2225" spans="1:9" x14ac:dyDescent="0.3">
      <c r="A2225">
        <v>12224</v>
      </c>
      <c r="B2225" s="2">
        <v>45249</v>
      </c>
      <c r="C2225" t="s">
        <v>13</v>
      </c>
      <c r="D2225" t="s">
        <v>17</v>
      </c>
      <c r="E2225" t="s">
        <v>20</v>
      </c>
      <c r="F2225">
        <v>7</v>
      </c>
      <c r="G2225">
        <v>58779</v>
      </c>
      <c r="H2225">
        <v>411453</v>
      </c>
      <c r="I2225">
        <f t="shared" si="34"/>
        <v>411453</v>
      </c>
    </row>
    <row r="2226" spans="1:9" x14ac:dyDescent="0.3">
      <c r="A2226">
        <v>12225</v>
      </c>
      <c r="B2226" s="2">
        <v>44998</v>
      </c>
      <c r="C2226" t="s">
        <v>12</v>
      </c>
      <c r="D2226" t="s">
        <v>15</v>
      </c>
      <c r="E2226" t="s">
        <v>23</v>
      </c>
      <c r="F2226">
        <v>10</v>
      </c>
      <c r="G2226">
        <v>18723</v>
      </c>
      <c r="H2226">
        <v>187230</v>
      </c>
      <c r="I2226">
        <f t="shared" si="34"/>
        <v>187230</v>
      </c>
    </row>
    <row r="2227" spans="1:9" x14ac:dyDescent="0.3">
      <c r="A2227">
        <v>12226</v>
      </c>
      <c r="B2227" s="2">
        <v>45121</v>
      </c>
      <c r="C2227" t="s">
        <v>10</v>
      </c>
      <c r="D2227" t="s">
        <v>18</v>
      </c>
      <c r="E2227" t="s">
        <v>21</v>
      </c>
      <c r="F2227">
        <v>9</v>
      </c>
      <c r="G2227">
        <v>8698</v>
      </c>
      <c r="H2227">
        <v>78282</v>
      </c>
      <c r="I2227">
        <f t="shared" si="34"/>
        <v>78282</v>
      </c>
    </row>
    <row r="2228" spans="1:9" x14ac:dyDescent="0.3">
      <c r="A2228">
        <v>12227</v>
      </c>
      <c r="B2228" s="2">
        <v>45068</v>
      </c>
      <c r="C2228" t="s">
        <v>14</v>
      </c>
      <c r="D2228" t="s">
        <v>16</v>
      </c>
      <c r="E2228" t="s">
        <v>20</v>
      </c>
      <c r="F2228">
        <v>11</v>
      </c>
      <c r="G2228">
        <v>20804</v>
      </c>
      <c r="H2228">
        <v>228844</v>
      </c>
      <c r="I2228">
        <f t="shared" si="34"/>
        <v>228844</v>
      </c>
    </row>
    <row r="2229" spans="1:9" x14ac:dyDescent="0.3">
      <c r="A2229">
        <v>12228</v>
      </c>
      <c r="B2229" s="2">
        <v>45114</v>
      </c>
      <c r="C2229" t="s">
        <v>8</v>
      </c>
      <c r="D2229" t="s">
        <v>18</v>
      </c>
      <c r="E2229" t="s">
        <v>19</v>
      </c>
      <c r="F2229">
        <v>19</v>
      </c>
      <c r="G2229">
        <v>45165</v>
      </c>
      <c r="H2229">
        <v>858135</v>
      </c>
      <c r="I2229">
        <f t="shared" si="34"/>
        <v>858135</v>
      </c>
    </row>
    <row r="2230" spans="1:9" x14ac:dyDescent="0.3">
      <c r="A2230">
        <v>12229</v>
      </c>
      <c r="B2230" s="2">
        <v>45010</v>
      </c>
      <c r="C2230" t="s">
        <v>10</v>
      </c>
      <c r="D2230" t="s">
        <v>17</v>
      </c>
      <c r="E2230" t="s">
        <v>23</v>
      </c>
      <c r="F2230">
        <v>10</v>
      </c>
      <c r="G2230">
        <v>950</v>
      </c>
      <c r="H2230">
        <v>9500</v>
      </c>
      <c r="I2230">
        <f t="shared" si="34"/>
        <v>9500</v>
      </c>
    </row>
    <row r="2231" spans="1:9" x14ac:dyDescent="0.3">
      <c r="A2231">
        <v>12230</v>
      </c>
      <c r="B2231" s="2">
        <v>44933</v>
      </c>
      <c r="C2231" t="s">
        <v>13</v>
      </c>
      <c r="D2231" t="s">
        <v>16</v>
      </c>
      <c r="E2231" t="s">
        <v>21</v>
      </c>
      <c r="F2231">
        <v>1</v>
      </c>
      <c r="G2231">
        <v>16780</v>
      </c>
      <c r="H2231">
        <v>16780</v>
      </c>
      <c r="I2231">
        <f t="shared" si="34"/>
        <v>16780</v>
      </c>
    </row>
    <row r="2232" spans="1:9" x14ac:dyDescent="0.3">
      <c r="A2232">
        <v>12231</v>
      </c>
      <c r="B2232" s="2">
        <v>44932</v>
      </c>
      <c r="C2232" t="s">
        <v>14</v>
      </c>
      <c r="D2232" t="s">
        <v>15</v>
      </c>
      <c r="E2232" t="s">
        <v>23</v>
      </c>
      <c r="F2232">
        <v>7</v>
      </c>
      <c r="G2232">
        <v>27360</v>
      </c>
      <c r="H2232">
        <v>191520</v>
      </c>
      <c r="I2232">
        <f t="shared" si="34"/>
        <v>191520</v>
      </c>
    </row>
    <row r="2233" spans="1:9" x14ac:dyDescent="0.3">
      <c r="A2233">
        <v>12232</v>
      </c>
      <c r="B2233" s="2">
        <v>45290</v>
      </c>
      <c r="C2233" t="s">
        <v>8</v>
      </c>
      <c r="D2233" t="s">
        <v>18</v>
      </c>
      <c r="E2233" t="s">
        <v>19</v>
      </c>
      <c r="F2233">
        <v>19</v>
      </c>
      <c r="G2233">
        <v>21336</v>
      </c>
      <c r="H2233">
        <v>405384</v>
      </c>
      <c r="I2233">
        <f t="shared" si="34"/>
        <v>405384</v>
      </c>
    </row>
    <row r="2234" spans="1:9" x14ac:dyDescent="0.3">
      <c r="A2234">
        <v>12233</v>
      </c>
      <c r="B2234" s="2">
        <v>44937</v>
      </c>
      <c r="C2234" t="s">
        <v>8</v>
      </c>
      <c r="D2234" t="s">
        <v>15</v>
      </c>
      <c r="E2234" t="s">
        <v>22</v>
      </c>
      <c r="F2234">
        <v>19</v>
      </c>
      <c r="G2234">
        <v>51861</v>
      </c>
      <c r="H2234">
        <v>985359</v>
      </c>
      <c r="I2234">
        <f t="shared" si="34"/>
        <v>985359</v>
      </c>
    </row>
    <row r="2235" spans="1:9" x14ac:dyDescent="0.3">
      <c r="A2235">
        <v>12234</v>
      </c>
      <c r="B2235" s="2">
        <v>45053</v>
      </c>
      <c r="C2235" t="s">
        <v>12</v>
      </c>
      <c r="D2235" t="s">
        <v>18</v>
      </c>
      <c r="E2235" t="s">
        <v>20</v>
      </c>
      <c r="F2235">
        <v>15</v>
      </c>
      <c r="G2235">
        <v>20646</v>
      </c>
      <c r="H2235">
        <v>309690</v>
      </c>
      <c r="I2235">
        <f t="shared" si="34"/>
        <v>309690</v>
      </c>
    </row>
    <row r="2236" spans="1:9" x14ac:dyDescent="0.3">
      <c r="A2236">
        <v>12235</v>
      </c>
      <c r="B2236" s="2">
        <v>45130</v>
      </c>
      <c r="C2236" t="s">
        <v>9</v>
      </c>
      <c r="D2236" t="s">
        <v>18</v>
      </c>
      <c r="E2236" t="s">
        <v>23</v>
      </c>
      <c r="F2236">
        <v>12</v>
      </c>
      <c r="G2236">
        <v>48032</v>
      </c>
      <c r="H2236">
        <v>576384</v>
      </c>
      <c r="I2236">
        <f t="shared" si="34"/>
        <v>576384</v>
      </c>
    </row>
    <row r="2237" spans="1:9" x14ac:dyDescent="0.3">
      <c r="A2237">
        <v>12236</v>
      </c>
      <c r="B2237" s="2">
        <v>44927</v>
      </c>
      <c r="C2237" t="s">
        <v>12</v>
      </c>
      <c r="D2237" t="s">
        <v>15</v>
      </c>
      <c r="E2237" t="s">
        <v>22</v>
      </c>
      <c r="F2237">
        <v>15</v>
      </c>
      <c r="G2237">
        <v>52954</v>
      </c>
      <c r="H2237">
        <v>794310</v>
      </c>
      <c r="I2237">
        <f t="shared" si="34"/>
        <v>794310</v>
      </c>
    </row>
    <row r="2238" spans="1:9" x14ac:dyDescent="0.3">
      <c r="A2238">
        <v>12237</v>
      </c>
      <c r="B2238" s="2">
        <v>45034</v>
      </c>
      <c r="C2238" t="s">
        <v>8</v>
      </c>
      <c r="D2238" t="s">
        <v>17</v>
      </c>
      <c r="E2238" t="s">
        <v>23</v>
      </c>
      <c r="F2238">
        <v>2</v>
      </c>
      <c r="G2238">
        <v>21402</v>
      </c>
      <c r="H2238">
        <v>42804</v>
      </c>
      <c r="I2238">
        <f t="shared" si="34"/>
        <v>42804</v>
      </c>
    </row>
    <row r="2239" spans="1:9" x14ac:dyDescent="0.3">
      <c r="A2239">
        <v>12238</v>
      </c>
      <c r="B2239" s="2">
        <v>45110</v>
      </c>
      <c r="C2239" t="s">
        <v>12</v>
      </c>
      <c r="D2239" t="s">
        <v>18</v>
      </c>
      <c r="E2239" t="s">
        <v>22</v>
      </c>
      <c r="F2239">
        <v>11</v>
      </c>
      <c r="G2239">
        <v>24968</v>
      </c>
      <c r="H2239">
        <v>274648</v>
      </c>
      <c r="I2239">
        <f t="shared" si="34"/>
        <v>274648</v>
      </c>
    </row>
    <row r="2240" spans="1:9" x14ac:dyDescent="0.3">
      <c r="A2240">
        <v>12239</v>
      </c>
      <c r="B2240" s="2">
        <v>45126</v>
      </c>
      <c r="C2240" t="s">
        <v>10</v>
      </c>
      <c r="D2240" t="s">
        <v>18</v>
      </c>
      <c r="E2240" t="s">
        <v>19</v>
      </c>
      <c r="F2240">
        <v>11</v>
      </c>
      <c r="G2240">
        <v>10559</v>
      </c>
      <c r="H2240">
        <v>116149</v>
      </c>
      <c r="I2240">
        <f t="shared" si="34"/>
        <v>116149</v>
      </c>
    </row>
    <row r="2241" spans="1:9" x14ac:dyDescent="0.3">
      <c r="A2241">
        <v>12240</v>
      </c>
      <c r="B2241" s="2">
        <v>44988</v>
      </c>
      <c r="C2241" t="s">
        <v>14</v>
      </c>
      <c r="D2241" t="s">
        <v>17</v>
      </c>
      <c r="E2241" t="s">
        <v>24</v>
      </c>
      <c r="F2241">
        <v>18</v>
      </c>
      <c r="G2241">
        <v>846</v>
      </c>
      <c r="H2241">
        <v>15228</v>
      </c>
      <c r="I2241">
        <f t="shared" si="34"/>
        <v>15228</v>
      </c>
    </row>
    <row r="2242" spans="1:9" x14ac:dyDescent="0.3">
      <c r="A2242">
        <v>12241</v>
      </c>
      <c r="B2242" s="2">
        <v>45246</v>
      </c>
      <c r="C2242" t="s">
        <v>8</v>
      </c>
      <c r="D2242" t="s">
        <v>18</v>
      </c>
      <c r="E2242" t="s">
        <v>23</v>
      </c>
      <c r="F2242">
        <v>15</v>
      </c>
      <c r="G2242">
        <v>47080</v>
      </c>
      <c r="H2242">
        <v>706200</v>
      </c>
      <c r="I2242">
        <f t="shared" si="34"/>
        <v>706200</v>
      </c>
    </row>
    <row r="2243" spans="1:9" x14ac:dyDescent="0.3">
      <c r="A2243">
        <v>12242</v>
      </c>
      <c r="B2243" s="2">
        <v>45207</v>
      </c>
      <c r="C2243" t="s">
        <v>8</v>
      </c>
      <c r="D2243" t="s">
        <v>15</v>
      </c>
      <c r="E2243" t="s">
        <v>21</v>
      </c>
      <c r="F2243">
        <v>12</v>
      </c>
      <c r="G2243">
        <v>22589</v>
      </c>
      <c r="H2243">
        <v>271068</v>
      </c>
      <c r="I2243">
        <f t="shared" ref="I2243:I2306" si="35">G2243*F2243</f>
        <v>271068</v>
      </c>
    </row>
    <row r="2244" spans="1:9" x14ac:dyDescent="0.3">
      <c r="A2244">
        <v>12243</v>
      </c>
      <c r="B2244" s="2">
        <v>45208</v>
      </c>
      <c r="C2244" t="s">
        <v>14</v>
      </c>
      <c r="D2244" t="s">
        <v>18</v>
      </c>
      <c r="E2244" t="s">
        <v>19</v>
      </c>
      <c r="F2244">
        <v>16</v>
      </c>
      <c r="G2244">
        <v>33238</v>
      </c>
      <c r="H2244">
        <v>531808</v>
      </c>
      <c r="I2244">
        <f t="shared" si="35"/>
        <v>531808</v>
      </c>
    </row>
    <row r="2245" spans="1:9" x14ac:dyDescent="0.3">
      <c r="A2245">
        <v>12244</v>
      </c>
      <c r="B2245" s="2">
        <v>45017</v>
      </c>
      <c r="C2245" t="s">
        <v>8</v>
      </c>
      <c r="D2245" t="s">
        <v>17</v>
      </c>
      <c r="E2245" t="s">
        <v>22</v>
      </c>
      <c r="F2245">
        <v>4</v>
      </c>
      <c r="G2245">
        <v>40884</v>
      </c>
      <c r="H2245">
        <v>163536</v>
      </c>
      <c r="I2245">
        <f t="shared" si="35"/>
        <v>163536</v>
      </c>
    </row>
    <row r="2246" spans="1:9" x14ac:dyDescent="0.3">
      <c r="A2246">
        <v>12245</v>
      </c>
      <c r="B2246" s="2">
        <v>45140</v>
      </c>
      <c r="C2246" t="s">
        <v>12</v>
      </c>
      <c r="D2246" t="s">
        <v>18</v>
      </c>
      <c r="E2246" t="s">
        <v>24</v>
      </c>
      <c r="F2246">
        <v>15</v>
      </c>
      <c r="G2246">
        <v>10280</v>
      </c>
      <c r="H2246">
        <v>154200</v>
      </c>
      <c r="I2246">
        <f t="shared" si="35"/>
        <v>154200</v>
      </c>
    </row>
    <row r="2247" spans="1:9" x14ac:dyDescent="0.3">
      <c r="A2247">
        <v>12246</v>
      </c>
      <c r="B2247" s="2">
        <v>45108</v>
      </c>
      <c r="C2247" t="s">
        <v>9</v>
      </c>
      <c r="D2247" t="s">
        <v>18</v>
      </c>
      <c r="E2247" t="s">
        <v>24</v>
      </c>
      <c r="F2247">
        <v>16</v>
      </c>
      <c r="G2247">
        <v>51955</v>
      </c>
      <c r="H2247">
        <v>831280</v>
      </c>
      <c r="I2247">
        <f t="shared" si="35"/>
        <v>831280</v>
      </c>
    </row>
    <row r="2248" spans="1:9" x14ac:dyDescent="0.3">
      <c r="A2248">
        <v>12247</v>
      </c>
      <c r="B2248" s="2">
        <v>45191</v>
      </c>
      <c r="C2248" t="s">
        <v>13</v>
      </c>
      <c r="D2248" t="s">
        <v>16</v>
      </c>
      <c r="E2248" t="s">
        <v>23</v>
      </c>
      <c r="F2248">
        <v>11</v>
      </c>
      <c r="G2248">
        <v>24231</v>
      </c>
      <c r="H2248">
        <v>266541</v>
      </c>
      <c r="I2248">
        <f t="shared" si="35"/>
        <v>266541</v>
      </c>
    </row>
    <row r="2249" spans="1:9" x14ac:dyDescent="0.3">
      <c r="A2249">
        <v>12248</v>
      </c>
      <c r="B2249" s="2">
        <v>45053</v>
      </c>
      <c r="C2249" t="s">
        <v>12</v>
      </c>
      <c r="D2249" t="s">
        <v>16</v>
      </c>
      <c r="E2249" t="s">
        <v>21</v>
      </c>
      <c r="F2249">
        <v>17</v>
      </c>
      <c r="G2249">
        <v>30944</v>
      </c>
      <c r="H2249">
        <v>526048</v>
      </c>
      <c r="I2249">
        <f t="shared" si="35"/>
        <v>526048</v>
      </c>
    </row>
    <row r="2250" spans="1:9" x14ac:dyDescent="0.3">
      <c r="A2250">
        <v>12249</v>
      </c>
      <c r="B2250" s="2">
        <v>45092</v>
      </c>
      <c r="C2250" t="s">
        <v>12</v>
      </c>
      <c r="D2250" t="s">
        <v>17</v>
      </c>
      <c r="E2250" t="s">
        <v>22</v>
      </c>
      <c r="F2250">
        <v>19</v>
      </c>
      <c r="G2250">
        <v>42780</v>
      </c>
      <c r="H2250">
        <v>812820</v>
      </c>
      <c r="I2250">
        <f t="shared" si="35"/>
        <v>812820</v>
      </c>
    </row>
    <row r="2251" spans="1:9" x14ac:dyDescent="0.3">
      <c r="A2251">
        <v>12250</v>
      </c>
      <c r="B2251" s="2">
        <v>45019</v>
      </c>
      <c r="C2251" t="s">
        <v>11</v>
      </c>
      <c r="D2251" t="s">
        <v>16</v>
      </c>
      <c r="E2251" t="s">
        <v>19</v>
      </c>
      <c r="F2251">
        <v>2</v>
      </c>
      <c r="G2251">
        <v>41591</v>
      </c>
      <c r="H2251">
        <v>83182</v>
      </c>
      <c r="I2251">
        <f t="shared" si="35"/>
        <v>83182</v>
      </c>
    </row>
    <row r="2252" spans="1:9" x14ac:dyDescent="0.3">
      <c r="A2252">
        <v>12251</v>
      </c>
      <c r="B2252" s="2">
        <v>45281</v>
      </c>
      <c r="C2252" t="s">
        <v>8</v>
      </c>
      <c r="D2252" t="s">
        <v>18</v>
      </c>
      <c r="E2252" t="s">
        <v>24</v>
      </c>
      <c r="F2252">
        <v>4</v>
      </c>
      <c r="G2252">
        <v>13621</v>
      </c>
      <c r="H2252">
        <v>54484</v>
      </c>
      <c r="I2252">
        <f t="shared" si="35"/>
        <v>54484</v>
      </c>
    </row>
    <row r="2253" spans="1:9" x14ac:dyDescent="0.3">
      <c r="A2253">
        <v>12252</v>
      </c>
      <c r="B2253" s="2">
        <v>45110</v>
      </c>
      <c r="C2253" t="s">
        <v>8</v>
      </c>
      <c r="D2253" t="s">
        <v>16</v>
      </c>
      <c r="E2253" t="s">
        <v>23</v>
      </c>
      <c r="F2253">
        <v>2</v>
      </c>
      <c r="G2253">
        <v>16479</v>
      </c>
      <c r="H2253">
        <v>32958</v>
      </c>
      <c r="I2253">
        <f t="shared" si="35"/>
        <v>32958</v>
      </c>
    </row>
    <row r="2254" spans="1:9" x14ac:dyDescent="0.3">
      <c r="A2254">
        <v>12253</v>
      </c>
      <c r="B2254" s="2">
        <v>45280</v>
      </c>
      <c r="C2254" t="s">
        <v>12</v>
      </c>
      <c r="D2254" t="s">
        <v>16</v>
      </c>
      <c r="E2254" t="s">
        <v>23</v>
      </c>
      <c r="F2254">
        <v>20</v>
      </c>
      <c r="G2254">
        <v>24970</v>
      </c>
      <c r="H2254">
        <v>499400</v>
      </c>
      <c r="I2254">
        <f t="shared" si="35"/>
        <v>499400</v>
      </c>
    </row>
    <row r="2255" spans="1:9" x14ac:dyDescent="0.3">
      <c r="A2255">
        <v>12254</v>
      </c>
      <c r="B2255" s="2">
        <v>44993</v>
      </c>
      <c r="C2255" t="s">
        <v>13</v>
      </c>
      <c r="D2255" t="s">
        <v>15</v>
      </c>
      <c r="E2255" t="s">
        <v>21</v>
      </c>
      <c r="F2255">
        <v>7</v>
      </c>
      <c r="G2255">
        <v>28743</v>
      </c>
      <c r="H2255">
        <v>201201</v>
      </c>
      <c r="I2255">
        <f t="shared" si="35"/>
        <v>201201</v>
      </c>
    </row>
    <row r="2256" spans="1:9" x14ac:dyDescent="0.3">
      <c r="A2256">
        <v>12255</v>
      </c>
      <c r="B2256" s="2">
        <v>45137</v>
      </c>
      <c r="C2256" t="s">
        <v>8</v>
      </c>
      <c r="D2256" t="s">
        <v>16</v>
      </c>
      <c r="E2256" t="s">
        <v>19</v>
      </c>
      <c r="F2256">
        <v>18</v>
      </c>
      <c r="G2256">
        <v>38018</v>
      </c>
      <c r="H2256">
        <v>684324</v>
      </c>
      <c r="I2256">
        <f t="shared" si="35"/>
        <v>684324</v>
      </c>
    </row>
    <row r="2257" spans="1:9" x14ac:dyDescent="0.3">
      <c r="A2257">
        <v>12256</v>
      </c>
      <c r="B2257" s="2">
        <v>45067</v>
      </c>
      <c r="C2257" t="s">
        <v>11</v>
      </c>
      <c r="D2257" t="s">
        <v>17</v>
      </c>
      <c r="E2257" t="s">
        <v>21</v>
      </c>
      <c r="F2257">
        <v>3</v>
      </c>
      <c r="G2257">
        <v>12309</v>
      </c>
      <c r="H2257">
        <v>36927</v>
      </c>
      <c r="I2257">
        <f t="shared" si="35"/>
        <v>36927</v>
      </c>
    </row>
    <row r="2258" spans="1:9" x14ac:dyDescent="0.3">
      <c r="A2258">
        <v>12257</v>
      </c>
      <c r="B2258" s="2">
        <v>45290</v>
      </c>
      <c r="C2258" t="s">
        <v>12</v>
      </c>
      <c r="D2258" t="s">
        <v>18</v>
      </c>
      <c r="E2258" t="s">
        <v>21</v>
      </c>
      <c r="F2258">
        <v>9</v>
      </c>
      <c r="G2258">
        <v>37339</v>
      </c>
      <c r="H2258">
        <v>336051</v>
      </c>
      <c r="I2258">
        <f t="shared" si="35"/>
        <v>336051</v>
      </c>
    </row>
    <row r="2259" spans="1:9" x14ac:dyDescent="0.3">
      <c r="A2259">
        <v>12258</v>
      </c>
      <c r="B2259" s="2">
        <v>45141</v>
      </c>
      <c r="C2259" t="s">
        <v>9</v>
      </c>
      <c r="D2259" t="s">
        <v>16</v>
      </c>
      <c r="E2259" t="s">
        <v>24</v>
      </c>
      <c r="F2259">
        <v>7</v>
      </c>
      <c r="G2259">
        <v>51123</v>
      </c>
      <c r="H2259">
        <v>357861</v>
      </c>
      <c r="I2259">
        <f t="shared" si="35"/>
        <v>357861</v>
      </c>
    </row>
    <row r="2260" spans="1:9" x14ac:dyDescent="0.3">
      <c r="A2260">
        <v>12259</v>
      </c>
      <c r="B2260" s="2">
        <v>45161</v>
      </c>
      <c r="C2260" t="s">
        <v>12</v>
      </c>
      <c r="D2260" t="s">
        <v>15</v>
      </c>
      <c r="E2260" t="s">
        <v>21</v>
      </c>
      <c r="F2260">
        <v>6</v>
      </c>
      <c r="G2260">
        <v>37177</v>
      </c>
      <c r="H2260">
        <v>223062</v>
      </c>
      <c r="I2260">
        <f t="shared" si="35"/>
        <v>223062</v>
      </c>
    </row>
    <row r="2261" spans="1:9" x14ac:dyDescent="0.3">
      <c r="A2261">
        <v>12260</v>
      </c>
      <c r="B2261" s="2">
        <v>45131</v>
      </c>
      <c r="C2261" t="s">
        <v>10</v>
      </c>
      <c r="D2261" t="s">
        <v>17</v>
      </c>
      <c r="E2261" t="s">
        <v>20</v>
      </c>
      <c r="F2261">
        <v>13</v>
      </c>
      <c r="G2261">
        <v>47192</v>
      </c>
      <c r="H2261">
        <v>613496</v>
      </c>
      <c r="I2261">
        <f t="shared" si="35"/>
        <v>613496</v>
      </c>
    </row>
    <row r="2262" spans="1:9" x14ac:dyDescent="0.3">
      <c r="A2262">
        <v>12261</v>
      </c>
      <c r="B2262" s="2">
        <v>45073</v>
      </c>
      <c r="C2262" t="s">
        <v>12</v>
      </c>
      <c r="D2262" t="s">
        <v>17</v>
      </c>
      <c r="E2262" t="s">
        <v>20</v>
      </c>
      <c r="F2262">
        <v>10</v>
      </c>
      <c r="G2262">
        <v>41137</v>
      </c>
      <c r="H2262">
        <v>411370</v>
      </c>
      <c r="I2262">
        <f t="shared" si="35"/>
        <v>411370</v>
      </c>
    </row>
    <row r="2263" spans="1:9" x14ac:dyDescent="0.3">
      <c r="A2263">
        <v>12262</v>
      </c>
      <c r="B2263" s="2">
        <v>45008</v>
      </c>
      <c r="C2263" t="s">
        <v>14</v>
      </c>
      <c r="D2263" t="s">
        <v>16</v>
      </c>
      <c r="E2263" t="s">
        <v>19</v>
      </c>
      <c r="F2263">
        <v>4</v>
      </c>
      <c r="G2263">
        <v>50741</v>
      </c>
      <c r="H2263">
        <v>202964</v>
      </c>
      <c r="I2263">
        <f t="shared" si="35"/>
        <v>202964</v>
      </c>
    </row>
    <row r="2264" spans="1:9" x14ac:dyDescent="0.3">
      <c r="A2264">
        <v>12263</v>
      </c>
      <c r="B2264" s="2">
        <v>45079</v>
      </c>
      <c r="C2264" t="s">
        <v>9</v>
      </c>
      <c r="D2264" t="s">
        <v>16</v>
      </c>
      <c r="E2264" t="s">
        <v>19</v>
      </c>
      <c r="F2264">
        <v>12</v>
      </c>
      <c r="G2264">
        <v>10324</v>
      </c>
      <c r="H2264">
        <v>123888</v>
      </c>
      <c r="I2264">
        <f t="shared" si="35"/>
        <v>123888</v>
      </c>
    </row>
    <row r="2265" spans="1:9" x14ac:dyDescent="0.3">
      <c r="A2265">
        <v>12264</v>
      </c>
      <c r="B2265" s="2">
        <v>45078</v>
      </c>
      <c r="C2265" t="s">
        <v>12</v>
      </c>
      <c r="D2265" t="s">
        <v>18</v>
      </c>
      <c r="E2265" t="s">
        <v>24</v>
      </c>
      <c r="F2265">
        <v>5</v>
      </c>
      <c r="G2265">
        <v>49593</v>
      </c>
      <c r="H2265">
        <v>247965</v>
      </c>
      <c r="I2265">
        <f t="shared" si="35"/>
        <v>247965</v>
      </c>
    </row>
    <row r="2266" spans="1:9" x14ac:dyDescent="0.3">
      <c r="A2266">
        <v>12265</v>
      </c>
      <c r="B2266" s="2">
        <v>45269</v>
      </c>
      <c r="C2266" t="s">
        <v>8</v>
      </c>
      <c r="D2266" t="s">
        <v>16</v>
      </c>
      <c r="E2266" t="s">
        <v>23</v>
      </c>
      <c r="F2266">
        <v>19</v>
      </c>
      <c r="G2266">
        <v>42730</v>
      </c>
      <c r="H2266">
        <v>811870</v>
      </c>
      <c r="I2266">
        <f t="shared" si="35"/>
        <v>811870</v>
      </c>
    </row>
    <row r="2267" spans="1:9" x14ac:dyDescent="0.3">
      <c r="A2267">
        <v>12266</v>
      </c>
      <c r="B2267" s="2">
        <v>45158</v>
      </c>
      <c r="C2267" t="s">
        <v>12</v>
      </c>
      <c r="D2267" t="s">
        <v>18</v>
      </c>
      <c r="E2267" t="s">
        <v>19</v>
      </c>
      <c r="F2267">
        <v>6</v>
      </c>
      <c r="G2267">
        <v>22647</v>
      </c>
      <c r="H2267">
        <v>135882</v>
      </c>
      <c r="I2267">
        <f t="shared" si="35"/>
        <v>135882</v>
      </c>
    </row>
    <row r="2268" spans="1:9" x14ac:dyDescent="0.3">
      <c r="A2268">
        <v>12267</v>
      </c>
      <c r="B2268" s="2">
        <v>45110</v>
      </c>
      <c r="C2268" t="s">
        <v>11</v>
      </c>
      <c r="D2268" t="s">
        <v>17</v>
      </c>
      <c r="E2268" t="s">
        <v>19</v>
      </c>
      <c r="F2268">
        <v>2</v>
      </c>
      <c r="G2268">
        <v>11045</v>
      </c>
      <c r="H2268">
        <v>22090</v>
      </c>
      <c r="I2268">
        <f t="shared" si="35"/>
        <v>22090</v>
      </c>
    </row>
    <row r="2269" spans="1:9" x14ac:dyDescent="0.3">
      <c r="A2269">
        <v>12268</v>
      </c>
      <c r="B2269" s="2">
        <v>44958</v>
      </c>
      <c r="C2269" t="s">
        <v>12</v>
      </c>
      <c r="D2269" t="s">
        <v>16</v>
      </c>
      <c r="E2269" t="s">
        <v>24</v>
      </c>
      <c r="F2269">
        <v>9</v>
      </c>
      <c r="G2269">
        <v>41463</v>
      </c>
      <c r="H2269">
        <v>373167</v>
      </c>
      <c r="I2269">
        <f t="shared" si="35"/>
        <v>373167</v>
      </c>
    </row>
    <row r="2270" spans="1:9" x14ac:dyDescent="0.3">
      <c r="A2270">
        <v>12269</v>
      </c>
      <c r="B2270" s="2">
        <v>44941</v>
      </c>
      <c r="C2270" t="s">
        <v>8</v>
      </c>
      <c r="D2270" t="s">
        <v>15</v>
      </c>
      <c r="E2270" t="s">
        <v>21</v>
      </c>
      <c r="F2270">
        <v>11</v>
      </c>
      <c r="G2270">
        <v>33823</v>
      </c>
      <c r="H2270">
        <v>372053</v>
      </c>
      <c r="I2270">
        <f t="shared" si="35"/>
        <v>372053</v>
      </c>
    </row>
    <row r="2271" spans="1:9" x14ac:dyDescent="0.3">
      <c r="A2271">
        <v>12270</v>
      </c>
      <c r="B2271" s="2">
        <v>45239</v>
      </c>
      <c r="C2271" t="s">
        <v>13</v>
      </c>
      <c r="D2271" t="s">
        <v>16</v>
      </c>
      <c r="E2271" t="s">
        <v>22</v>
      </c>
      <c r="F2271">
        <v>18</v>
      </c>
      <c r="G2271">
        <v>55956</v>
      </c>
      <c r="H2271">
        <v>1007208</v>
      </c>
      <c r="I2271">
        <f t="shared" si="35"/>
        <v>1007208</v>
      </c>
    </row>
    <row r="2272" spans="1:9" x14ac:dyDescent="0.3">
      <c r="A2272">
        <v>12271</v>
      </c>
      <c r="B2272" s="2">
        <v>45098</v>
      </c>
      <c r="C2272" t="s">
        <v>11</v>
      </c>
      <c r="D2272" t="s">
        <v>15</v>
      </c>
      <c r="E2272" t="s">
        <v>21</v>
      </c>
      <c r="F2272">
        <v>5</v>
      </c>
      <c r="G2272">
        <v>10411</v>
      </c>
      <c r="H2272">
        <v>52055</v>
      </c>
      <c r="I2272">
        <f t="shared" si="35"/>
        <v>52055</v>
      </c>
    </row>
    <row r="2273" spans="1:9" x14ac:dyDescent="0.3">
      <c r="A2273">
        <v>12272</v>
      </c>
      <c r="B2273" s="2">
        <v>45024</v>
      </c>
      <c r="C2273" t="s">
        <v>11</v>
      </c>
      <c r="D2273" t="s">
        <v>17</v>
      </c>
      <c r="E2273" t="s">
        <v>20</v>
      </c>
      <c r="F2273">
        <v>16</v>
      </c>
      <c r="G2273">
        <v>15437</v>
      </c>
      <c r="H2273">
        <v>246992</v>
      </c>
      <c r="I2273">
        <f t="shared" si="35"/>
        <v>246992</v>
      </c>
    </row>
    <row r="2274" spans="1:9" x14ac:dyDescent="0.3">
      <c r="A2274">
        <v>12273</v>
      </c>
      <c r="B2274" s="2">
        <v>44975</v>
      </c>
      <c r="C2274" t="s">
        <v>10</v>
      </c>
      <c r="D2274" t="s">
        <v>17</v>
      </c>
      <c r="E2274" t="s">
        <v>21</v>
      </c>
      <c r="F2274">
        <v>2</v>
      </c>
      <c r="G2274">
        <v>48170</v>
      </c>
      <c r="H2274">
        <v>96340</v>
      </c>
      <c r="I2274">
        <f t="shared" si="35"/>
        <v>96340</v>
      </c>
    </row>
    <row r="2275" spans="1:9" x14ac:dyDescent="0.3">
      <c r="A2275">
        <v>12274</v>
      </c>
      <c r="B2275" s="2">
        <v>45129</v>
      </c>
      <c r="C2275" t="s">
        <v>11</v>
      </c>
      <c r="D2275" t="s">
        <v>17</v>
      </c>
      <c r="E2275" t="s">
        <v>24</v>
      </c>
      <c r="F2275">
        <v>1</v>
      </c>
      <c r="G2275">
        <v>46880</v>
      </c>
      <c r="H2275">
        <v>46880</v>
      </c>
      <c r="I2275">
        <f t="shared" si="35"/>
        <v>46880</v>
      </c>
    </row>
    <row r="2276" spans="1:9" x14ac:dyDescent="0.3">
      <c r="A2276">
        <v>12275</v>
      </c>
      <c r="B2276" s="2">
        <v>45132</v>
      </c>
      <c r="C2276" t="s">
        <v>13</v>
      </c>
      <c r="D2276" t="s">
        <v>15</v>
      </c>
      <c r="E2276" t="s">
        <v>24</v>
      </c>
      <c r="F2276">
        <v>5</v>
      </c>
      <c r="G2276">
        <v>45451</v>
      </c>
      <c r="H2276">
        <v>227255</v>
      </c>
      <c r="I2276">
        <f t="shared" si="35"/>
        <v>227255</v>
      </c>
    </row>
    <row r="2277" spans="1:9" x14ac:dyDescent="0.3">
      <c r="A2277">
        <v>12276</v>
      </c>
      <c r="B2277" s="2">
        <v>45016</v>
      </c>
      <c r="C2277" t="s">
        <v>9</v>
      </c>
      <c r="D2277" t="s">
        <v>17</v>
      </c>
      <c r="E2277" t="s">
        <v>20</v>
      </c>
      <c r="F2277">
        <v>14</v>
      </c>
      <c r="G2277">
        <v>14910</v>
      </c>
      <c r="H2277">
        <v>208740</v>
      </c>
      <c r="I2277">
        <f t="shared" si="35"/>
        <v>208740</v>
      </c>
    </row>
    <row r="2278" spans="1:9" x14ac:dyDescent="0.3">
      <c r="A2278">
        <v>12277</v>
      </c>
      <c r="B2278" s="2">
        <v>45136</v>
      </c>
      <c r="C2278" t="s">
        <v>8</v>
      </c>
      <c r="D2278" t="s">
        <v>16</v>
      </c>
      <c r="E2278" t="s">
        <v>23</v>
      </c>
      <c r="F2278">
        <v>11</v>
      </c>
      <c r="G2278">
        <v>15153</v>
      </c>
      <c r="H2278">
        <v>166683</v>
      </c>
      <c r="I2278">
        <f t="shared" si="35"/>
        <v>166683</v>
      </c>
    </row>
    <row r="2279" spans="1:9" x14ac:dyDescent="0.3">
      <c r="A2279">
        <v>12278</v>
      </c>
      <c r="B2279" s="2">
        <v>44983</v>
      </c>
      <c r="C2279" t="s">
        <v>12</v>
      </c>
      <c r="D2279" t="s">
        <v>16</v>
      </c>
      <c r="E2279" t="s">
        <v>24</v>
      </c>
      <c r="F2279">
        <v>19</v>
      </c>
      <c r="G2279">
        <v>9395</v>
      </c>
      <c r="H2279">
        <v>178505</v>
      </c>
      <c r="I2279">
        <f t="shared" si="35"/>
        <v>178505</v>
      </c>
    </row>
    <row r="2280" spans="1:9" x14ac:dyDescent="0.3">
      <c r="A2280">
        <v>12279</v>
      </c>
      <c r="B2280" s="2">
        <v>45074</v>
      </c>
      <c r="C2280" t="s">
        <v>12</v>
      </c>
      <c r="D2280" t="s">
        <v>18</v>
      </c>
      <c r="E2280" t="s">
        <v>20</v>
      </c>
      <c r="F2280">
        <v>9</v>
      </c>
      <c r="G2280">
        <v>47948</v>
      </c>
      <c r="H2280">
        <v>431532</v>
      </c>
      <c r="I2280">
        <f t="shared" si="35"/>
        <v>431532</v>
      </c>
    </row>
    <row r="2281" spans="1:9" x14ac:dyDescent="0.3">
      <c r="A2281">
        <v>12280</v>
      </c>
      <c r="B2281" s="2">
        <v>45047</v>
      </c>
      <c r="C2281" t="s">
        <v>9</v>
      </c>
      <c r="D2281" t="s">
        <v>16</v>
      </c>
      <c r="E2281" t="s">
        <v>20</v>
      </c>
      <c r="F2281">
        <v>1</v>
      </c>
      <c r="G2281">
        <v>32751</v>
      </c>
      <c r="H2281">
        <v>32751</v>
      </c>
      <c r="I2281">
        <f t="shared" si="35"/>
        <v>32751</v>
      </c>
    </row>
    <row r="2282" spans="1:9" x14ac:dyDescent="0.3">
      <c r="A2282">
        <v>12281</v>
      </c>
      <c r="B2282" s="2">
        <v>45175</v>
      </c>
      <c r="C2282" t="s">
        <v>12</v>
      </c>
      <c r="D2282" t="s">
        <v>18</v>
      </c>
      <c r="E2282" t="s">
        <v>23</v>
      </c>
      <c r="F2282">
        <v>16</v>
      </c>
      <c r="G2282">
        <v>4982</v>
      </c>
      <c r="H2282">
        <v>79712</v>
      </c>
      <c r="I2282">
        <f t="shared" si="35"/>
        <v>79712</v>
      </c>
    </row>
    <row r="2283" spans="1:9" x14ac:dyDescent="0.3">
      <c r="A2283">
        <v>12282</v>
      </c>
      <c r="B2283" s="2">
        <v>45080</v>
      </c>
      <c r="C2283" t="s">
        <v>11</v>
      </c>
      <c r="D2283" t="s">
        <v>16</v>
      </c>
      <c r="E2283" t="s">
        <v>24</v>
      </c>
      <c r="F2283">
        <v>9</v>
      </c>
      <c r="G2283">
        <v>8417</v>
      </c>
      <c r="H2283">
        <v>75753</v>
      </c>
      <c r="I2283">
        <f t="shared" si="35"/>
        <v>75753</v>
      </c>
    </row>
    <row r="2284" spans="1:9" x14ac:dyDescent="0.3">
      <c r="A2284">
        <v>12283</v>
      </c>
      <c r="B2284" s="2">
        <v>45036</v>
      </c>
      <c r="C2284" t="s">
        <v>12</v>
      </c>
      <c r="D2284" t="s">
        <v>16</v>
      </c>
      <c r="E2284" t="s">
        <v>21</v>
      </c>
      <c r="F2284">
        <v>7</v>
      </c>
      <c r="G2284">
        <v>13302</v>
      </c>
      <c r="H2284">
        <v>93114</v>
      </c>
      <c r="I2284">
        <f t="shared" si="35"/>
        <v>93114</v>
      </c>
    </row>
    <row r="2285" spans="1:9" x14ac:dyDescent="0.3">
      <c r="A2285">
        <v>12284</v>
      </c>
      <c r="B2285" s="2">
        <v>45232</v>
      </c>
      <c r="C2285" t="s">
        <v>12</v>
      </c>
      <c r="D2285" t="s">
        <v>15</v>
      </c>
      <c r="E2285" t="s">
        <v>21</v>
      </c>
      <c r="F2285">
        <v>7</v>
      </c>
      <c r="G2285">
        <v>31586</v>
      </c>
      <c r="H2285">
        <v>221102</v>
      </c>
      <c r="I2285">
        <f t="shared" si="35"/>
        <v>221102</v>
      </c>
    </row>
    <row r="2286" spans="1:9" x14ac:dyDescent="0.3">
      <c r="A2286">
        <v>12285</v>
      </c>
      <c r="B2286" s="2">
        <v>44996</v>
      </c>
      <c r="C2286" t="s">
        <v>8</v>
      </c>
      <c r="D2286" t="s">
        <v>17</v>
      </c>
      <c r="E2286" t="s">
        <v>21</v>
      </c>
      <c r="F2286">
        <v>19</v>
      </c>
      <c r="G2286">
        <v>27709</v>
      </c>
      <c r="H2286">
        <v>526471</v>
      </c>
      <c r="I2286">
        <f t="shared" si="35"/>
        <v>526471</v>
      </c>
    </row>
    <row r="2287" spans="1:9" x14ac:dyDescent="0.3">
      <c r="A2287">
        <v>12286</v>
      </c>
      <c r="B2287" s="2">
        <v>45285</v>
      </c>
      <c r="C2287" t="s">
        <v>12</v>
      </c>
      <c r="D2287" t="s">
        <v>16</v>
      </c>
      <c r="E2287" t="s">
        <v>23</v>
      </c>
      <c r="F2287">
        <v>4</v>
      </c>
      <c r="G2287">
        <v>40288</v>
      </c>
      <c r="H2287">
        <v>161152</v>
      </c>
      <c r="I2287">
        <f t="shared" si="35"/>
        <v>161152</v>
      </c>
    </row>
    <row r="2288" spans="1:9" x14ac:dyDescent="0.3">
      <c r="A2288">
        <v>12287</v>
      </c>
      <c r="B2288" s="2">
        <v>44984</v>
      </c>
      <c r="C2288" t="s">
        <v>9</v>
      </c>
      <c r="D2288" t="s">
        <v>15</v>
      </c>
      <c r="E2288" t="s">
        <v>19</v>
      </c>
      <c r="F2288">
        <v>2</v>
      </c>
      <c r="G2288">
        <v>43651</v>
      </c>
      <c r="H2288">
        <v>87302</v>
      </c>
      <c r="I2288">
        <f t="shared" si="35"/>
        <v>87302</v>
      </c>
    </row>
    <row r="2289" spans="1:9" x14ac:dyDescent="0.3">
      <c r="A2289">
        <v>12288</v>
      </c>
      <c r="B2289" s="2">
        <v>45127</v>
      </c>
      <c r="C2289" t="s">
        <v>10</v>
      </c>
      <c r="D2289" t="s">
        <v>16</v>
      </c>
      <c r="E2289" t="s">
        <v>22</v>
      </c>
      <c r="F2289">
        <v>10</v>
      </c>
      <c r="G2289">
        <v>52835</v>
      </c>
      <c r="H2289">
        <v>528350</v>
      </c>
      <c r="I2289">
        <f t="shared" si="35"/>
        <v>528350</v>
      </c>
    </row>
    <row r="2290" spans="1:9" x14ac:dyDescent="0.3">
      <c r="A2290">
        <v>12289</v>
      </c>
      <c r="B2290" s="2">
        <v>45139</v>
      </c>
      <c r="C2290" t="s">
        <v>10</v>
      </c>
      <c r="D2290" t="s">
        <v>17</v>
      </c>
      <c r="E2290" t="s">
        <v>22</v>
      </c>
      <c r="F2290">
        <v>3</v>
      </c>
      <c r="G2290">
        <v>34308</v>
      </c>
      <c r="H2290">
        <v>102924</v>
      </c>
      <c r="I2290">
        <f t="shared" si="35"/>
        <v>102924</v>
      </c>
    </row>
    <row r="2291" spans="1:9" x14ac:dyDescent="0.3">
      <c r="A2291">
        <v>12290</v>
      </c>
      <c r="B2291" s="2">
        <v>45219</v>
      </c>
      <c r="C2291" t="s">
        <v>12</v>
      </c>
      <c r="D2291" t="s">
        <v>18</v>
      </c>
      <c r="E2291" t="s">
        <v>20</v>
      </c>
      <c r="F2291">
        <v>6</v>
      </c>
      <c r="G2291">
        <v>56667</v>
      </c>
      <c r="H2291">
        <v>340002</v>
      </c>
      <c r="I2291">
        <f t="shared" si="35"/>
        <v>340002</v>
      </c>
    </row>
    <row r="2292" spans="1:9" x14ac:dyDescent="0.3">
      <c r="A2292">
        <v>12291</v>
      </c>
      <c r="B2292" s="2">
        <v>44993</v>
      </c>
      <c r="C2292" t="s">
        <v>14</v>
      </c>
      <c r="D2292" t="s">
        <v>16</v>
      </c>
      <c r="E2292" t="s">
        <v>24</v>
      </c>
      <c r="F2292">
        <v>18</v>
      </c>
      <c r="G2292">
        <v>34274</v>
      </c>
      <c r="H2292">
        <v>616932</v>
      </c>
      <c r="I2292">
        <f t="shared" si="35"/>
        <v>616932</v>
      </c>
    </row>
    <row r="2293" spans="1:9" x14ac:dyDescent="0.3">
      <c r="A2293">
        <v>12292</v>
      </c>
      <c r="B2293" s="2">
        <v>45072</v>
      </c>
      <c r="C2293" t="s">
        <v>8</v>
      </c>
      <c r="D2293" t="s">
        <v>17</v>
      </c>
      <c r="E2293" t="s">
        <v>21</v>
      </c>
      <c r="F2293">
        <v>4</v>
      </c>
      <c r="G2293">
        <v>26395</v>
      </c>
      <c r="H2293">
        <v>105580</v>
      </c>
      <c r="I2293">
        <f t="shared" si="35"/>
        <v>105580</v>
      </c>
    </row>
    <row r="2294" spans="1:9" x14ac:dyDescent="0.3">
      <c r="A2294">
        <v>12293</v>
      </c>
      <c r="B2294" s="2">
        <v>45059</v>
      </c>
      <c r="C2294" t="s">
        <v>13</v>
      </c>
      <c r="D2294" t="s">
        <v>16</v>
      </c>
      <c r="E2294" t="s">
        <v>24</v>
      </c>
      <c r="F2294">
        <v>5</v>
      </c>
      <c r="G2294">
        <v>26400</v>
      </c>
      <c r="H2294">
        <v>132000</v>
      </c>
      <c r="I2294">
        <f t="shared" si="35"/>
        <v>132000</v>
      </c>
    </row>
    <row r="2295" spans="1:9" x14ac:dyDescent="0.3">
      <c r="A2295">
        <v>12294</v>
      </c>
      <c r="B2295" s="2">
        <v>45126</v>
      </c>
      <c r="C2295" t="s">
        <v>11</v>
      </c>
      <c r="D2295" t="s">
        <v>17</v>
      </c>
      <c r="E2295" t="s">
        <v>23</v>
      </c>
      <c r="F2295">
        <v>1</v>
      </c>
      <c r="G2295">
        <v>33252</v>
      </c>
      <c r="H2295">
        <v>33252</v>
      </c>
      <c r="I2295">
        <f t="shared" si="35"/>
        <v>33252</v>
      </c>
    </row>
    <row r="2296" spans="1:9" x14ac:dyDescent="0.3">
      <c r="A2296">
        <v>12295</v>
      </c>
      <c r="B2296" s="2">
        <v>45085</v>
      </c>
      <c r="C2296" t="s">
        <v>12</v>
      </c>
      <c r="D2296" t="s">
        <v>18</v>
      </c>
      <c r="E2296" t="s">
        <v>20</v>
      </c>
      <c r="F2296">
        <v>15</v>
      </c>
      <c r="G2296">
        <v>37671</v>
      </c>
      <c r="H2296">
        <v>565065</v>
      </c>
      <c r="I2296">
        <f t="shared" si="35"/>
        <v>565065</v>
      </c>
    </row>
    <row r="2297" spans="1:9" x14ac:dyDescent="0.3">
      <c r="A2297">
        <v>12296</v>
      </c>
      <c r="B2297" s="2">
        <v>45193</v>
      </c>
      <c r="C2297" t="s">
        <v>8</v>
      </c>
      <c r="D2297" t="s">
        <v>18</v>
      </c>
      <c r="E2297" t="s">
        <v>24</v>
      </c>
      <c r="F2297">
        <v>12</v>
      </c>
      <c r="G2297">
        <v>13341</v>
      </c>
      <c r="H2297">
        <v>160092</v>
      </c>
      <c r="I2297">
        <f t="shared" si="35"/>
        <v>160092</v>
      </c>
    </row>
    <row r="2298" spans="1:9" x14ac:dyDescent="0.3">
      <c r="A2298">
        <v>12297</v>
      </c>
      <c r="B2298" s="2">
        <v>45085</v>
      </c>
      <c r="C2298" t="s">
        <v>13</v>
      </c>
      <c r="D2298" t="s">
        <v>17</v>
      </c>
      <c r="E2298" t="s">
        <v>21</v>
      </c>
      <c r="F2298">
        <v>9</v>
      </c>
      <c r="G2298">
        <v>3193</v>
      </c>
      <c r="H2298">
        <v>28737</v>
      </c>
      <c r="I2298">
        <f t="shared" si="35"/>
        <v>28737</v>
      </c>
    </row>
    <row r="2299" spans="1:9" x14ac:dyDescent="0.3">
      <c r="A2299">
        <v>12298</v>
      </c>
      <c r="B2299" s="2">
        <v>45088</v>
      </c>
      <c r="C2299" t="s">
        <v>11</v>
      </c>
      <c r="D2299" t="s">
        <v>16</v>
      </c>
      <c r="E2299" t="s">
        <v>19</v>
      </c>
      <c r="F2299">
        <v>11</v>
      </c>
      <c r="G2299">
        <v>52496</v>
      </c>
      <c r="H2299">
        <v>577456</v>
      </c>
      <c r="I2299">
        <f t="shared" si="35"/>
        <v>577456</v>
      </c>
    </row>
    <row r="2300" spans="1:9" x14ac:dyDescent="0.3">
      <c r="A2300">
        <v>12299</v>
      </c>
      <c r="B2300" s="2">
        <v>45114</v>
      </c>
      <c r="C2300" t="s">
        <v>12</v>
      </c>
      <c r="D2300" t="s">
        <v>15</v>
      </c>
      <c r="E2300" t="s">
        <v>21</v>
      </c>
      <c r="F2300">
        <v>5</v>
      </c>
      <c r="G2300">
        <v>39739</v>
      </c>
      <c r="H2300">
        <v>198695</v>
      </c>
      <c r="I2300">
        <f t="shared" si="35"/>
        <v>198695</v>
      </c>
    </row>
    <row r="2301" spans="1:9" x14ac:dyDescent="0.3">
      <c r="A2301">
        <v>12300</v>
      </c>
      <c r="B2301" s="2">
        <v>45212</v>
      </c>
      <c r="C2301" t="s">
        <v>10</v>
      </c>
      <c r="D2301" t="s">
        <v>17</v>
      </c>
      <c r="E2301" t="s">
        <v>23</v>
      </c>
      <c r="F2301">
        <v>14</v>
      </c>
      <c r="G2301">
        <v>17924</v>
      </c>
      <c r="H2301">
        <v>250936</v>
      </c>
      <c r="I2301">
        <f t="shared" si="35"/>
        <v>250936</v>
      </c>
    </row>
    <row r="2302" spans="1:9" x14ac:dyDescent="0.3">
      <c r="A2302">
        <v>12301</v>
      </c>
      <c r="B2302" s="2">
        <v>44994</v>
      </c>
      <c r="C2302" t="s">
        <v>10</v>
      </c>
      <c r="D2302" t="s">
        <v>17</v>
      </c>
      <c r="E2302" t="s">
        <v>19</v>
      </c>
      <c r="F2302">
        <v>3</v>
      </c>
      <c r="G2302">
        <v>46276</v>
      </c>
      <c r="H2302">
        <v>138828</v>
      </c>
      <c r="I2302">
        <f t="shared" si="35"/>
        <v>138828</v>
      </c>
    </row>
    <row r="2303" spans="1:9" x14ac:dyDescent="0.3">
      <c r="A2303">
        <v>12302</v>
      </c>
      <c r="B2303" s="2">
        <v>45014</v>
      </c>
      <c r="C2303" t="s">
        <v>13</v>
      </c>
      <c r="D2303" t="s">
        <v>16</v>
      </c>
      <c r="E2303" t="s">
        <v>20</v>
      </c>
      <c r="F2303">
        <v>10</v>
      </c>
      <c r="G2303">
        <v>20399</v>
      </c>
      <c r="H2303">
        <v>203990</v>
      </c>
      <c r="I2303">
        <f t="shared" si="35"/>
        <v>203990</v>
      </c>
    </row>
    <row r="2304" spans="1:9" x14ac:dyDescent="0.3">
      <c r="A2304">
        <v>12303</v>
      </c>
      <c r="B2304" s="2">
        <v>45053</v>
      </c>
      <c r="C2304" t="s">
        <v>12</v>
      </c>
      <c r="D2304" t="s">
        <v>18</v>
      </c>
      <c r="E2304" t="s">
        <v>24</v>
      </c>
      <c r="F2304">
        <v>19</v>
      </c>
      <c r="G2304">
        <v>18281</v>
      </c>
      <c r="H2304">
        <v>347339</v>
      </c>
      <c r="I2304">
        <f t="shared" si="35"/>
        <v>347339</v>
      </c>
    </row>
    <row r="2305" spans="1:9" x14ac:dyDescent="0.3">
      <c r="A2305">
        <v>12304</v>
      </c>
      <c r="B2305" s="2">
        <v>45040</v>
      </c>
      <c r="C2305" t="s">
        <v>11</v>
      </c>
      <c r="D2305" t="s">
        <v>15</v>
      </c>
      <c r="E2305" t="s">
        <v>23</v>
      </c>
      <c r="F2305">
        <v>10</v>
      </c>
      <c r="G2305">
        <v>30276</v>
      </c>
      <c r="H2305">
        <v>302760</v>
      </c>
      <c r="I2305">
        <f t="shared" si="35"/>
        <v>302760</v>
      </c>
    </row>
    <row r="2306" spans="1:9" x14ac:dyDescent="0.3">
      <c r="A2306">
        <v>12305</v>
      </c>
      <c r="B2306" s="2">
        <v>45075</v>
      </c>
      <c r="C2306" t="s">
        <v>13</v>
      </c>
      <c r="D2306" t="s">
        <v>18</v>
      </c>
      <c r="E2306" t="s">
        <v>24</v>
      </c>
      <c r="F2306">
        <v>15</v>
      </c>
      <c r="G2306">
        <v>35899</v>
      </c>
      <c r="H2306">
        <v>538485</v>
      </c>
      <c r="I2306">
        <f t="shared" si="35"/>
        <v>538485</v>
      </c>
    </row>
    <row r="2307" spans="1:9" x14ac:dyDescent="0.3">
      <c r="A2307">
        <v>12306</v>
      </c>
      <c r="B2307" s="2">
        <v>45207</v>
      </c>
      <c r="C2307" t="s">
        <v>8</v>
      </c>
      <c r="D2307" t="s">
        <v>15</v>
      </c>
      <c r="E2307" t="s">
        <v>24</v>
      </c>
      <c r="F2307">
        <v>8</v>
      </c>
      <c r="G2307">
        <v>25562</v>
      </c>
      <c r="H2307">
        <v>204496</v>
      </c>
      <c r="I2307">
        <f t="shared" ref="I2307:I2370" si="36">G2307*F2307</f>
        <v>204496</v>
      </c>
    </row>
    <row r="2308" spans="1:9" x14ac:dyDescent="0.3">
      <c r="A2308">
        <v>12307</v>
      </c>
      <c r="B2308" s="2">
        <v>45282</v>
      </c>
      <c r="C2308" t="s">
        <v>11</v>
      </c>
      <c r="D2308" t="s">
        <v>15</v>
      </c>
      <c r="E2308" t="s">
        <v>21</v>
      </c>
      <c r="F2308">
        <v>3</v>
      </c>
      <c r="G2308">
        <v>23067</v>
      </c>
      <c r="H2308">
        <v>69201</v>
      </c>
      <c r="I2308">
        <f t="shared" si="36"/>
        <v>69201</v>
      </c>
    </row>
    <row r="2309" spans="1:9" x14ac:dyDescent="0.3">
      <c r="A2309">
        <v>12308</v>
      </c>
      <c r="B2309" s="2">
        <v>45117</v>
      </c>
      <c r="C2309" t="s">
        <v>12</v>
      </c>
      <c r="D2309" t="s">
        <v>18</v>
      </c>
      <c r="E2309" t="s">
        <v>20</v>
      </c>
      <c r="F2309">
        <v>4</v>
      </c>
      <c r="G2309">
        <v>36444</v>
      </c>
      <c r="H2309">
        <v>145776</v>
      </c>
      <c r="I2309">
        <f t="shared" si="36"/>
        <v>145776</v>
      </c>
    </row>
    <row r="2310" spans="1:9" x14ac:dyDescent="0.3">
      <c r="A2310">
        <v>12309</v>
      </c>
      <c r="B2310" s="2">
        <v>45028</v>
      </c>
      <c r="C2310" t="s">
        <v>10</v>
      </c>
      <c r="D2310" t="s">
        <v>15</v>
      </c>
      <c r="E2310" t="s">
        <v>21</v>
      </c>
      <c r="F2310">
        <v>12</v>
      </c>
      <c r="G2310">
        <v>59342</v>
      </c>
      <c r="H2310">
        <v>712104</v>
      </c>
      <c r="I2310">
        <f t="shared" si="36"/>
        <v>712104</v>
      </c>
    </row>
    <row r="2311" spans="1:9" x14ac:dyDescent="0.3">
      <c r="A2311">
        <v>12310</v>
      </c>
      <c r="B2311" s="2">
        <v>45289</v>
      </c>
      <c r="C2311" t="s">
        <v>9</v>
      </c>
      <c r="D2311" t="s">
        <v>15</v>
      </c>
      <c r="E2311" t="s">
        <v>22</v>
      </c>
      <c r="F2311">
        <v>16</v>
      </c>
      <c r="G2311">
        <v>53180</v>
      </c>
      <c r="H2311">
        <v>850880</v>
      </c>
      <c r="I2311">
        <f t="shared" si="36"/>
        <v>850880</v>
      </c>
    </row>
    <row r="2312" spans="1:9" x14ac:dyDescent="0.3">
      <c r="A2312">
        <v>12311</v>
      </c>
      <c r="B2312" s="2">
        <v>45029</v>
      </c>
      <c r="C2312" t="s">
        <v>13</v>
      </c>
      <c r="D2312" t="s">
        <v>17</v>
      </c>
      <c r="E2312" t="s">
        <v>20</v>
      </c>
      <c r="F2312">
        <v>13</v>
      </c>
      <c r="G2312">
        <v>30497</v>
      </c>
      <c r="H2312">
        <v>396461</v>
      </c>
      <c r="I2312">
        <f t="shared" si="36"/>
        <v>396461</v>
      </c>
    </row>
    <row r="2313" spans="1:9" x14ac:dyDescent="0.3">
      <c r="A2313">
        <v>12312</v>
      </c>
      <c r="B2313" s="2">
        <v>45143</v>
      </c>
      <c r="C2313" t="s">
        <v>11</v>
      </c>
      <c r="D2313" t="s">
        <v>15</v>
      </c>
      <c r="E2313" t="s">
        <v>19</v>
      </c>
      <c r="F2313">
        <v>20</v>
      </c>
      <c r="G2313">
        <v>51406</v>
      </c>
      <c r="H2313">
        <v>1028120</v>
      </c>
      <c r="I2313">
        <f t="shared" si="36"/>
        <v>1028120</v>
      </c>
    </row>
    <row r="2314" spans="1:9" x14ac:dyDescent="0.3">
      <c r="A2314">
        <v>12313</v>
      </c>
      <c r="B2314" s="2">
        <v>45053</v>
      </c>
      <c r="C2314" t="s">
        <v>8</v>
      </c>
      <c r="D2314" t="s">
        <v>17</v>
      </c>
      <c r="E2314" t="s">
        <v>24</v>
      </c>
      <c r="F2314">
        <v>11</v>
      </c>
      <c r="G2314">
        <v>56049</v>
      </c>
      <c r="H2314">
        <v>616539</v>
      </c>
      <c r="I2314">
        <f t="shared" si="36"/>
        <v>616539</v>
      </c>
    </row>
    <row r="2315" spans="1:9" x14ac:dyDescent="0.3">
      <c r="A2315">
        <v>12314</v>
      </c>
      <c r="B2315" s="2">
        <v>45274</v>
      </c>
      <c r="C2315" t="s">
        <v>10</v>
      </c>
      <c r="D2315" t="s">
        <v>18</v>
      </c>
      <c r="E2315" t="s">
        <v>19</v>
      </c>
      <c r="F2315">
        <v>3</v>
      </c>
      <c r="G2315">
        <v>32520</v>
      </c>
      <c r="H2315">
        <v>97560</v>
      </c>
      <c r="I2315">
        <f t="shared" si="36"/>
        <v>97560</v>
      </c>
    </row>
    <row r="2316" spans="1:9" x14ac:dyDescent="0.3">
      <c r="A2316">
        <v>12315</v>
      </c>
      <c r="B2316" s="2">
        <v>45291</v>
      </c>
      <c r="C2316" t="s">
        <v>8</v>
      </c>
      <c r="D2316" t="s">
        <v>15</v>
      </c>
      <c r="E2316" t="s">
        <v>22</v>
      </c>
      <c r="F2316">
        <v>14</v>
      </c>
      <c r="G2316">
        <v>11812</v>
      </c>
      <c r="H2316">
        <v>165368</v>
      </c>
      <c r="I2316">
        <f t="shared" si="36"/>
        <v>165368</v>
      </c>
    </row>
    <row r="2317" spans="1:9" x14ac:dyDescent="0.3">
      <c r="A2317">
        <v>12316</v>
      </c>
      <c r="B2317" s="2">
        <v>45171</v>
      </c>
      <c r="C2317" t="s">
        <v>10</v>
      </c>
      <c r="D2317" t="s">
        <v>18</v>
      </c>
      <c r="E2317" t="s">
        <v>22</v>
      </c>
      <c r="F2317">
        <v>14</v>
      </c>
      <c r="G2317">
        <v>18735</v>
      </c>
      <c r="H2317">
        <v>262290</v>
      </c>
      <c r="I2317">
        <f t="shared" si="36"/>
        <v>262290</v>
      </c>
    </row>
    <row r="2318" spans="1:9" x14ac:dyDescent="0.3">
      <c r="A2318">
        <v>12317</v>
      </c>
      <c r="B2318" s="2">
        <v>45165</v>
      </c>
      <c r="C2318" t="s">
        <v>11</v>
      </c>
      <c r="D2318" t="s">
        <v>15</v>
      </c>
      <c r="E2318" t="s">
        <v>22</v>
      </c>
      <c r="F2318">
        <v>3</v>
      </c>
      <c r="G2318">
        <v>49678</v>
      </c>
      <c r="H2318">
        <v>149034</v>
      </c>
      <c r="I2318">
        <f t="shared" si="36"/>
        <v>149034</v>
      </c>
    </row>
    <row r="2319" spans="1:9" x14ac:dyDescent="0.3">
      <c r="A2319">
        <v>12318</v>
      </c>
      <c r="B2319" s="2">
        <v>45123</v>
      </c>
      <c r="C2319" t="s">
        <v>12</v>
      </c>
      <c r="D2319" t="s">
        <v>18</v>
      </c>
      <c r="E2319" t="s">
        <v>24</v>
      </c>
      <c r="F2319">
        <v>12</v>
      </c>
      <c r="G2319">
        <v>10424</v>
      </c>
      <c r="H2319">
        <v>125088</v>
      </c>
      <c r="I2319">
        <f t="shared" si="36"/>
        <v>125088</v>
      </c>
    </row>
    <row r="2320" spans="1:9" x14ac:dyDescent="0.3">
      <c r="A2320">
        <v>12319</v>
      </c>
      <c r="B2320" s="2">
        <v>45200</v>
      </c>
      <c r="C2320" t="s">
        <v>10</v>
      </c>
      <c r="D2320" t="s">
        <v>16</v>
      </c>
      <c r="E2320" t="s">
        <v>19</v>
      </c>
      <c r="F2320">
        <v>12</v>
      </c>
      <c r="G2320">
        <v>24275</v>
      </c>
      <c r="H2320">
        <v>291300</v>
      </c>
      <c r="I2320">
        <f t="shared" si="36"/>
        <v>291300</v>
      </c>
    </row>
    <row r="2321" spans="1:9" x14ac:dyDescent="0.3">
      <c r="A2321">
        <v>12320</v>
      </c>
      <c r="B2321" s="2">
        <v>45014</v>
      </c>
      <c r="C2321" t="s">
        <v>9</v>
      </c>
      <c r="D2321" t="s">
        <v>16</v>
      </c>
      <c r="E2321" t="s">
        <v>20</v>
      </c>
      <c r="F2321">
        <v>4</v>
      </c>
      <c r="G2321">
        <v>29634</v>
      </c>
      <c r="H2321">
        <v>118536</v>
      </c>
      <c r="I2321">
        <f t="shared" si="36"/>
        <v>118536</v>
      </c>
    </row>
    <row r="2322" spans="1:9" x14ac:dyDescent="0.3">
      <c r="A2322">
        <v>12321</v>
      </c>
      <c r="B2322" s="2">
        <v>45095</v>
      </c>
      <c r="C2322" t="s">
        <v>8</v>
      </c>
      <c r="D2322" t="s">
        <v>18</v>
      </c>
      <c r="E2322" t="s">
        <v>19</v>
      </c>
      <c r="F2322">
        <v>15</v>
      </c>
      <c r="G2322">
        <v>9824</v>
      </c>
      <c r="H2322">
        <v>147360</v>
      </c>
      <c r="I2322">
        <f t="shared" si="36"/>
        <v>147360</v>
      </c>
    </row>
    <row r="2323" spans="1:9" x14ac:dyDescent="0.3">
      <c r="A2323">
        <v>12322</v>
      </c>
      <c r="B2323" s="2">
        <v>45268</v>
      </c>
      <c r="C2323" t="s">
        <v>8</v>
      </c>
      <c r="D2323" t="s">
        <v>18</v>
      </c>
      <c r="E2323" t="s">
        <v>21</v>
      </c>
      <c r="F2323">
        <v>15</v>
      </c>
      <c r="G2323">
        <v>13306</v>
      </c>
      <c r="H2323">
        <v>199590</v>
      </c>
      <c r="I2323">
        <f t="shared" si="36"/>
        <v>199590</v>
      </c>
    </row>
    <row r="2324" spans="1:9" x14ac:dyDescent="0.3">
      <c r="A2324">
        <v>12323</v>
      </c>
      <c r="B2324" s="2">
        <v>44998</v>
      </c>
      <c r="C2324" t="s">
        <v>14</v>
      </c>
      <c r="D2324" t="s">
        <v>16</v>
      </c>
      <c r="E2324" t="s">
        <v>20</v>
      </c>
      <c r="F2324">
        <v>15</v>
      </c>
      <c r="G2324">
        <v>2588</v>
      </c>
      <c r="H2324">
        <v>38820</v>
      </c>
      <c r="I2324">
        <f t="shared" si="36"/>
        <v>38820</v>
      </c>
    </row>
    <row r="2325" spans="1:9" x14ac:dyDescent="0.3">
      <c r="A2325">
        <v>12324</v>
      </c>
      <c r="B2325" s="2">
        <v>45088</v>
      </c>
      <c r="C2325" t="s">
        <v>14</v>
      </c>
      <c r="D2325" t="s">
        <v>18</v>
      </c>
      <c r="E2325" t="s">
        <v>24</v>
      </c>
      <c r="F2325">
        <v>1</v>
      </c>
      <c r="G2325">
        <v>26546</v>
      </c>
      <c r="H2325">
        <v>26546</v>
      </c>
      <c r="I2325">
        <f t="shared" si="36"/>
        <v>26546</v>
      </c>
    </row>
    <row r="2326" spans="1:9" x14ac:dyDescent="0.3">
      <c r="A2326">
        <v>12325</v>
      </c>
      <c r="B2326" s="2">
        <v>44953</v>
      </c>
      <c r="C2326" t="s">
        <v>10</v>
      </c>
      <c r="D2326" t="s">
        <v>18</v>
      </c>
      <c r="E2326" t="s">
        <v>22</v>
      </c>
      <c r="F2326">
        <v>13</v>
      </c>
      <c r="G2326">
        <v>18022</v>
      </c>
      <c r="H2326">
        <v>234286</v>
      </c>
      <c r="I2326">
        <f t="shared" si="36"/>
        <v>234286</v>
      </c>
    </row>
    <row r="2327" spans="1:9" x14ac:dyDescent="0.3">
      <c r="A2327">
        <v>12326</v>
      </c>
      <c r="B2327" s="2">
        <v>45274</v>
      </c>
      <c r="C2327" t="s">
        <v>13</v>
      </c>
      <c r="D2327" t="s">
        <v>16</v>
      </c>
      <c r="E2327" t="s">
        <v>23</v>
      </c>
      <c r="F2327">
        <v>19</v>
      </c>
      <c r="G2327">
        <v>11535</v>
      </c>
      <c r="H2327">
        <v>219165</v>
      </c>
      <c r="I2327">
        <f t="shared" si="36"/>
        <v>219165</v>
      </c>
    </row>
    <row r="2328" spans="1:9" x14ac:dyDescent="0.3">
      <c r="A2328">
        <v>12327</v>
      </c>
      <c r="B2328" s="2">
        <v>45210</v>
      </c>
      <c r="C2328" t="s">
        <v>11</v>
      </c>
      <c r="D2328" t="s">
        <v>17</v>
      </c>
      <c r="E2328" t="s">
        <v>24</v>
      </c>
      <c r="F2328">
        <v>9</v>
      </c>
      <c r="G2328">
        <v>41361</v>
      </c>
      <c r="H2328">
        <v>372249</v>
      </c>
      <c r="I2328">
        <f t="shared" si="36"/>
        <v>372249</v>
      </c>
    </row>
    <row r="2329" spans="1:9" x14ac:dyDescent="0.3">
      <c r="A2329">
        <v>12328</v>
      </c>
      <c r="B2329" s="2">
        <v>45233</v>
      </c>
      <c r="C2329" t="s">
        <v>8</v>
      </c>
      <c r="D2329" t="s">
        <v>18</v>
      </c>
      <c r="E2329" t="s">
        <v>21</v>
      </c>
      <c r="F2329">
        <v>10</v>
      </c>
      <c r="G2329">
        <v>4346</v>
      </c>
      <c r="H2329">
        <v>43460</v>
      </c>
      <c r="I2329">
        <f t="shared" si="36"/>
        <v>43460</v>
      </c>
    </row>
    <row r="2330" spans="1:9" x14ac:dyDescent="0.3">
      <c r="A2330">
        <v>12329</v>
      </c>
      <c r="B2330" s="2">
        <v>44931</v>
      </c>
      <c r="C2330" t="s">
        <v>14</v>
      </c>
      <c r="D2330" t="s">
        <v>15</v>
      </c>
      <c r="E2330" t="s">
        <v>21</v>
      </c>
      <c r="F2330">
        <v>15</v>
      </c>
      <c r="G2330">
        <v>39603</v>
      </c>
      <c r="H2330">
        <v>594045</v>
      </c>
      <c r="I2330">
        <f t="shared" si="36"/>
        <v>594045</v>
      </c>
    </row>
    <row r="2331" spans="1:9" x14ac:dyDescent="0.3">
      <c r="A2331">
        <v>12330</v>
      </c>
      <c r="B2331" s="2">
        <v>45155</v>
      </c>
      <c r="C2331" t="s">
        <v>8</v>
      </c>
      <c r="D2331" t="s">
        <v>15</v>
      </c>
      <c r="E2331" t="s">
        <v>20</v>
      </c>
      <c r="F2331">
        <v>11</v>
      </c>
      <c r="G2331">
        <v>54986</v>
      </c>
      <c r="H2331">
        <v>604846</v>
      </c>
      <c r="I2331">
        <f t="shared" si="36"/>
        <v>604846</v>
      </c>
    </row>
    <row r="2332" spans="1:9" x14ac:dyDescent="0.3">
      <c r="A2332">
        <v>12331</v>
      </c>
      <c r="B2332" s="2">
        <v>45225</v>
      </c>
      <c r="C2332" t="s">
        <v>10</v>
      </c>
      <c r="D2332" t="s">
        <v>18</v>
      </c>
      <c r="E2332" t="s">
        <v>19</v>
      </c>
      <c r="F2332">
        <v>13</v>
      </c>
      <c r="G2332">
        <v>23103</v>
      </c>
      <c r="H2332">
        <v>300339</v>
      </c>
      <c r="I2332">
        <f t="shared" si="36"/>
        <v>300339</v>
      </c>
    </row>
    <row r="2333" spans="1:9" x14ac:dyDescent="0.3">
      <c r="A2333">
        <v>12332</v>
      </c>
      <c r="B2333" s="2">
        <v>45017</v>
      </c>
      <c r="C2333" t="s">
        <v>8</v>
      </c>
      <c r="D2333" t="s">
        <v>18</v>
      </c>
      <c r="E2333" t="s">
        <v>19</v>
      </c>
      <c r="F2333">
        <v>9</v>
      </c>
      <c r="G2333">
        <v>4887</v>
      </c>
      <c r="H2333">
        <v>43983</v>
      </c>
      <c r="I2333">
        <f t="shared" si="36"/>
        <v>43983</v>
      </c>
    </row>
    <row r="2334" spans="1:9" x14ac:dyDescent="0.3">
      <c r="A2334">
        <v>12333</v>
      </c>
      <c r="B2334" s="2">
        <v>45257</v>
      </c>
      <c r="C2334" t="s">
        <v>11</v>
      </c>
      <c r="D2334" t="s">
        <v>17</v>
      </c>
      <c r="E2334" t="s">
        <v>24</v>
      </c>
      <c r="F2334">
        <v>11</v>
      </c>
      <c r="G2334">
        <v>17257</v>
      </c>
      <c r="H2334">
        <v>189827</v>
      </c>
      <c r="I2334">
        <f t="shared" si="36"/>
        <v>189827</v>
      </c>
    </row>
    <row r="2335" spans="1:9" x14ac:dyDescent="0.3">
      <c r="A2335">
        <v>12334</v>
      </c>
      <c r="B2335" s="2">
        <v>45152</v>
      </c>
      <c r="C2335" t="s">
        <v>10</v>
      </c>
      <c r="D2335" t="s">
        <v>16</v>
      </c>
      <c r="E2335" t="s">
        <v>19</v>
      </c>
      <c r="F2335">
        <v>5</v>
      </c>
      <c r="G2335">
        <v>27918</v>
      </c>
      <c r="H2335">
        <v>139590</v>
      </c>
      <c r="I2335">
        <f t="shared" si="36"/>
        <v>139590</v>
      </c>
    </row>
    <row r="2336" spans="1:9" x14ac:dyDescent="0.3">
      <c r="A2336">
        <v>12335</v>
      </c>
      <c r="B2336" s="2">
        <v>45059</v>
      </c>
      <c r="C2336" t="s">
        <v>13</v>
      </c>
      <c r="D2336" t="s">
        <v>18</v>
      </c>
      <c r="E2336" t="s">
        <v>24</v>
      </c>
      <c r="F2336">
        <v>13</v>
      </c>
      <c r="G2336">
        <v>41687</v>
      </c>
      <c r="H2336">
        <v>541931</v>
      </c>
      <c r="I2336">
        <f t="shared" si="36"/>
        <v>541931</v>
      </c>
    </row>
    <row r="2337" spans="1:9" x14ac:dyDescent="0.3">
      <c r="A2337">
        <v>12336</v>
      </c>
      <c r="B2337" s="2">
        <v>45046</v>
      </c>
      <c r="C2337" t="s">
        <v>8</v>
      </c>
      <c r="D2337" t="s">
        <v>18</v>
      </c>
      <c r="E2337" t="s">
        <v>20</v>
      </c>
      <c r="F2337">
        <v>7</v>
      </c>
      <c r="G2337">
        <v>58822</v>
      </c>
      <c r="H2337">
        <v>411754</v>
      </c>
      <c r="I2337">
        <f t="shared" si="36"/>
        <v>411754</v>
      </c>
    </row>
    <row r="2338" spans="1:9" x14ac:dyDescent="0.3">
      <c r="A2338">
        <v>12337</v>
      </c>
      <c r="B2338" s="2">
        <v>45090</v>
      </c>
      <c r="C2338" t="s">
        <v>12</v>
      </c>
      <c r="D2338" t="s">
        <v>15</v>
      </c>
      <c r="E2338" t="s">
        <v>24</v>
      </c>
      <c r="F2338">
        <v>4</v>
      </c>
      <c r="G2338">
        <v>15221</v>
      </c>
      <c r="H2338">
        <v>60884</v>
      </c>
      <c r="I2338">
        <f t="shared" si="36"/>
        <v>60884</v>
      </c>
    </row>
    <row r="2339" spans="1:9" x14ac:dyDescent="0.3">
      <c r="A2339">
        <v>12338</v>
      </c>
      <c r="B2339" s="2">
        <v>45187</v>
      </c>
      <c r="C2339" t="s">
        <v>8</v>
      </c>
      <c r="D2339" t="s">
        <v>18</v>
      </c>
      <c r="E2339" t="s">
        <v>22</v>
      </c>
      <c r="F2339">
        <v>14</v>
      </c>
      <c r="G2339">
        <v>41302</v>
      </c>
      <c r="H2339">
        <v>578228</v>
      </c>
      <c r="I2339">
        <f t="shared" si="36"/>
        <v>578228</v>
      </c>
    </row>
    <row r="2340" spans="1:9" x14ac:dyDescent="0.3">
      <c r="A2340">
        <v>12339</v>
      </c>
      <c r="B2340" s="2">
        <v>44959</v>
      </c>
      <c r="C2340" t="s">
        <v>13</v>
      </c>
      <c r="D2340" t="s">
        <v>17</v>
      </c>
      <c r="E2340" t="s">
        <v>24</v>
      </c>
      <c r="F2340">
        <v>2</v>
      </c>
      <c r="G2340">
        <v>36139</v>
      </c>
      <c r="H2340">
        <v>72278</v>
      </c>
      <c r="I2340">
        <f t="shared" si="36"/>
        <v>72278</v>
      </c>
    </row>
    <row r="2341" spans="1:9" x14ac:dyDescent="0.3">
      <c r="A2341">
        <v>12340</v>
      </c>
      <c r="B2341" s="2">
        <v>45032</v>
      </c>
      <c r="C2341" t="s">
        <v>12</v>
      </c>
      <c r="D2341" t="s">
        <v>16</v>
      </c>
      <c r="E2341" t="s">
        <v>19</v>
      </c>
      <c r="F2341">
        <v>4</v>
      </c>
      <c r="G2341">
        <v>32405</v>
      </c>
      <c r="H2341">
        <v>129620</v>
      </c>
      <c r="I2341">
        <f t="shared" si="36"/>
        <v>129620</v>
      </c>
    </row>
    <row r="2342" spans="1:9" x14ac:dyDescent="0.3">
      <c r="A2342">
        <v>12341</v>
      </c>
      <c r="B2342" s="2">
        <v>45089</v>
      </c>
      <c r="C2342" t="s">
        <v>13</v>
      </c>
      <c r="D2342" t="s">
        <v>18</v>
      </c>
      <c r="E2342" t="s">
        <v>19</v>
      </c>
      <c r="F2342">
        <v>14</v>
      </c>
      <c r="G2342">
        <v>22238</v>
      </c>
      <c r="H2342">
        <v>311332</v>
      </c>
      <c r="I2342">
        <f t="shared" si="36"/>
        <v>311332</v>
      </c>
    </row>
    <row r="2343" spans="1:9" x14ac:dyDescent="0.3">
      <c r="A2343">
        <v>12342</v>
      </c>
      <c r="B2343" s="2">
        <v>45070</v>
      </c>
      <c r="C2343" t="s">
        <v>10</v>
      </c>
      <c r="D2343" t="s">
        <v>16</v>
      </c>
      <c r="E2343" t="s">
        <v>24</v>
      </c>
      <c r="F2343">
        <v>15</v>
      </c>
      <c r="G2343">
        <v>30903</v>
      </c>
      <c r="H2343">
        <v>463545</v>
      </c>
      <c r="I2343">
        <f t="shared" si="36"/>
        <v>463545</v>
      </c>
    </row>
    <row r="2344" spans="1:9" x14ac:dyDescent="0.3">
      <c r="A2344">
        <v>12343</v>
      </c>
      <c r="B2344" s="2">
        <v>45164</v>
      </c>
      <c r="C2344" t="s">
        <v>12</v>
      </c>
      <c r="D2344" t="s">
        <v>17</v>
      </c>
      <c r="E2344" t="s">
        <v>23</v>
      </c>
      <c r="F2344">
        <v>3</v>
      </c>
      <c r="G2344">
        <v>57983</v>
      </c>
      <c r="H2344">
        <v>173949</v>
      </c>
      <c r="I2344">
        <f t="shared" si="36"/>
        <v>173949</v>
      </c>
    </row>
    <row r="2345" spans="1:9" x14ac:dyDescent="0.3">
      <c r="A2345">
        <v>12344</v>
      </c>
      <c r="B2345" s="2">
        <v>45262</v>
      </c>
      <c r="C2345" t="s">
        <v>11</v>
      </c>
      <c r="D2345" t="s">
        <v>15</v>
      </c>
      <c r="E2345" t="s">
        <v>23</v>
      </c>
      <c r="F2345">
        <v>18</v>
      </c>
      <c r="G2345">
        <v>16870</v>
      </c>
      <c r="H2345">
        <v>303660</v>
      </c>
      <c r="I2345">
        <f t="shared" si="36"/>
        <v>303660</v>
      </c>
    </row>
    <row r="2346" spans="1:9" x14ac:dyDescent="0.3">
      <c r="A2346">
        <v>12345</v>
      </c>
      <c r="B2346" s="2">
        <v>44928</v>
      </c>
      <c r="C2346" t="s">
        <v>13</v>
      </c>
      <c r="D2346" t="s">
        <v>18</v>
      </c>
      <c r="E2346" t="s">
        <v>20</v>
      </c>
      <c r="F2346">
        <v>14</v>
      </c>
      <c r="G2346">
        <v>30208</v>
      </c>
      <c r="H2346">
        <v>422912</v>
      </c>
      <c r="I2346">
        <f t="shared" si="36"/>
        <v>422912</v>
      </c>
    </row>
    <row r="2347" spans="1:9" x14ac:dyDescent="0.3">
      <c r="A2347">
        <v>12346</v>
      </c>
      <c r="B2347" s="2">
        <v>45014</v>
      </c>
      <c r="C2347" t="s">
        <v>11</v>
      </c>
      <c r="D2347" t="s">
        <v>16</v>
      </c>
      <c r="E2347" t="s">
        <v>21</v>
      </c>
      <c r="F2347">
        <v>5</v>
      </c>
      <c r="G2347">
        <v>19174</v>
      </c>
      <c r="H2347">
        <v>95870</v>
      </c>
      <c r="I2347">
        <f t="shared" si="36"/>
        <v>95870</v>
      </c>
    </row>
    <row r="2348" spans="1:9" x14ac:dyDescent="0.3">
      <c r="A2348">
        <v>12347</v>
      </c>
      <c r="B2348" s="2">
        <v>45177</v>
      </c>
      <c r="C2348" t="s">
        <v>13</v>
      </c>
      <c r="D2348" t="s">
        <v>16</v>
      </c>
      <c r="E2348" t="s">
        <v>21</v>
      </c>
      <c r="F2348">
        <v>4</v>
      </c>
      <c r="G2348">
        <v>40255</v>
      </c>
      <c r="H2348">
        <v>161020</v>
      </c>
      <c r="I2348">
        <f t="shared" si="36"/>
        <v>161020</v>
      </c>
    </row>
    <row r="2349" spans="1:9" x14ac:dyDescent="0.3">
      <c r="A2349">
        <v>12348</v>
      </c>
      <c r="B2349" s="2">
        <v>44993</v>
      </c>
      <c r="C2349" t="s">
        <v>13</v>
      </c>
      <c r="D2349" t="s">
        <v>15</v>
      </c>
      <c r="E2349" t="s">
        <v>22</v>
      </c>
      <c r="F2349">
        <v>17</v>
      </c>
      <c r="G2349">
        <v>31781</v>
      </c>
      <c r="H2349">
        <v>540277</v>
      </c>
      <c r="I2349">
        <f t="shared" si="36"/>
        <v>540277</v>
      </c>
    </row>
    <row r="2350" spans="1:9" x14ac:dyDescent="0.3">
      <c r="A2350">
        <v>12349</v>
      </c>
      <c r="B2350" s="2">
        <v>44976</v>
      </c>
      <c r="C2350" t="s">
        <v>10</v>
      </c>
      <c r="D2350" t="s">
        <v>17</v>
      </c>
      <c r="E2350" t="s">
        <v>24</v>
      </c>
      <c r="F2350">
        <v>12</v>
      </c>
      <c r="G2350">
        <v>16104</v>
      </c>
      <c r="H2350">
        <v>193248</v>
      </c>
      <c r="I2350">
        <f t="shared" si="36"/>
        <v>193248</v>
      </c>
    </row>
    <row r="2351" spans="1:9" x14ac:dyDescent="0.3">
      <c r="A2351">
        <v>12350</v>
      </c>
      <c r="B2351" s="2">
        <v>45029</v>
      </c>
      <c r="C2351" t="s">
        <v>13</v>
      </c>
      <c r="D2351" t="s">
        <v>15</v>
      </c>
      <c r="E2351" t="s">
        <v>20</v>
      </c>
      <c r="F2351">
        <v>18</v>
      </c>
      <c r="G2351">
        <v>34244</v>
      </c>
      <c r="H2351">
        <v>616392</v>
      </c>
      <c r="I2351">
        <f t="shared" si="36"/>
        <v>616392</v>
      </c>
    </row>
    <row r="2352" spans="1:9" x14ac:dyDescent="0.3">
      <c r="A2352">
        <v>12351</v>
      </c>
      <c r="B2352" s="2">
        <v>45154</v>
      </c>
      <c r="C2352" t="s">
        <v>11</v>
      </c>
      <c r="D2352" t="s">
        <v>18</v>
      </c>
      <c r="E2352" t="s">
        <v>24</v>
      </c>
      <c r="F2352">
        <v>19</v>
      </c>
      <c r="G2352">
        <v>37959</v>
      </c>
      <c r="H2352">
        <v>721221</v>
      </c>
      <c r="I2352">
        <f t="shared" si="36"/>
        <v>721221</v>
      </c>
    </row>
    <row r="2353" spans="1:9" x14ac:dyDescent="0.3">
      <c r="A2353">
        <v>12352</v>
      </c>
      <c r="B2353" s="2">
        <v>45084</v>
      </c>
      <c r="C2353" t="s">
        <v>8</v>
      </c>
      <c r="D2353" t="s">
        <v>15</v>
      </c>
      <c r="E2353" t="s">
        <v>21</v>
      </c>
      <c r="F2353">
        <v>2</v>
      </c>
      <c r="G2353">
        <v>34770</v>
      </c>
      <c r="H2353">
        <v>69540</v>
      </c>
      <c r="I2353">
        <f t="shared" si="36"/>
        <v>69540</v>
      </c>
    </row>
    <row r="2354" spans="1:9" x14ac:dyDescent="0.3">
      <c r="A2354">
        <v>12353</v>
      </c>
      <c r="B2354" s="2">
        <v>45222</v>
      </c>
      <c r="C2354" t="s">
        <v>11</v>
      </c>
      <c r="D2354" t="s">
        <v>17</v>
      </c>
      <c r="E2354" t="s">
        <v>23</v>
      </c>
      <c r="F2354">
        <v>10</v>
      </c>
      <c r="G2354">
        <v>41138</v>
      </c>
      <c r="H2354">
        <v>411380</v>
      </c>
      <c r="I2354">
        <f t="shared" si="36"/>
        <v>411380</v>
      </c>
    </row>
    <row r="2355" spans="1:9" x14ac:dyDescent="0.3">
      <c r="A2355">
        <v>12354</v>
      </c>
      <c r="B2355" s="2">
        <v>45152</v>
      </c>
      <c r="C2355" t="s">
        <v>8</v>
      </c>
      <c r="D2355" t="s">
        <v>17</v>
      </c>
      <c r="E2355" t="s">
        <v>19</v>
      </c>
      <c r="F2355">
        <v>20</v>
      </c>
      <c r="G2355">
        <v>21285</v>
      </c>
      <c r="H2355">
        <v>425700</v>
      </c>
      <c r="I2355">
        <f t="shared" si="36"/>
        <v>425700</v>
      </c>
    </row>
    <row r="2356" spans="1:9" x14ac:dyDescent="0.3">
      <c r="A2356">
        <v>12355</v>
      </c>
      <c r="B2356" s="2">
        <v>45081</v>
      </c>
      <c r="C2356" t="s">
        <v>8</v>
      </c>
      <c r="D2356" t="s">
        <v>17</v>
      </c>
      <c r="E2356" t="s">
        <v>19</v>
      </c>
      <c r="F2356">
        <v>4</v>
      </c>
      <c r="G2356">
        <v>5238</v>
      </c>
      <c r="H2356">
        <v>20952</v>
      </c>
      <c r="I2356">
        <f t="shared" si="36"/>
        <v>20952</v>
      </c>
    </row>
    <row r="2357" spans="1:9" x14ac:dyDescent="0.3">
      <c r="A2357">
        <v>12356</v>
      </c>
      <c r="B2357" s="2">
        <v>45107</v>
      </c>
      <c r="C2357" t="s">
        <v>11</v>
      </c>
      <c r="D2357" t="s">
        <v>17</v>
      </c>
      <c r="E2357" t="s">
        <v>19</v>
      </c>
      <c r="F2357">
        <v>14</v>
      </c>
      <c r="G2357">
        <v>58400</v>
      </c>
      <c r="H2357">
        <v>817600</v>
      </c>
      <c r="I2357">
        <f t="shared" si="36"/>
        <v>817600</v>
      </c>
    </row>
    <row r="2358" spans="1:9" x14ac:dyDescent="0.3">
      <c r="A2358">
        <v>12357</v>
      </c>
      <c r="B2358" s="2">
        <v>45015</v>
      </c>
      <c r="C2358" t="s">
        <v>8</v>
      </c>
      <c r="D2358" t="s">
        <v>15</v>
      </c>
      <c r="E2358" t="s">
        <v>24</v>
      </c>
      <c r="F2358">
        <v>14</v>
      </c>
      <c r="G2358">
        <v>39767</v>
      </c>
      <c r="H2358">
        <v>556738</v>
      </c>
      <c r="I2358">
        <f t="shared" si="36"/>
        <v>556738</v>
      </c>
    </row>
    <row r="2359" spans="1:9" x14ac:dyDescent="0.3">
      <c r="A2359">
        <v>12358</v>
      </c>
      <c r="B2359" s="2">
        <v>45202</v>
      </c>
      <c r="C2359" t="s">
        <v>12</v>
      </c>
      <c r="D2359" t="s">
        <v>17</v>
      </c>
      <c r="E2359" t="s">
        <v>24</v>
      </c>
      <c r="F2359">
        <v>16</v>
      </c>
      <c r="G2359">
        <v>29071</v>
      </c>
      <c r="H2359">
        <v>465136</v>
      </c>
      <c r="I2359">
        <f t="shared" si="36"/>
        <v>465136</v>
      </c>
    </row>
    <row r="2360" spans="1:9" x14ac:dyDescent="0.3">
      <c r="A2360">
        <v>12359</v>
      </c>
      <c r="B2360" s="2">
        <v>45108</v>
      </c>
      <c r="C2360" t="s">
        <v>14</v>
      </c>
      <c r="D2360" t="s">
        <v>16</v>
      </c>
      <c r="E2360" t="s">
        <v>20</v>
      </c>
      <c r="F2360">
        <v>18</v>
      </c>
      <c r="G2360">
        <v>17617</v>
      </c>
      <c r="H2360">
        <v>317106</v>
      </c>
      <c r="I2360">
        <f t="shared" si="36"/>
        <v>317106</v>
      </c>
    </row>
    <row r="2361" spans="1:9" x14ac:dyDescent="0.3">
      <c r="A2361">
        <v>12360</v>
      </c>
      <c r="B2361" s="2">
        <v>45086</v>
      </c>
      <c r="C2361" t="s">
        <v>11</v>
      </c>
      <c r="D2361" t="s">
        <v>18</v>
      </c>
      <c r="E2361" t="s">
        <v>24</v>
      </c>
      <c r="F2361">
        <v>7</v>
      </c>
      <c r="G2361">
        <v>49237</v>
      </c>
      <c r="H2361">
        <v>344659</v>
      </c>
      <c r="I2361">
        <f t="shared" si="36"/>
        <v>344659</v>
      </c>
    </row>
    <row r="2362" spans="1:9" x14ac:dyDescent="0.3">
      <c r="A2362">
        <v>12361</v>
      </c>
      <c r="B2362" s="2">
        <v>44950</v>
      </c>
      <c r="C2362" t="s">
        <v>8</v>
      </c>
      <c r="D2362" t="s">
        <v>16</v>
      </c>
      <c r="E2362" t="s">
        <v>21</v>
      </c>
      <c r="F2362">
        <v>12</v>
      </c>
      <c r="G2362">
        <v>19010</v>
      </c>
      <c r="H2362">
        <v>228120</v>
      </c>
      <c r="I2362">
        <f t="shared" si="36"/>
        <v>228120</v>
      </c>
    </row>
    <row r="2363" spans="1:9" x14ac:dyDescent="0.3">
      <c r="A2363">
        <v>12362</v>
      </c>
      <c r="B2363" s="2">
        <v>45064</v>
      </c>
      <c r="C2363" t="s">
        <v>11</v>
      </c>
      <c r="D2363" t="s">
        <v>16</v>
      </c>
      <c r="E2363" t="s">
        <v>20</v>
      </c>
      <c r="F2363">
        <v>2</v>
      </c>
      <c r="G2363">
        <v>12120</v>
      </c>
      <c r="H2363">
        <v>24240</v>
      </c>
      <c r="I2363">
        <f t="shared" si="36"/>
        <v>24240</v>
      </c>
    </row>
    <row r="2364" spans="1:9" x14ac:dyDescent="0.3">
      <c r="A2364">
        <v>12363</v>
      </c>
      <c r="B2364" s="2">
        <v>45092</v>
      </c>
      <c r="C2364" t="s">
        <v>9</v>
      </c>
      <c r="D2364" t="s">
        <v>18</v>
      </c>
      <c r="E2364" t="s">
        <v>23</v>
      </c>
      <c r="F2364">
        <v>10</v>
      </c>
      <c r="G2364">
        <v>17140</v>
      </c>
      <c r="H2364">
        <v>171400</v>
      </c>
      <c r="I2364">
        <f t="shared" si="36"/>
        <v>171400</v>
      </c>
    </row>
    <row r="2365" spans="1:9" x14ac:dyDescent="0.3">
      <c r="A2365">
        <v>12364</v>
      </c>
      <c r="B2365" s="2">
        <v>45216</v>
      </c>
      <c r="C2365" t="s">
        <v>9</v>
      </c>
      <c r="D2365" t="s">
        <v>15</v>
      </c>
      <c r="E2365" t="s">
        <v>20</v>
      </c>
      <c r="F2365">
        <v>13</v>
      </c>
      <c r="G2365">
        <v>24079</v>
      </c>
      <c r="H2365">
        <v>313027</v>
      </c>
      <c r="I2365">
        <f t="shared" si="36"/>
        <v>313027</v>
      </c>
    </row>
    <row r="2366" spans="1:9" x14ac:dyDescent="0.3">
      <c r="A2366">
        <v>12365</v>
      </c>
      <c r="B2366" s="2">
        <v>44994</v>
      </c>
      <c r="C2366" t="s">
        <v>10</v>
      </c>
      <c r="D2366" t="s">
        <v>17</v>
      </c>
      <c r="E2366" t="s">
        <v>22</v>
      </c>
      <c r="F2366">
        <v>15</v>
      </c>
      <c r="G2366">
        <v>57058</v>
      </c>
      <c r="H2366">
        <v>855870</v>
      </c>
      <c r="I2366">
        <f t="shared" si="36"/>
        <v>855870</v>
      </c>
    </row>
    <row r="2367" spans="1:9" x14ac:dyDescent="0.3">
      <c r="A2367">
        <v>12366</v>
      </c>
      <c r="B2367" s="2">
        <v>45156</v>
      </c>
      <c r="C2367" t="s">
        <v>10</v>
      </c>
      <c r="D2367" t="s">
        <v>17</v>
      </c>
      <c r="E2367" t="s">
        <v>22</v>
      </c>
      <c r="F2367">
        <v>6</v>
      </c>
      <c r="G2367">
        <v>54395</v>
      </c>
      <c r="H2367">
        <v>326370</v>
      </c>
      <c r="I2367">
        <f t="shared" si="36"/>
        <v>326370</v>
      </c>
    </row>
    <row r="2368" spans="1:9" x14ac:dyDescent="0.3">
      <c r="A2368">
        <v>12367</v>
      </c>
      <c r="B2368" s="2">
        <v>45234</v>
      </c>
      <c r="C2368" t="s">
        <v>9</v>
      </c>
      <c r="D2368" t="s">
        <v>15</v>
      </c>
      <c r="E2368" t="s">
        <v>24</v>
      </c>
      <c r="F2368">
        <v>17</v>
      </c>
      <c r="G2368">
        <v>51151</v>
      </c>
      <c r="H2368">
        <v>869567</v>
      </c>
      <c r="I2368">
        <f t="shared" si="36"/>
        <v>869567</v>
      </c>
    </row>
    <row r="2369" spans="1:9" x14ac:dyDescent="0.3">
      <c r="A2369">
        <v>12368</v>
      </c>
      <c r="B2369" s="2">
        <v>45055</v>
      </c>
      <c r="C2369" t="s">
        <v>9</v>
      </c>
      <c r="D2369" t="s">
        <v>15</v>
      </c>
      <c r="E2369" t="s">
        <v>23</v>
      </c>
      <c r="F2369">
        <v>5</v>
      </c>
      <c r="G2369">
        <v>16311</v>
      </c>
      <c r="H2369">
        <v>81555</v>
      </c>
      <c r="I2369">
        <f t="shared" si="36"/>
        <v>81555</v>
      </c>
    </row>
    <row r="2370" spans="1:9" x14ac:dyDescent="0.3">
      <c r="A2370">
        <v>12369</v>
      </c>
      <c r="B2370" s="2">
        <v>45250</v>
      </c>
      <c r="C2370" t="s">
        <v>14</v>
      </c>
      <c r="D2370" t="s">
        <v>15</v>
      </c>
      <c r="E2370" t="s">
        <v>24</v>
      </c>
      <c r="F2370">
        <v>9</v>
      </c>
      <c r="G2370">
        <v>36518</v>
      </c>
      <c r="H2370">
        <v>328662</v>
      </c>
      <c r="I2370">
        <f t="shared" si="36"/>
        <v>328662</v>
      </c>
    </row>
    <row r="2371" spans="1:9" x14ac:dyDescent="0.3">
      <c r="A2371">
        <v>12370</v>
      </c>
      <c r="B2371" s="2">
        <v>45194</v>
      </c>
      <c r="C2371" t="s">
        <v>8</v>
      </c>
      <c r="D2371" t="s">
        <v>18</v>
      </c>
      <c r="E2371" t="s">
        <v>22</v>
      </c>
      <c r="F2371">
        <v>17</v>
      </c>
      <c r="G2371">
        <v>38163</v>
      </c>
      <c r="H2371">
        <v>648771</v>
      </c>
      <c r="I2371">
        <f t="shared" ref="I2371:I2434" si="37">G2371*F2371</f>
        <v>648771</v>
      </c>
    </row>
    <row r="2372" spans="1:9" x14ac:dyDescent="0.3">
      <c r="A2372">
        <v>12371</v>
      </c>
      <c r="B2372" s="2">
        <v>45274</v>
      </c>
      <c r="C2372" t="s">
        <v>8</v>
      </c>
      <c r="D2372" t="s">
        <v>15</v>
      </c>
      <c r="E2372" t="s">
        <v>20</v>
      </c>
      <c r="F2372">
        <v>19</v>
      </c>
      <c r="G2372">
        <v>19927</v>
      </c>
      <c r="H2372">
        <v>378613</v>
      </c>
      <c r="I2372">
        <f t="shared" si="37"/>
        <v>378613</v>
      </c>
    </row>
    <row r="2373" spans="1:9" x14ac:dyDescent="0.3">
      <c r="A2373">
        <v>12372</v>
      </c>
      <c r="B2373" s="2">
        <v>45281</v>
      </c>
      <c r="C2373" t="s">
        <v>10</v>
      </c>
      <c r="D2373" t="s">
        <v>18</v>
      </c>
      <c r="E2373" t="s">
        <v>23</v>
      </c>
      <c r="F2373">
        <v>14</v>
      </c>
      <c r="G2373">
        <v>23314</v>
      </c>
      <c r="H2373">
        <v>326396</v>
      </c>
      <c r="I2373">
        <f t="shared" si="37"/>
        <v>326396</v>
      </c>
    </row>
    <row r="2374" spans="1:9" x14ac:dyDescent="0.3">
      <c r="A2374">
        <v>12373</v>
      </c>
      <c r="B2374" s="2">
        <v>45224</v>
      </c>
      <c r="C2374" t="s">
        <v>8</v>
      </c>
      <c r="D2374" t="s">
        <v>17</v>
      </c>
      <c r="E2374" t="s">
        <v>22</v>
      </c>
      <c r="F2374">
        <v>16</v>
      </c>
      <c r="G2374">
        <v>4287</v>
      </c>
      <c r="H2374">
        <v>68592</v>
      </c>
      <c r="I2374">
        <f t="shared" si="37"/>
        <v>68592</v>
      </c>
    </row>
    <row r="2375" spans="1:9" x14ac:dyDescent="0.3">
      <c r="A2375">
        <v>12374</v>
      </c>
      <c r="B2375" s="2">
        <v>45036</v>
      </c>
      <c r="C2375" t="s">
        <v>9</v>
      </c>
      <c r="D2375" t="s">
        <v>17</v>
      </c>
      <c r="E2375" t="s">
        <v>21</v>
      </c>
      <c r="F2375">
        <v>19</v>
      </c>
      <c r="G2375">
        <v>49717</v>
      </c>
      <c r="H2375">
        <v>944623</v>
      </c>
      <c r="I2375">
        <f t="shared" si="37"/>
        <v>944623</v>
      </c>
    </row>
    <row r="2376" spans="1:9" x14ac:dyDescent="0.3">
      <c r="A2376">
        <v>12375</v>
      </c>
      <c r="B2376" s="2">
        <v>45161</v>
      </c>
      <c r="C2376" t="s">
        <v>9</v>
      </c>
      <c r="D2376" t="s">
        <v>16</v>
      </c>
      <c r="E2376" t="s">
        <v>24</v>
      </c>
      <c r="F2376">
        <v>5</v>
      </c>
      <c r="G2376">
        <v>8885</v>
      </c>
      <c r="H2376">
        <v>44425</v>
      </c>
      <c r="I2376">
        <f t="shared" si="37"/>
        <v>44425</v>
      </c>
    </row>
    <row r="2377" spans="1:9" x14ac:dyDescent="0.3">
      <c r="A2377">
        <v>12376</v>
      </c>
      <c r="B2377" s="2">
        <v>45196</v>
      </c>
      <c r="C2377" t="s">
        <v>8</v>
      </c>
      <c r="D2377" t="s">
        <v>15</v>
      </c>
      <c r="E2377" t="s">
        <v>19</v>
      </c>
      <c r="F2377">
        <v>16</v>
      </c>
      <c r="G2377">
        <v>46742</v>
      </c>
      <c r="H2377">
        <v>747872</v>
      </c>
      <c r="I2377">
        <f t="shared" si="37"/>
        <v>747872</v>
      </c>
    </row>
    <row r="2378" spans="1:9" x14ac:dyDescent="0.3">
      <c r="A2378">
        <v>12377</v>
      </c>
      <c r="B2378" s="2">
        <v>45256</v>
      </c>
      <c r="C2378" t="s">
        <v>8</v>
      </c>
      <c r="D2378" t="s">
        <v>17</v>
      </c>
      <c r="E2378" t="s">
        <v>21</v>
      </c>
      <c r="F2378">
        <v>5</v>
      </c>
      <c r="G2378">
        <v>25109</v>
      </c>
      <c r="H2378">
        <v>125545</v>
      </c>
      <c r="I2378">
        <f t="shared" si="37"/>
        <v>125545</v>
      </c>
    </row>
    <row r="2379" spans="1:9" x14ac:dyDescent="0.3">
      <c r="A2379">
        <v>12378</v>
      </c>
      <c r="B2379" s="2">
        <v>45250</v>
      </c>
      <c r="C2379" t="s">
        <v>10</v>
      </c>
      <c r="D2379" t="s">
        <v>18</v>
      </c>
      <c r="E2379" t="s">
        <v>19</v>
      </c>
      <c r="F2379">
        <v>15</v>
      </c>
      <c r="G2379">
        <v>57324</v>
      </c>
      <c r="H2379">
        <v>859860</v>
      </c>
      <c r="I2379">
        <f t="shared" si="37"/>
        <v>859860</v>
      </c>
    </row>
    <row r="2380" spans="1:9" x14ac:dyDescent="0.3">
      <c r="A2380">
        <v>12379</v>
      </c>
      <c r="B2380" s="2">
        <v>45208</v>
      </c>
      <c r="C2380" t="s">
        <v>13</v>
      </c>
      <c r="D2380" t="s">
        <v>15</v>
      </c>
      <c r="E2380" t="s">
        <v>22</v>
      </c>
      <c r="F2380">
        <v>15</v>
      </c>
      <c r="G2380">
        <v>5659</v>
      </c>
      <c r="H2380">
        <v>84885</v>
      </c>
      <c r="I2380">
        <f t="shared" si="37"/>
        <v>84885</v>
      </c>
    </row>
    <row r="2381" spans="1:9" x14ac:dyDescent="0.3">
      <c r="A2381">
        <v>12380</v>
      </c>
      <c r="B2381" s="2">
        <v>45163</v>
      </c>
      <c r="C2381" t="s">
        <v>13</v>
      </c>
      <c r="D2381" t="s">
        <v>18</v>
      </c>
      <c r="E2381" t="s">
        <v>22</v>
      </c>
      <c r="F2381">
        <v>7</v>
      </c>
      <c r="G2381">
        <v>54635</v>
      </c>
      <c r="H2381">
        <v>382445</v>
      </c>
      <c r="I2381">
        <f t="shared" si="37"/>
        <v>382445</v>
      </c>
    </row>
    <row r="2382" spans="1:9" x14ac:dyDescent="0.3">
      <c r="A2382">
        <v>12381</v>
      </c>
      <c r="B2382" s="2">
        <v>45033</v>
      </c>
      <c r="C2382" t="s">
        <v>10</v>
      </c>
      <c r="D2382" t="s">
        <v>18</v>
      </c>
      <c r="E2382" t="s">
        <v>20</v>
      </c>
      <c r="F2382">
        <v>20</v>
      </c>
      <c r="G2382">
        <v>40343</v>
      </c>
      <c r="H2382">
        <v>806860</v>
      </c>
      <c r="I2382">
        <f t="shared" si="37"/>
        <v>806860</v>
      </c>
    </row>
    <row r="2383" spans="1:9" x14ac:dyDescent="0.3">
      <c r="A2383">
        <v>12382</v>
      </c>
      <c r="B2383" s="2">
        <v>45084</v>
      </c>
      <c r="C2383" t="s">
        <v>10</v>
      </c>
      <c r="D2383" t="s">
        <v>17</v>
      </c>
      <c r="E2383" t="s">
        <v>23</v>
      </c>
      <c r="F2383">
        <v>18</v>
      </c>
      <c r="G2383">
        <v>13596</v>
      </c>
      <c r="H2383">
        <v>244728</v>
      </c>
      <c r="I2383">
        <f t="shared" si="37"/>
        <v>244728</v>
      </c>
    </row>
    <row r="2384" spans="1:9" x14ac:dyDescent="0.3">
      <c r="A2384">
        <v>12383</v>
      </c>
      <c r="B2384" s="2">
        <v>45266</v>
      </c>
      <c r="C2384" t="s">
        <v>12</v>
      </c>
      <c r="D2384" t="s">
        <v>18</v>
      </c>
      <c r="E2384" t="s">
        <v>21</v>
      </c>
      <c r="F2384">
        <v>4</v>
      </c>
      <c r="G2384">
        <v>19668</v>
      </c>
      <c r="H2384">
        <v>78672</v>
      </c>
      <c r="I2384">
        <f t="shared" si="37"/>
        <v>78672</v>
      </c>
    </row>
    <row r="2385" spans="1:9" x14ac:dyDescent="0.3">
      <c r="A2385">
        <v>12384</v>
      </c>
      <c r="B2385" s="2">
        <v>45116</v>
      </c>
      <c r="C2385" t="s">
        <v>10</v>
      </c>
      <c r="D2385" t="s">
        <v>16</v>
      </c>
      <c r="E2385" t="s">
        <v>24</v>
      </c>
      <c r="F2385">
        <v>16</v>
      </c>
      <c r="G2385">
        <v>23768</v>
      </c>
      <c r="H2385">
        <v>380288</v>
      </c>
      <c r="I2385">
        <f t="shared" si="37"/>
        <v>380288</v>
      </c>
    </row>
    <row r="2386" spans="1:9" x14ac:dyDescent="0.3">
      <c r="A2386">
        <v>12385</v>
      </c>
      <c r="B2386" s="2">
        <v>44971</v>
      </c>
      <c r="C2386" t="s">
        <v>14</v>
      </c>
      <c r="D2386" t="s">
        <v>17</v>
      </c>
      <c r="E2386" t="s">
        <v>22</v>
      </c>
      <c r="F2386">
        <v>15</v>
      </c>
      <c r="G2386">
        <v>13922</v>
      </c>
      <c r="H2386">
        <v>208830</v>
      </c>
      <c r="I2386">
        <f t="shared" si="37"/>
        <v>208830</v>
      </c>
    </row>
    <row r="2387" spans="1:9" x14ac:dyDescent="0.3">
      <c r="A2387">
        <v>12386</v>
      </c>
      <c r="B2387" s="2">
        <v>45232</v>
      </c>
      <c r="C2387" t="s">
        <v>13</v>
      </c>
      <c r="D2387" t="s">
        <v>17</v>
      </c>
      <c r="E2387" t="s">
        <v>23</v>
      </c>
      <c r="F2387">
        <v>5</v>
      </c>
      <c r="G2387">
        <v>36393</v>
      </c>
      <c r="H2387">
        <v>181965</v>
      </c>
      <c r="I2387">
        <f t="shared" si="37"/>
        <v>181965</v>
      </c>
    </row>
    <row r="2388" spans="1:9" x14ac:dyDescent="0.3">
      <c r="A2388">
        <v>12387</v>
      </c>
      <c r="B2388" s="2">
        <v>45217</v>
      </c>
      <c r="C2388" t="s">
        <v>10</v>
      </c>
      <c r="D2388" t="s">
        <v>16</v>
      </c>
      <c r="E2388" t="s">
        <v>20</v>
      </c>
      <c r="F2388">
        <v>10</v>
      </c>
      <c r="G2388">
        <v>16244</v>
      </c>
      <c r="H2388">
        <v>162440</v>
      </c>
      <c r="I2388">
        <f t="shared" si="37"/>
        <v>162440</v>
      </c>
    </row>
    <row r="2389" spans="1:9" x14ac:dyDescent="0.3">
      <c r="A2389">
        <v>12388</v>
      </c>
      <c r="B2389" s="2">
        <v>45252</v>
      </c>
      <c r="C2389" t="s">
        <v>10</v>
      </c>
      <c r="D2389" t="s">
        <v>18</v>
      </c>
      <c r="E2389" t="s">
        <v>20</v>
      </c>
      <c r="F2389">
        <v>3</v>
      </c>
      <c r="G2389">
        <v>19654</v>
      </c>
      <c r="H2389">
        <v>58962</v>
      </c>
      <c r="I2389">
        <f t="shared" si="37"/>
        <v>58962</v>
      </c>
    </row>
    <row r="2390" spans="1:9" x14ac:dyDescent="0.3">
      <c r="A2390">
        <v>12389</v>
      </c>
      <c r="B2390" s="2">
        <v>45170</v>
      </c>
      <c r="C2390" t="s">
        <v>8</v>
      </c>
      <c r="D2390" t="s">
        <v>17</v>
      </c>
      <c r="E2390" t="s">
        <v>19</v>
      </c>
      <c r="F2390">
        <v>12</v>
      </c>
      <c r="G2390">
        <v>35804</v>
      </c>
      <c r="H2390">
        <v>429648</v>
      </c>
      <c r="I2390">
        <f t="shared" si="37"/>
        <v>429648</v>
      </c>
    </row>
    <row r="2391" spans="1:9" x14ac:dyDescent="0.3">
      <c r="A2391">
        <v>12390</v>
      </c>
      <c r="B2391" s="2">
        <v>45070</v>
      </c>
      <c r="C2391" t="s">
        <v>8</v>
      </c>
      <c r="D2391" t="s">
        <v>15</v>
      </c>
      <c r="E2391" t="s">
        <v>20</v>
      </c>
      <c r="F2391">
        <v>14</v>
      </c>
      <c r="G2391">
        <v>18026</v>
      </c>
      <c r="H2391">
        <v>252364</v>
      </c>
      <c r="I2391">
        <f t="shared" si="37"/>
        <v>252364</v>
      </c>
    </row>
    <row r="2392" spans="1:9" x14ac:dyDescent="0.3">
      <c r="A2392">
        <v>12391</v>
      </c>
      <c r="B2392" s="2">
        <v>45287</v>
      </c>
      <c r="C2392" t="s">
        <v>9</v>
      </c>
      <c r="D2392" t="s">
        <v>17</v>
      </c>
      <c r="E2392" t="s">
        <v>21</v>
      </c>
      <c r="F2392">
        <v>2</v>
      </c>
      <c r="G2392">
        <v>24983</v>
      </c>
      <c r="H2392">
        <v>49966</v>
      </c>
      <c r="I2392">
        <f t="shared" si="37"/>
        <v>49966</v>
      </c>
    </row>
    <row r="2393" spans="1:9" x14ac:dyDescent="0.3">
      <c r="A2393">
        <v>12392</v>
      </c>
      <c r="B2393" s="2">
        <v>44951</v>
      </c>
      <c r="C2393" t="s">
        <v>14</v>
      </c>
      <c r="D2393" t="s">
        <v>18</v>
      </c>
      <c r="E2393" t="s">
        <v>23</v>
      </c>
      <c r="F2393">
        <v>8</v>
      </c>
      <c r="G2393">
        <v>32348</v>
      </c>
      <c r="H2393">
        <v>258784</v>
      </c>
      <c r="I2393">
        <f t="shared" si="37"/>
        <v>258784</v>
      </c>
    </row>
    <row r="2394" spans="1:9" x14ac:dyDescent="0.3">
      <c r="A2394">
        <v>12393</v>
      </c>
      <c r="B2394" s="2">
        <v>45087</v>
      </c>
      <c r="C2394" t="s">
        <v>11</v>
      </c>
      <c r="D2394" t="s">
        <v>16</v>
      </c>
      <c r="E2394" t="s">
        <v>23</v>
      </c>
      <c r="F2394">
        <v>19</v>
      </c>
      <c r="G2394">
        <v>43776</v>
      </c>
      <c r="H2394">
        <v>831744</v>
      </c>
      <c r="I2394">
        <f t="shared" si="37"/>
        <v>831744</v>
      </c>
    </row>
    <row r="2395" spans="1:9" x14ac:dyDescent="0.3">
      <c r="A2395">
        <v>12394</v>
      </c>
      <c r="B2395" s="2">
        <v>45292</v>
      </c>
      <c r="C2395" t="s">
        <v>9</v>
      </c>
      <c r="D2395" t="s">
        <v>16</v>
      </c>
      <c r="E2395" t="s">
        <v>20</v>
      </c>
      <c r="F2395">
        <v>8</v>
      </c>
      <c r="G2395">
        <v>16221</v>
      </c>
      <c r="H2395">
        <v>129768</v>
      </c>
      <c r="I2395">
        <f t="shared" si="37"/>
        <v>129768</v>
      </c>
    </row>
    <row r="2396" spans="1:9" x14ac:dyDescent="0.3">
      <c r="A2396">
        <v>12395</v>
      </c>
      <c r="B2396" s="2">
        <v>44935</v>
      </c>
      <c r="C2396" t="s">
        <v>13</v>
      </c>
      <c r="D2396" t="s">
        <v>16</v>
      </c>
      <c r="E2396" t="s">
        <v>23</v>
      </c>
      <c r="F2396">
        <v>8</v>
      </c>
      <c r="G2396">
        <v>55462</v>
      </c>
      <c r="H2396">
        <v>443696</v>
      </c>
      <c r="I2396">
        <f t="shared" si="37"/>
        <v>443696</v>
      </c>
    </row>
    <row r="2397" spans="1:9" x14ac:dyDescent="0.3">
      <c r="A2397">
        <v>12396</v>
      </c>
      <c r="B2397" s="2">
        <v>45225</v>
      </c>
      <c r="C2397" t="s">
        <v>11</v>
      </c>
      <c r="D2397" t="s">
        <v>15</v>
      </c>
      <c r="E2397" t="s">
        <v>23</v>
      </c>
      <c r="F2397">
        <v>4</v>
      </c>
      <c r="G2397">
        <v>2165</v>
      </c>
      <c r="H2397">
        <v>8660</v>
      </c>
      <c r="I2397">
        <f t="shared" si="37"/>
        <v>8660</v>
      </c>
    </row>
    <row r="2398" spans="1:9" x14ac:dyDescent="0.3">
      <c r="A2398">
        <v>12397</v>
      </c>
      <c r="B2398" s="2">
        <v>45033</v>
      </c>
      <c r="C2398" t="s">
        <v>12</v>
      </c>
      <c r="D2398" t="s">
        <v>16</v>
      </c>
      <c r="E2398" t="s">
        <v>20</v>
      </c>
      <c r="F2398">
        <v>3</v>
      </c>
      <c r="G2398">
        <v>53158</v>
      </c>
      <c r="H2398">
        <v>159474</v>
      </c>
      <c r="I2398">
        <f t="shared" si="37"/>
        <v>159474</v>
      </c>
    </row>
    <row r="2399" spans="1:9" x14ac:dyDescent="0.3">
      <c r="A2399">
        <v>12398</v>
      </c>
      <c r="B2399" s="2">
        <v>45171</v>
      </c>
      <c r="C2399" t="s">
        <v>12</v>
      </c>
      <c r="D2399" t="s">
        <v>18</v>
      </c>
      <c r="E2399" t="s">
        <v>23</v>
      </c>
      <c r="F2399">
        <v>16</v>
      </c>
      <c r="G2399">
        <v>57347</v>
      </c>
      <c r="H2399">
        <v>917552</v>
      </c>
      <c r="I2399">
        <f t="shared" si="37"/>
        <v>917552</v>
      </c>
    </row>
    <row r="2400" spans="1:9" x14ac:dyDescent="0.3">
      <c r="A2400">
        <v>12399</v>
      </c>
      <c r="B2400" s="2">
        <v>45285</v>
      </c>
      <c r="C2400" t="s">
        <v>10</v>
      </c>
      <c r="D2400" t="s">
        <v>16</v>
      </c>
      <c r="E2400" t="s">
        <v>22</v>
      </c>
      <c r="F2400">
        <v>11</v>
      </c>
      <c r="G2400">
        <v>50095</v>
      </c>
      <c r="H2400">
        <v>551045</v>
      </c>
      <c r="I2400">
        <f t="shared" si="37"/>
        <v>551045</v>
      </c>
    </row>
    <row r="2401" spans="1:9" x14ac:dyDescent="0.3">
      <c r="A2401">
        <v>12400</v>
      </c>
      <c r="B2401" s="2">
        <v>44949</v>
      </c>
      <c r="C2401" t="s">
        <v>9</v>
      </c>
      <c r="D2401" t="s">
        <v>17</v>
      </c>
      <c r="E2401" t="s">
        <v>20</v>
      </c>
      <c r="F2401">
        <v>13</v>
      </c>
      <c r="G2401">
        <v>49689</v>
      </c>
      <c r="H2401">
        <v>645957</v>
      </c>
      <c r="I2401">
        <f t="shared" si="37"/>
        <v>645957</v>
      </c>
    </row>
    <row r="2402" spans="1:9" x14ac:dyDescent="0.3">
      <c r="A2402">
        <v>12401</v>
      </c>
      <c r="B2402" s="2">
        <v>45150</v>
      </c>
      <c r="C2402" t="s">
        <v>10</v>
      </c>
      <c r="D2402" t="s">
        <v>16</v>
      </c>
      <c r="E2402" t="s">
        <v>19</v>
      </c>
      <c r="F2402">
        <v>6</v>
      </c>
      <c r="G2402">
        <v>6047</v>
      </c>
      <c r="H2402">
        <v>36282</v>
      </c>
      <c r="I2402">
        <f t="shared" si="37"/>
        <v>36282</v>
      </c>
    </row>
    <row r="2403" spans="1:9" x14ac:dyDescent="0.3">
      <c r="A2403">
        <v>12402</v>
      </c>
      <c r="B2403" s="2">
        <v>45091</v>
      </c>
      <c r="C2403" t="s">
        <v>14</v>
      </c>
      <c r="D2403" t="s">
        <v>16</v>
      </c>
      <c r="E2403" t="s">
        <v>23</v>
      </c>
      <c r="F2403">
        <v>2</v>
      </c>
      <c r="G2403">
        <v>18635</v>
      </c>
      <c r="H2403">
        <v>37270</v>
      </c>
      <c r="I2403">
        <f t="shared" si="37"/>
        <v>37270</v>
      </c>
    </row>
    <row r="2404" spans="1:9" x14ac:dyDescent="0.3">
      <c r="A2404">
        <v>12403</v>
      </c>
      <c r="B2404" s="2">
        <v>45157</v>
      </c>
      <c r="C2404" t="s">
        <v>8</v>
      </c>
      <c r="D2404" t="s">
        <v>16</v>
      </c>
      <c r="E2404" t="s">
        <v>21</v>
      </c>
      <c r="F2404">
        <v>12</v>
      </c>
      <c r="G2404">
        <v>36117</v>
      </c>
      <c r="H2404">
        <v>433404</v>
      </c>
      <c r="I2404">
        <f t="shared" si="37"/>
        <v>433404</v>
      </c>
    </row>
    <row r="2405" spans="1:9" x14ac:dyDescent="0.3">
      <c r="A2405">
        <v>12404</v>
      </c>
      <c r="B2405" s="2">
        <v>44996</v>
      </c>
      <c r="C2405" t="s">
        <v>10</v>
      </c>
      <c r="D2405" t="s">
        <v>16</v>
      </c>
      <c r="E2405" t="s">
        <v>22</v>
      </c>
      <c r="F2405">
        <v>4</v>
      </c>
      <c r="G2405">
        <v>24488</v>
      </c>
      <c r="H2405">
        <v>97952</v>
      </c>
      <c r="I2405">
        <f t="shared" si="37"/>
        <v>97952</v>
      </c>
    </row>
    <row r="2406" spans="1:9" x14ac:dyDescent="0.3">
      <c r="A2406">
        <v>12405</v>
      </c>
      <c r="B2406" s="2">
        <v>45022</v>
      </c>
      <c r="C2406" t="s">
        <v>14</v>
      </c>
      <c r="D2406" t="s">
        <v>15</v>
      </c>
      <c r="E2406" t="s">
        <v>23</v>
      </c>
      <c r="F2406">
        <v>10</v>
      </c>
      <c r="G2406">
        <v>38975</v>
      </c>
      <c r="H2406">
        <v>389750</v>
      </c>
      <c r="I2406">
        <f t="shared" si="37"/>
        <v>389750</v>
      </c>
    </row>
    <row r="2407" spans="1:9" x14ac:dyDescent="0.3">
      <c r="A2407">
        <v>12406</v>
      </c>
      <c r="B2407" s="2">
        <v>45008</v>
      </c>
      <c r="C2407" t="s">
        <v>12</v>
      </c>
      <c r="D2407" t="s">
        <v>16</v>
      </c>
      <c r="E2407" t="s">
        <v>22</v>
      </c>
      <c r="F2407">
        <v>9</v>
      </c>
      <c r="G2407">
        <v>24887</v>
      </c>
      <c r="H2407">
        <v>223983</v>
      </c>
      <c r="I2407">
        <f t="shared" si="37"/>
        <v>223983</v>
      </c>
    </row>
    <row r="2408" spans="1:9" x14ac:dyDescent="0.3">
      <c r="A2408">
        <v>12407</v>
      </c>
      <c r="B2408" s="2">
        <v>45064</v>
      </c>
      <c r="C2408" t="s">
        <v>13</v>
      </c>
      <c r="D2408" t="s">
        <v>17</v>
      </c>
      <c r="E2408" t="s">
        <v>19</v>
      </c>
      <c r="F2408">
        <v>9</v>
      </c>
      <c r="G2408">
        <v>47439</v>
      </c>
      <c r="H2408">
        <v>426951</v>
      </c>
      <c r="I2408">
        <f t="shared" si="37"/>
        <v>426951</v>
      </c>
    </row>
    <row r="2409" spans="1:9" x14ac:dyDescent="0.3">
      <c r="A2409">
        <v>12408</v>
      </c>
      <c r="B2409" s="2">
        <v>45244</v>
      </c>
      <c r="C2409" t="s">
        <v>10</v>
      </c>
      <c r="D2409" t="s">
        <v>16</v>
      </c>
      <c r="E2409" t="s">
        <v>24</v>
      </c>
      <c r="F2409">
        <v>16</v>
      </c>
      <c r="G2409">
        <v>51975</v>
      </c>
      <c r="H2409">
        <v>831600</v>
      </c>
      <c r="I2409">
        <f t="shared" si="37"/>
        <v>831600</v>
      </c>
    </row>
    <row r="2410" spans="1:9" x14ac:dyDescent="0.3">
      <c r="A2410">
        <v>12409</v>
      </c>
      <c r="B2410" s="2">
        <v>44927</v>
      </c>
      <c r="C2410" t="s">
        <v>8</v>
      </c>
      <c r="D2410" t="s">
        <v>17</v>
      </c>
      <c r="E2410" t="s">
        <v>21</v>
      </c>
      <c r="F2410">
        <v>18</v>
      </c>
      <c r="G2410">
        <v>57659</v>
      </c>
      <c r="H2410">
        <v>1037862</v>
      </c>
      <c r="I2410">
        <f t="shared" si="37"/>
        <v>1037862</v>
      </c>
    </row>
    <row r="2411" spans="1:9" x14ac:dyDescent="0.3">
      <c r="A2411">
        <v>12410</v>
      </c>
      <c r="B2411" s="2">
        <v>45258</v>
      </c>
      <c r="C2411" t="s">
        <v>12</v>
      </c>
      <c r="D2411" t="s">
        <v>18</v>
      </c>
      <c r="E2411" t="s">
        <v>20</v>
      </c>
      <c r="F2411">
        <v>12</v>
      </c>
      <c r="G2411">
        <v>10483</v>
      </c>
      <c r="H2411">
        <v>125796</v>
      </c>
      <c r="I2411">
        <f t="shared" si="37"/>
        <v>125796</v>
      </c>
    </row>
    <row r="2412" spans="1:9" x14ac:dyDescent="0.3">
      <c r="A2412">
        <v>12411</v>
      </c>
      <c r="B2412" s="2">
        <v>45152</v>
      </c>
      <c r="C2412" t="s">
        <v>13</v>
      </c>
      <c r="D2412" t="s">
        <v>15</v>
      </c>
      <c r="E2412" t="s">
        <v>23</v>
      </c>
      <c r="F2412">
        <v>19</v>
      </c>
      <c r="G2412">
        <v>6944</v>
      </c>
      <c r="H2412">
        <v>131936</v>
      </c>
      <c r="I2412">
        <f t="shared" si="37"/>
        <v>131936</v>
      </c>
    </row>
    <row r="2413" spans="1:9" x14ac:dyDescent="0.3">
      <c r="A2413">
        <v>12412</v>
      </c>
      <c r="B2413" s="2">
        <v>45197</v>
      </c>
      <c r="C2413" t="s">
        <v>8</v>
      </c>
      <c r="D2413" t="s">
        <v>15</v>
      </c>
      <c r="E2413" t="s">
        <v>24</v>
      </c>
      <c r="F2413">
        <v>20</v>
      </c>
      <c r="G2413">
        <v>20318</v>
      </c>
      <c r="H2413">
        <v>406360</v>
      </c>
      <c r="I2413">
        <f t="shared" si="37"/>
        <v>406360</v>
      </c>
    </row>
    <row r="2414" spans="1:9" x14ac:dyDescent="0.3">
      <c r="A2414">
        <v>12413</v>
      </c>
      <c r="B2414" s="2">
        <v>45286</v>
      </c>
      <c r="C2414" t="s">
        <v>9</v>
      </c>
      <c r="D2414" t="s">
        <v>15</v>
      </c>
      <c r="E2414" t="s">
        <v>21</v>
      </c>
      <c r="F2414">
        <v>6</v>
      </c>
      <c r="G2414">
        <v>55351</v>
      </c>
      <c r="H2414">
        <v>332106</v>
      </c>
      <c r="I2414">
        <f t="shared" si="37"/>
        <v>332106</v>
      </c>
    </row>
    <row r="2415" spans="1:9" x14ac:dyDescent="0.3">
      <c r="A2415">
        <v>12414</v>
      </c>
      <c r="B2415" s="2">
        <v>45263</v>
      </c>
      <c r="C2415" t="s">
        <v>10</v>
      </c>
      <c r="D2415" t="s">
        <v>16</v>
      </c>
      <c r="E2415" t="s">
        <v>23</v>
      </c>
      <c r="F2415">
        <v>20</v>
      </c>
      <c r="G2415">
        <v>46147</v>
      </c>
      <c r="H2415">
        <v>922940</v>
      </c>
      <c r="I2415">
        <f t="shared" si="37"/>
        <v>922940</v>
      </c>
    </row>
    <row r="2416" spans="1:9" x14ac:dyDescent="0.3">
      <c r="A2416">
        <v>12415</v>
      </c>
      <c r="B2416" s="2">
        <v>45203</v>
      </c>
      <c r="C2416" t="s">
        <v>8</v>
      </c>
      <c r="D2416" t="s">
        <v>16</v>
      </c>
      <c r="E2416" t="s">
        <v>24</v>
      </c>
      <c r="F2416">
        <v>18</v>
      </c>
      <c r="G2416">
        <v>37351</v>
      </c>
      <c r="H2416">
        <v>672318</v>
      </c>
      <c r="I2416">
        <f t="shared" si="37"/>
        <v>672318</v>
      </c>
    </row>
    <row r="2417" spans="1:9" x14ac:dyDescent="0.3">
      <c r="A2417">
        <v>12416</v>
      </c>
      <c r="B2417" s="2">
        <v>45232</v>
      </c>
      <c r="C2417" t="s">
        <v>9</v>
      </c>
      <c r="D2417" t="s">
        <v>16</v>
      </c>
      <c r="E2417" t="s">
        <v>19</v>
      </c>
      <c r="F2417">
        <v>7</v>
      </c>
      <c r="G2417">
        <v>40653</v>
      </c>
      <c r="H2417">
        <v>284571</v>
      </c>
      <c r="I2417">
        <f t="shared" si="37"/>
        <v>284571</v>
      </c>
    </row>
    <row r="2418" spans="1:9" x14ac:dyDescent="0.3">
      <c r="A2418">
        <v>12417</v>
      </c>
      <c r="B2418" s="2">
        <v>45235</v>
      </c>
      <c r="C2418" t="s">
        <v>14</v>
      </c>
      <c r="D2418" t="s">
        <v>16</v>
      </c>
      <c r="E2418" t="s">
        <v>20</v>
      </c>
      <c r="F2418">
        <v>16</v>
      </c>
      <c r="G2418">
        <v>47397</v>
      </c>
      <c r="H2418">
        <v>758352</v>
      </c>
      <c r="I2418">
        <f t="shared" si="37"/>
        <v>758352</v>
      </c>
    </row>
    <row r="2419" spans="1:9" x14ac:dyDescent="0.3">
      <c r="A2419">
        <v>12418</v>
      </c>
      <c r="B2419" s="2">
        <v>45063</v>
      </c>
      <c r="C2419" t="s">
        <v>9</v>
      </c>
      <c r="D2419" t="s">
        <v>16</v>
      </c>
      <c r="E2419" t="s">
        <v>21</v>
      </c>
      <c r="F2419">
        <v>3</v>
      </c>
      <c r="G2419">
        <v>834</v>
      </c>
      <c r="H2419">
        <v>2502</v>
      </c>
      <c r="I2419">
        <f t="shared" si="37"/>
        <v>2502</v>
      </c>
    </row>
    <row r="2420" spans="1:9" x14ac:dyDescent="0.3">
      <c r="A2420">
        <v>12419</v>
      </c>
      <c r="B2420" s="2">
        <v>45011</v>
      </c>
      <c r="C2420" t="s">
        <v>14</v>
      </c>
      <c r="D2420" t="s">
        <v>15</v>
      </c>
      <c r="E2420" t="s">
        <v>24</v>
      </c>
      <c r="F2420">
        <v>19</v>
      </c>
      <c r="G2420">
        <v>1836</v>
      </c>
      <c r="H2420">
        <v>34884</v>
      </c>
      <c r="I2420">
        <f t="shared" si="37"/>
        <v>34884</v>
      </c>
    </row>
    <row r="2421" spans="1:9" x14ac:dyDescent="0.3">
      <c r="A2421">
        <v>12420</v>
      </c>
      <c r="B2421" s="2">
        <v>45240</v>
      </c>
      <c r="C2421" t="s">
        <v>8</v>
      </c>
      <c r="D2421" t="s">
        <v>18</v>
      </c>
      <c r="E2421" t="s">
        <v>20</v>
      </c>
      <c r="F2421">
        <v>12</v>
      </c>
      <c r="G2421">
        <v>25901</v>
      </c>
      <c r="H2421">
        <v>310812</v>
      </c>
      <c r="I2421">
        <f t="shared" si="37"/>
        <v>310812</v>
      </c>
    </row>
    <row r="2422" spans="1:9" x14ac:dyDescent="0.3">
      <c r="A2422">
        <v>12421</v>
      </c>
      <c r="B2422" s="2">
        <v>45027</v>
      </c>
      <c r="C2422" t="s">
        <v>13</v>
      </c>
      <c r="D2422" t="s">
        <v>15</v>
      </c>
      <c r="E2422" t="s">
        <v>19</v>
      </c>
      <c r="F2422">
        <v>14</v>
      </c>
      <c r="G2422">
        <v>9836</v>
      </c>
      <c r="H2422">
        <v>137704</v>
      </c>
      <c r="I2422">
        <f t="shared" si="37"/>
        <v>137704</v>
      </c>
    </row>
    <row r="2423" spans="1:9" x14ac:dyDescent="0.3">
      <c r="A2423">
        <v>12422</v>
      </c>
      <c r="B2423" s="2">
        <v>45148</v>
      </c>
      <c r="C2423" t="s">
        <v>9</v>
      </c>
      <c r="D2423" t="s">
        <v>17</v>
      </c>
      <c r="E2423" t="s">
        <v>20</v>
      </c>
      <c r="F2423">
        <v>12</v>
      </c>
      <c r="G2423">
        <v>909</v>
      </c>
      <c r="H2423">
        <v>10908</v>
      </c>
      <c r="I2423">
        <f t="shared" si="37"/>
        <v>10908</v>
      </c>
    </row>
    <row r="2424" spans="1:9" x14ac:dyDescent="0.3">
      <c r="A2424">
        <v>12423</v>
      </c>
      <c r="B2424" s="2">
        <v>45132</v>
      </c>
      <c r="C2424" t="s">
        <v>8</v>
      </c>
      <c r="D2424" t="s">
        <v>16</v>
      </c>
      <c r="E2424" t="s">
        <v>22</v>
      </c>
      <c r="F2424">
        <v>20</v>
      </c>
      <c r="G2424">
        <v>55292</v>
      </c>
      <c r="H2424">
        <v>1105840</v>
      </c>
      <c r="I2424">
        <f t="shared" si="37"/>
        <v>1105840</v>
      </c>
    </row>
    <row r="2425" spans="1:9" x14ac:dyDescent="0.3">
      <c r="A2425">
        <v>12424</v>
      </c>
      <c r="B2425" s="2">
        <v>44975</v>
      </c>
      <c r="C2425" t="s">
        <v>12</v>
      </c>
      <c r="D2425" t="s">
        <v>15</v>
      </c>
      <c r="E2425" t="s">
        <v>23</v>
      </c>
      <c r="F2425">
        <v>5</v>
      </c>
      <c r="G2425">
        <v>31991</v>
      </c>
      <c r="H2425">
        <v>159955</v>
      </c>
      <c r="I2425">
        <f t="shared" si="37"/>
        <v>159955</v>
      </c>
    </row>
    <row r="2426" spans="1:9" x14ac:dyDescent="0.3">
      <c r="A2426">
        <v>12425</v>
      </c>
      <c r="B2426" s="2">
        <v>44960</v>
      </c>
      <c r="C2426" t="s">
        <v>9</v>
      </c>
      <c r="D2426" t="s">
        <v>18</v>
      </c>
      <c r="E2426" t="s">
        <v>23</v>
      </c>
      <c r="F2426">
        <v>20</v>
      </c>
      <c r="G2426">
        <v>58098</v>
      </c>
      <c r="H2426">
        <v>1161960</v>
      </c>
      <c r="I2426">
        <f t="shared" si="37"/>
        <v>1161960</v>
      </c>
    </row>
    <row r="2427" spans="1:9" x14ac:dyDescent="0.3">
      <c r="A2427">
        <v>12426</v>
      </c>
      <c r="B2427" s="2">
        <v>45011</v>
      </c>
      <c r="C2427" t="s">
        <v>8</v>
      </c>
      <c r="D2427" t="s">
        <v>16</v>
      </c>
      <c r="E2427" t="s">
        <v>22</v>
      </c>
      <c r="F2427">
        <v>14</v>
      </c>
      <c r="G2427">
        <v>18121</v>
      </c>
      <c r="H2427">
        <v>253694</v>
      </c>
      <c r="I2427">
        <f t="shared" si="37"/>
        <v>253694</v>
      </c>
    </row>
    <row r="2428" spans="1:9" x14ac:dyDescent="0.3">
      <c r="A2428">
        <v>12427</v>
      </c>
      <c r="B2428" s="2">
        <v>45040</v>
      </c>
      <c r="C2428" t="s">
        <v>12</v>
      </c>
      <c r="D2428" t="s">
        <v>17</v>
      </c>
      <c r="E2428" t="s">
        <v>24</v>
      </c>
      <c r="F2428">
        <v>11</v>
      </c>
      <c r="G2428">
        <v>51660</v>
      </c>
      <c r="H2428">
        <v>568260</v>
      </c>
      <c r="I2428">
        <f t="shared" si="37"/>
        <v>568260</v>
      </c>
    </row>
    <row r="2429" spans="1:9" x14ac:dyDescent="0.3">
      <c r="A2429">
        <v>12428</v>
      </c>
      <c r="B2429" s="2">
        <v>45194</v>
      </c>
      <c r="C2429" t="s">
        <v>13</v>
      </c>
      <c r="D2429" t="s">
        <v>17</v>
      </c>
      <c r="E2429" t="s">
        <v>22</v>
      </c>
      <c r="F2429">
        <v>4</v>
      </c>
      <c r="G2429">
        <v>48104</v>
      </c>
      <c r="H2429">
        <v>192416</v>
      </c>
      <c r="I2429">
        <f t="shared" si="37"/>
        <v>192416</v>
      </c>
    </row>
    <row r="2430" spans="1:9" x14ac:dyDescent="0.3">
      <c r="A2430">
        <v>12429</v>
      </c>
      <c r="B2430" s="2">
        <v>45087</v>
      </c>
      <c r="C2430" t="s">
        <v>9</v>
      </c>
      <c r="D2430" t="s">
        <v>15</v>
      </c>
      <c r="E2430" t="s">
        <v>20</v>
      </c>
      <c r="F2430">
        <v>2</v>
      </c>
      <c r="G2430">
        <v>50884</v>
      </c>
      <c r="H2430">
        <v>101768</v>
      </c>
      <c r="I2430">
        <f t="shared" si="37"/>
        <v>101768</v>
      </c>
    </row>
    <row r="2431" spans="1:9" x14ac:dyDescent="0.3">
      <c r="A2431">
        <v>12430</v>
      </c>
      <c r="B2431" s="2">
        <v>45097</v>
      </c>
      <c r="C2431" t="s">
        <v>13</v>
      </c>
      <c r="D2431" t="s">
        <v>17</v>
      </c>
      <c r="E2431" t="s">
        <v>19</v>
      </c>
      <c r="F2431">
        <v>4</v>
      </c>
      <c r="G2431">
        <v>34601</v>
      </c>
      <c r="H2431">
        <v>138404</v>
      </c>
      <c r="I2431">
        <f t="shared" si="37"/>
        <v>138404</v>
      </c>
    </row>
    <row r="2432" spans="1:9" x14ac:dyDescent="0.3">
      <c r="A2432">
        <v>12431</v>
      </c>
      <c r="B2432" s="2">
        <v>45143</v>
      </c>
      <c r="C2432" t="s">
        <v>12</v>
      </c>
      <c r="D2432" t="s">
        <v>16</v>
      </c>
      <c r="E2432" t="s">
        <v>23</v>
      </c>
      <c r="F2432">
        <v>18</v>
      </c>
      <c r="G2432">
        <v>48122</v>
      </c>
      <c r="H2432">
        <v>866196</v>
      </c>
      <c r="I2432">
        <f t="shared" si="37"/>
        <v>866196</v>
      </c>
    </row>
    <row r="2433" spans="1:9" x14ac:dyDescent="0.3">
      <c r="A2433">
        <v>12432</v>
      </c>
      <c r="B2433" s="2">
        <v>44999</v>
      </c>
      <c r="C2433" t="s">
        <v>11</v>
      </c>
      <c r="D2433" t="s">
        <v>15</v>
      </c>
      <c r="E2433" t="s">
        <v>22</v>
      </c>
      <c r="F2433">
        <v>10</v>
      </c>
      <c r="G2433">
        <v>25788</v>
      </c>
      <c r="H2433">
        <v>257880</v>
      </c>
      <c r="I2433">
        <f t="shared" si="37"/>
        <v>257880</v>
      </c>
    </row>
    <row r="2434" spans="1:9" x14ac:dyDescent="0.3">
      <c r="A2434">
        <v>12433</v>
      </c>
      <c r="B2434" s="2">
        <v>44978</v>
      </c>
      <c r="C2434" t="s">
        <v>9</v>
      </c>
      <c r="D2434" t="s">
        <v>17</v>
      </c>
      <c r="E2434" t="s">
        <v>22</v>
      </c>
      <c r="F2434">
        <v>16</v>
      </c>
      <c r="G2434">
        <v>2490</v>
      </c>
      <c r="H2434">
        <v>39840</v>
      </c>
      <c r="I2434">
        <f t="shared" si="37"/>
        <v>39840</v>
      </c>
    </row>
    <row r="2435" spans="1:9" x14ac:dyDescent="0.3">
      <c r="A2435">
        <v>12434</v>
      </c>
      <c r="B2435" s="2">
        <v>45270</v>
      </c>
      <c r="C2435" t="s">
        <v>8</v>
      </c>
      <c r="D2435" t="s">
        <v>18</v>
      </c>
      <c r="E2435" t="s">
        <v>19</v>
      </c>
      <c r="F2435">
        <v>1</v>
      </c>
      <c r="G2435">
        <v>44045</v>
      </c>
      <c r="H2435">
        <v>44045</v>
      </c>
      <c r="I2435">
        <f t="shared" ref="I2435:I2498" si="38">G2435*F2435</f>
        <v>44045</v>
      </c>
    </row>
    <row r="2436" spans="1:9" x14ac:dyDescent="0.3">
      <c r="A2436">
        <v>12435</v>
      </c>
      <c r="B2436" s="2">
        <v>44981</v>
      </c>
      <c r="C2436" t="s">
        <v>11</v>
      </c>
      <c r="D2436" t="s">
        <v>17</v>
      </c>
      <c r="E2436" t="s">
        <v>19</v>
      </c>
      <c r="F2436">
        <v>17</v>
      </c>
      <c r="G2436">
        <v>51273</v>
      </c>
      <c r="H2436">
        <v>871641</v>
      </c>
      <c r="I2436">
        <f t="shared" si="38"/>
        <v>871641</v>
      </c>
    </row>
    <row r="2437" spans="1:9" x14ac:dyDescent="0.3">
      <c r="A2437">
        <v>12436</v>
      </c>
      <c r="B2437" s="2">
        <v>45117</v>
      </c>
      <c r="C2437" t="s">
        <v>13</v>
      </c>
      <c r="D2437" t="s">
        <v>15</v>
      </c>
      <c r="E2437" t="s">
        <v>22</v>
      </c>
      <c r="F2437">
        <v>16</v>
      </c>
      <c r="G2437">
        <v>46203</v>
      </c>
      <c r="H2437">
        <v>739248</v>
      </c>
      <c r="I2437">
        <f t="shared" si="38"/>
        <v>739248</v>
      </c>
    </row>
    <row r="2438" spans="1:9" x14ac:dyDescent="0.3">
      <c r="A2438">
        <v>12437</v>
      </c>
      <c r="B2438" s="2">
        <v>45082</v>
      </c>
      <c r="C2438" t="s">
        <v>14</v>
      </c>
      <c r="D2438" t="s">
        <v>16</v>
      </c>
      <c r="E2438" t="s">
        <v>22</v>
      </c>
      <c r="F2438">
        <v>5</v>
      </c>
      <c r="G2438">
        <v>41779</v>
      </c>
      <c r="H2438">
        <v>208895</v>
      </c>
      <c r="I2438">
        <f t="shared" si="38"/>
        <v>208895</v>
      </c>
    </row>
    <row r="2439" spans="1:9" x14ac:dyDescent="0.3">
      <c r="A2439">
        <v>12438</v>
      </c>
      <c r="B2439" s="2">
        <v>45127</v>
      </c>
      <c r="C2439" t="s">
        <v>12</v>
      </c>
      <c r="D2439" t="s">
        <v>15</v>
      </c>
      <c r="E2439" t="s">
        <v>24</v>
      </c>
      <c r="F2439">
        <v>12</v>
      </c>
      <c r="G2439">
        <v>44736</v>
      </c>
      <c r="H2439">
        <v>536832</v>
      </c>
      <c r="I2439">
        <f t="shared" si="38"/>
        <v>536832</v>
      </c>
    </row>
    <row r="2440" spans="1:9" x14ac:dyDescent="0.3">
      <c r="A2440">
        <v>12439</v>
      </c>
      <c r="B2440" s="2">
        <v>45061</v>
      </c>
      <c r="C2440" t="s">
        <v>10</v>
      </c>
      <c r="D2440" t="s">
        <v>16</v>
      </c>
      <c r="E2440" t="s">
        <v>19</v>
      </c>
      <c r="F2440">
        <v>11</v>
      </c>
      <c r="G2440">
        <v>22791</v>
      </c>
      <c r="H2440">
        <v>250701</v>
      </c>
      <c r="I2440">
        <f t="shared" si="38"/>
        <v>250701</v>
      </c>
    </row>
    <row r="2441" spans="1:9" x14ac:dyDescent="0.3">
      <c r="A2441">
        <v>12440</v>
      </c>
      <c r="B2441" s="2">
        <v>45109</v>
      </c>
      <c r="C2441" t="s">
        <v>12</v>
      </c>
      <c r="D2441" t="s">
        <v>17</v>
      </c>
      <c r="E2441" t="s">
        <v>21</v>
      </c>
      <c r="F2441">
        <v>15</v>
      </c>
      <c r="G2441">
        <v>20916</v>
      </c>
      <c r="H2441">
        <v>313740</v>
      </c>
      <c r="I2441">
        <f t="shared" si="38"/>
        <v>313740</v>
      </c>
    </row>
    <row r="2442" spans="1:9" x14ac:dyDescent="0.3">
      <c r="A2442">
        <v>12441</v>
      </c>
      <c r="B2442" s="2">
        <v>44956</v>
      </c>
      <c r="C2442" t="s">
        <v>13</v>
      </c>
      <c r="D2442" t="s">
        <v>18</v>
      </c>
      <c r="E2442" t="s">
        <v>19</v>
      </c>
      <c r="F2442">
        <v>17</v>
      </c>
      <c r="G2442">
        <v>31091</v>
      </c>
      <c r="H2442">
        <v>528547</v>
      </c>
      <c r="I2442">
        <f t="shared" si="38"/>
        <v>528547</v>
      </c>
    </row>
    <row r="2443" spans="1:9" x14ac:dyDescent="0.3">
      <c r="A2443">
        <v>12442</v>
      </c>
      <c r="B2443" s="2">
        <v>45034</v>
      </c>
      <c r="C2443" t="s">
        <v>13</v>
      </c>
      <c r="D2443" t="s">
        <v>17</v>
      </c>
      <c r="E2443" t="s">
        <v>22</v>
      </c>
      <c r="F2443">
        <v>3</v>
      </c>
      <c r="G2443">
        <v>42330</v>
      </c>
      <c r="H2443">
        <v>126990</v>
      </c>
      <c r="I2443">
        <f t="shared" si="38"/>
        <v>126990</v>
      </c>
    </row>
    <row r="2444" spans="1:9" x14ac:dyDescent="0.3">
      <c r="A2444">
        <v>12443</v>
      </c>
      <c r="B2444" s="2">
        <v>44953</v>
      </c>
      <c r="C2444" t="s">
        <v>10</v>
      </c>
      <c r="D2444" t="s">
        <v>18</v>
      </c>
      <c r="E2444" t="s">
        <v>20</v>
      </c>
      <c r="F2444">
        <v>16</v>
      </c>
      <c r="G2444">
        <v>37873</v>
      </c>
      <c r="H2444">
        <v>605968</v>
      </c>
      <c r="I2444">
        <f t="shared" si="38"/>
        <v>605968</v>
      </c>
    </row>
    <row r="2445" spans="1:9" x14ac:dyDescent="0.3">
      <c r="A2445">
        <v>12444</v>
      </c>
      <c r="B2445" s="2">
        <v>45273</v>
      </c>
      <c r="C2445" t="s">
        <v>9</v>
      </c>
      <c r="D2445" t="s">
        <v>18</v>
      </c>
      <c r="E2445" t="s">
        <v>20</v>
      </c>
      <c r="F2445">
        <v>1</v>
      </c>
      <c r="G2445">
        <v>10178</v>
      </c>
      <c r="H2445">
        <v>10178</v>
      </c>
      <c r="I2445">
        <f t="shared" si="38"/>
        <v>10178</v>
      </c>
    </row>
    <row r="2446" spans="1:9" x14ac:dyDescent="0.3">
      <c r="A2446">
        <v>12445</v>
      </c>
      <c r="B2446" s="2">
        <v>45038</v>
      </c>
      <c r="C2446" t="s">
        <v>13</v>
      </c>
      <c r="D2446" t="s">
        <v>18</v>
      </c>
      <c r="E2446" t="s">
        <v>24</v>
      </c>
      <c r="F2446">
        <v>3</v>
      </c>
      <c r="G2446">
        <v>33263</v>
      </c>
      <c r="H2446">
        <v>99789</v>
      </c>
      <c r="I2446">
        <f t="shared" si="38"/>
        <v>99789</v>
      </c>
    </row>
    <row r="2447" spans="1:9" x14ac:dyDescent="0.3">
      <c r="A2447">
        <v>12446</v>
      </c>
      <c r="B2447" s="2">
        <v>45193</v>
      </c>
      <c r="C2447" t="s">
        <v>9</v>
      </c>
      <c r="D2447" t="s">
        <v>16</v>
      </c>
      <c r="E2447" t="s">
        <v>19</v>
      </c>
      <c r="F2447">
        <v>9</v>
      </c>
      <c r="G2447">
        <v>52471</v>
      </c>
      <c r="H2447">
        <v>472239</v>
      </c>
      <c r="I2447">
        <f t="shared" si="38"/>
        <v>472239</v>
      </c>
    </row>
    <row r="2448" spans="1:9" x14ac:dyDescent="0.3">
      <c r="A2448">
        <v>12447</v>
      </c>
      <c r="B2448" s="2">
        <v>45241</v>
      </c>
      <c r="C2448" t="s">
        <v>12</v>
      </c>
      <c r="D2448" t="s">
        <v>17</v>
      </c>
      <c r="E2448" t="s">
        <v>21</v>
      </c>
      <c r="F2448">
        <v>11</v>
      </c>
      <c r="G2448">
        <v>53357</v>
      </c>
      <c r="H2448">
        <v>586927</v>
      </c>
      <c r="I2448">
        <f t="shared" si="38"/>
        <v>586927</v>
      </c>
    </row>
    <row r="2449" spans="1:9" x14ac:dyDescent="0.3">
      <c r="A2449">
        <v>12448</v>
      </c>
      <c r="B2449" s="2">
        <v>45044</v>
      </c>
      <c r="C2449" t="s">
        <v>8</v>
      </c>
      <c r="D2449" t="s">
        <v>15</v>
      </c>
      <c r="E2449" t="s">
        <v>19</v>
      </c>
      <c r="F2449">
        <v>18</v>
      </c>
      <c r="G2449">
        <v>37675</v>
      </c>
      <c r="H2449">
        <v>678150</v>
      </c>
      <c r="I2449">
        <f t="shared" si="38"/>
        <v>678150</v>
      </c>
    </row>
    <row r="2450" spans="1:9" x14ac:dyDescent="0.3">
      <c r="A2450">
        <v>12449</v>
      </c>
      <c r="B2450" s="2">
        <v>45236</v>
      </c>
      <c r="C2450" t="s">
        <v>11</v>
      </c>
      <c r="D2450" t="s">
        <v>18</v>
      </c>
      <c r="E2450" t="s">
        <v>20</v>
      </c>
      <c r="F2450">
        <v>6</v>
      </c>
      <c r="G2450">
        <v>48128</v>
      </c>
      <c r="H2450">
        <v>288768</v>
      </c>
      <c r="I2450">
        <f t="shared" si="38"/>
        <v>288768</v>
      </c>
    </row>
    <row r="2451" spans="1:9" x14ac:dyDescent="0.3">
      <c r="A2451">
        <v>12450</v>
      </c>
      <c r="B2451" s="2">
        <v>45063</v>
      </c>
      <c r="C2451" t="s">
        <v>14</v>
      </c>
      <c r="D2451" t="s">
        <v>16</v>
      </c>
      <c r="E2451" t="s">
        <v>21</v>
      </c>
      <c r="F2451">
        <v>11</v>
      </c>
      <c r="G2451">
        <v>14838</v>
      </c>
      <c r="H2451">
        <v>163218</v>
      </c>
      <c r="I2451">
        <f t="shared" si="38"/>
        <v>163218</v>
      </c>
    </row>
    <row r="2452" spans="1:9" x14ac:dyDescent="0.3">
      <c r="A2452">
        <v>12451</v>
      </c>
      <c r="B2452" s="2">
        <v>45067</v>
      </c>
      <c r="C2452" t="s">
        <v>11</v>
      </c>
      <c r="D2452" t="s">
        <v>15</v>
      </c>
      <c r="E2452" t="s">
        <v>21</v>
      </c>
      <c r="F2452">
        <v>6</v>
      </c>
      <c r="G2452">
        <v>54085</v>
      </c>
      <c r="H2452">
        <v>324510</v>
      </c>
      <c r="I2452">
        <f t="shared" si="38"/>
        <v>324510</v>
      </c>
    </row>
    <row r="2453" spans="1:9" x14ac:dyDescent="0.3">
      <c r="A2453">
        <v>12452</v>
      </c>
      <c r="B2453" s="2">
        <v>45269</v>
      </c>
      <c r="C2453" t="s">
        <v>12</v>
      </c>
      <c r="D2453" t="s">
        <v>17</v>
      </c>
      <c r="E2453" t="s">
        <v>20</v>
      </c>
      <c r="F2453">
        <v>15</v>
      </c>
      <c r="G2453">
        <v>7273</v>
      </c>
      <c r="H2453">
        <v>109095</v>
      </c>
      <c r="I2453">
        <f t="shared" si="38"/>
        <v>109095</v>
      </c>
    </row>
    <row r="2454" spans="1:9" x14ac:dyDescent="0.3">
      <c r="A2454">
        <v>12453</v>
      </c>
      <c r="B2454" s="2">
        <v>45042</v>
      </c>
      <c r="C2454" t="s">
        <v>9</v>
      </c>
      <c r="D2454" t="s">
        <v>18</v>
      </c>
      <c r="E2454" t="s">
        <v>23</v>
      </c>
      <c r="F2454">
        <v>10</v>
      </c>
      <c r="G2454">
        <v>10053</v>
      </c>
      <c r="H2454">
        <v>100530</v>
      </c>
      <c r="I2454">
        <f t="shared" si="38"/>
        <v>100530</v>
      </c>
    </row>
    <row r="2455" spans="1:9" x14ac:dyDescent="0.3">
      <c r="A2455">
        <v>12454</v>
      </c>
      <c r="B2455" s="2">
        <v>45038</v>
      </c>
      <c r="C2455" t="s">
        <v>11</v>
      </c>
      <c r="D2455" t="s">
        <v>15</v>
      </c>
      <c r="E2455" t="s">
        <v>19</v>
      </c>
      <c r="F2455">
        <v>6</v>
      </c>
      <c r="G2455">
        <v>41354</v>
      </c>
      <c r="H2455">
        <v>248124</v>
      </c>
      <c r="I2455">
        <f t="shared" si="38"/>
        <v>248124</v>
      </c>
    </row>
    <row r="2456" spans="1:9" x14ac:dyDescent="0.3">
      <c r="A2456">
        <v>12455</v>
      </c>
      <c r="B2456" s="2">
        <v>45010</v>
      </c>
      <c r="C2456" t="s">
        <v>12</v>
      </c>
      <c r="D2456" t="s">
        <v>18</v>
      </c>
      <c r="E2456" t="s">
        <v>22</v>
      </c>
      <c r="F2456">
        <v>9</v>
      </c>
      <c r="G2456">
        <v>31766</v>
      </c>
      <c r="H2456">
        <v>285894</v>
      </c>
      <c r="I2456">
        <f t="shared" si="38"/>
        <v>285894</v>
      </c>
    </row>
    <row r="2457" spans="1:9" x14ac:dyDescent="0.3">
      <c r="A2457">
        <v>12456</v>
      </c>
      <c r="B2457" s="2">
        <v>44943</v>
      </c>
      <c r="C2457" t="s">
        <v>12</v>
      </c>
      <c r="D2457" t="s">
        <v>16</v>
      </c>
      <c r="E2457" t="s">
        <v>23</v>
      </c>
      <c r="F2457">
        <v>7</v>
      </c>
      <c r="G2457">
        <v>57231</v>
      </c>
      <c r="H2457">
        <v>400617</v>
      </c>
      <c r="I2457">
        <f t="shared" si="38"/>
        <v>400617</v>
      </c>
    </row>
    <row r="2458" spans="1:9" x14ac:dyDescent="0.3">
      <c r="A2458">
        <v>12457</v>
      </c>
      <c r="B2458" s="2">
        <v>45201</v>
      </c>
      <c r="C2458" t="s">
        <v>14</v>
      </c>
      <c r="D2458" t="s">
        <v>15</v>
      </c>
      <c r="E2458" t="s">
        <v>24</v>
      </c>
      <c r="F2458">
        <v>20</v>
      </c>
      <c r="G2458">
        <v>52779</v>
      </c>
      <c r="H2458">
        <v>1055580</v>
      </c>
      <c r="I2458">
        <f t="shared" si="38"/>
        <v>1055580</v>
      </c>
    </row>
    <row r="2459" spans="1:9" x14ac:dyDescent="0.3">
      <c r="A2459">
        <v>12458</v>
      </c>
      <c r="B2459" s="2">
        <v>45116</v>
      </c>
      <c r="C2459" t="s">
        <v>10</v>
      </c>
      <c r="D2459" t="s">
        <v>17</v>
      </c>
      <c r="E2459" t="s">
        <v>20</v>
      </c>
      <c r="F2459">
        <v>13</v>
      </c>
      <c r="G2459">
        <v>1745</v>
      </c>
      <c r="H2459">
        <v>22685</v>
      </c>
      <c r="I2459">
        <f t="shared" si="38"/>
        <v>22685</v>
      </c>
    </row>
    <row r="2460" spans="1:9" x14ac:dyDescent="0.3">
      <c r="A2460">
        <v>12459</v>
      </c>
      <c r="B2460" s="2">
        <v>44991</v>
      </c>
      <c r="C2460" t="s">
        <v>8</v>
      </c>
      <c r="D2460" t="s">
        <v>17</v>
      </c>
      <c r="E2460" t="s">
        <v>22</v>
      </c>
      <c r="F2460">
        <v>9</v>
      </c>
      <c r="G2460">
        <v>18436</v>
      </c>
      <c r="H2460">
        <v>165924</v>
      </c>
      <c r="I2460">
        <f t="shared" si="38"/>
        <v>165924</v>
      </c>
    </row>
    <row r="2461" spans="1:9" x14ac:dyDescent="0.3">
      <c r="A2461">
        <v>12460</v>
      </c>
      <c r="B2461" s="2">
        <v>45081</v>
      </c>
      <c r="C2461" t="s">
        <v>9</v>
      </c>
      <c r="D2461" t="s">
        <v>17</v>
      </c>
      <c r="E2461" t="s">
        <v>23</v>
      </c>
      <c r="F2461">
        <v>17</v>
      </c>
      <c r="G2461">
        <v>5547</v>
      </c>
      <c r="H2461">
        <v>94299</v>
      </c>
      <c r="I2461">
        <f t="shared" si="38"/>
        <v>94299</v>
      </c>
    </row>
    <row r="2462" spans="1:9" x14ac:dyDescent="0.3">
      <c r="A2462">
        <v>12461</v>
      </c>
      <c r="B2462" s="2">
        <v>45245</v>
      </c>
      <c r="C2462" t="s">
        <v>8</v>
      </c>
      <c r="D2462" t="s">
        <v>18</v>
      </c>
      <c r="E2462" t="s">
        <v>22</v>
      </c>
      <c r="F2462">
        <v>6</v>
      </c>
      <c r="G2462">
        <v>11413</v>
      </c>
      <c r="H2462">
        <v>68478</v>
      </c>
      <c r="I2462">
        <f t="shared" si="38"/>
        <v>68478</v>
      </c>
    </row>
    <row r="2463" spans="1:9" x14ac:dyDescent="0.3">
      <c r="A2463">
        <v>12462</v>
      </c>
      <c r="B2463" s="2">
        <v>45143</v>
      </c>
      <c r="C2463" t="s">
        <v>14</v>
      </c>
      <c r="D2463" t="s">
        <v>18</v>
      </c>
      <c r="E2463" t="s">
        <v>24</v>
      </c>
      <c r="F2463">
        <v>17</v>
      </c>
      <c r="G2463">
        <v>48788</v>
      </c>
      <c r="H2463">
        <v>829396</v>
      </c>
      <c r="I2463">
        <f t="shared" si="38"/>
        <v>829396</v>
      </c>
    </row>
    <row r="2464" spans="1:9" x14ac:dyDescent="0.3">
      <c r="A2464">
        <v>12463</v>
      </c>
      <c r="B2464" s="2">
        <v>45094</v>
      </c>
      <c r="C2464" t="s">
        <v>11</v>
      </c>
      <c r="D2464" t="s">
        <v>18</v>
      </c>
      <c r="E2464" t="s">
        <v>19</v>
      </c>
      <c r="F2464">
        <v>18</v>
      </c>
      <c r="G2464">
        <v>6152</v>
      </c>
      <c r="H2464">
        <v>110736</v>
      </c>
      <c r="I2464">
        <f t="shared" si="38"/>
        <v>110736</v>
      </c>
    </row>
    <row r="2465" spans="1:9" x14ac:dyDescent="0.3">
      <c r="A2465">
        <v>12464</v>
      </c>
      <c r="B2465" s="2">
        <v>45164</v>
      </c>
      <c r="C2465" t="s">
        <v>8</v>
      </c>
      <c r="D2465" t="s">
        <v>15</v>
      </c>
      <c r="E2465" t="s">
        <v>20</v>
      </c>
      <c r="F2465">
        <v>9</v>
      </c>
      <c r="G2465">
        <v>44781</v>
      </c>
      <c r="H2465">
        <v>403029</v>
      </c>
      <c r="I2465">
        <f t="shared" si="38"/>
        <v>403029</v>
      </c>
    </row>
    <row r="2466" spans="1:9" x14ac:dyDescent="0.3">
      <c r="A2466">
        <v>12465</v>
      </c>
      <c r="B2466" s="2">
        <v>44966</v>
      </c>
      <c r="C2466" t="s">
        <v>8</v>
      </c>
      <c r="D2466" t="s">
        <v>18</v>
      </c>
      <c r="E2466" t="s">
        <v>22</v>
      </c>
      <c r="F2466">
        <v>17</v>
      </c>
      <c r="G2466">
        <v>13975</v>
      </c>
      <c r="H2466">
        <v>237575</v>
      </c>
      <c r="I2466">
        <f t="shared" si="38"/>
        <v>237575</v>
      </c>
    </row>
    <row r="2467" spans="1:9" x14ac:dyDescent="0.3">
      <c r="A2467">
        <v>12466</v>
      </c>
      <c r="B2467" s="2">
        <v>44991</v>
      </c>
      <c r="C2467" t="s">
        <v>12</v>
      </c>
      <c r="D2467" t="s">
        <v>18</v>
      </c>
      <c r="E2467" t="s">
        <v>21</v>
      </c>
      <c r="F2467">
        <v>5</v>
      </c>
      <c r="G2467">
        <v>30505</v>
      </c>
      <c r="H2467">
        <v>152525</v>
      </c>
      <c r="I2467">
        <f t="shared" si="38"/>
        <v>152525</v>
      </c>
    </row>
    <row r="2468" spans="1:9" x14ac:dyDescent="0.3">
      <c r="A2468">
        <v>12467</v>
      </c>
      <c r="B2468" s="2">
        <v>45003</v>
      </c>
      <c r="C2468" t="s">
        <v>8</v>
      </c>
      <c r="D2468" t="s">
        <v>15</v>
      </c>
      <c r="E2468" t="s">
        <v>21</v>
      </c>
      <c r="F2468">
        <v>8</v>
      </c>
      <c r="G2468">
        <v>36772</v>
      </c>
      <c r="H2468">
        <v>294176</v>
      </c>
      <c r="I2468">
        <f t="shared" si="38"/>
        <v>294176</v>
      </c>
    </row>
    <row r="2469" spans="1:9" x14ac:dyDescent="0.3">
      <c r="A2469">
        <v>12468</v>
      </c>
      <c r="B2469" s="2">
        <v>45229</v>
      </c>
      <c r="C2469" t="s">
        <v>13</v>
      </c>
      <c r="D2469" t="s">
        <v>16</v>
      </c>
      <c r="E2469" t="s">
        <v>24</v>
      </c>
      <c r="F2469">
        <v>1</v>
      </c>
      <c r="G2469">
        <v>41665</v>
      </c>
      <c r="H2469">
        <v>41665</v>
      </c>
      <c r="I2469">
        <f t="shared" si="38"/>
        <v>41665</v>
      </c>
    </row>
    <row r="2470" spans="1:9" x14ac:dyDescent="0.3">
      <c r="A2470">
        <v>12469</v>
      </c>
      <c r="B2470" s="2">
        <v>45185</v>
      </c>
      <c r="C2470" t="s">
        <v>11</v>
      </c>
      <c r="D2470" t="s">
        <v>16</v>
      </c>
      <c r="E2470" t="s">
        <v>23</v>
      </c>
      <c r="F2470">
        <v>9</v>
      </c>
      <c r="G2470">
        <v>55734</v>
      </c>
      <c r="H2470">
        <v>501606</v>
      </c>
      <c r="I2470">
        <f t="shared" si="38"/>
        <v>501606</v>
      </c>
    </row>
    <row r="2471" spans="1:9" x14ac:dyDescent="0.3">
      <c r="A2471">
        <v>12470</v>
      </c>
      <c r="B2471" s="2">
        <v>45130</v>
      </c>
      <c r="C2471" t="s">
        <v>11</v>
      </c>
      <c r="D2471" t="s">
        <v>15</v>
      </c>
      <c r="E2471" t="s">
        <v>20</v>
      </c>
      <c r="F2471">
        <v>12</v>
      </c>
      <c r="G2471">
        <v>14508</v>
      </c>
      <c r="H2471">
        <v>174096</v>
      </c>
      <c r="I2471">
        <f t="shared" si="38"/>
        <v>174096</v>
      </c>
    </row>
    <row r="2472" spans="1:9" x14ac:dyDescent="0.3">
      <c r="A2472">
        <v>12471</v>
      </c>
      <c r="B2472" s="2">
        <v>44971</v>
      </c>
      <c r="C2472" t="s">
        <v>9</v>
      </c>
      <c r="D2472" t="s">
        <v>18</v>
      </c>
      <c r="E2472" t="s">
        <v>23</v>
      </c>
      <c r="F2472">
        <v>18</v>
      </c>
      <c r="G2472">
        <v>52847</v>
      </c>
      <c r="H2472">
        <v>951246</v>
      </c>
      <c r="I2472">
        <f t="shared" si="38"/>
        <v>951246</v>
      </c>
    </row>
    <row r="2473" spans="1:9" x14ac:dyDescent="0.3">
      <c r="A2473">
        <v>12472</v>
      </c>
      <c r="B2473" s="2">
        <v>44957</v>
      </c>
      <c r="C2473" t="s">
        <v>8</v>
      </c>
      <c r="D2473" t="s">
        <v>18</v>
      </c>
      <c r="E2473" t="s">
        <v>20</v>
      </c>
      <c r="F2473">
        <v>12</v>
      </c>
      <c r="G2473">
        <v>52518</v>
      </c>
      <c r="H2473">
        <v>630216</v>
      </c>
      <c r="I2473">
        <f t="shared" si="38"/>
        <v>630216</v>
      </c>
    </row>
    <row r="2474" spans="1:9" x14ac:dyDescent="0.3">
      <c r="A2474">
        <v>12473</v>
      </c>
      <c r="B2474" s="2">
        <v>45229</v>
      </c>
      <c r="C2474" t="s">
        <v>9</v>
      </c>
      <c r="D2474" t="s">
        <v>15</v>
      </c>
      <c r="E2474" t="s">
        <v>23</v>
      </c>
      <c r="F2474">
        <v>17</v>
      </c>
      <c r="G2474">
        <v>2580</v>
      </c>
      <c r="H2474">
        <v>43860</v>
      </c>
      <c r="I2474">
        <f t="shared" si="38"/>
        <v>43860</v>
      </c>
    </row>
    <row r="2475" spans="1:9" x14ac:dyDescent="0.3">
      <c r="A2475">
        <v>12474</v>
      </c>
      <c r="B2475" s="2">
        <v>45079</v>
      </c>
      <c r="C2475" t="s">
        <v>13</v>
      </c>
      <c r="D2475" t="s">
        <v>15</v>
      </c>
      <c r="E2475" t="s">
        <v>22</v>
      </c>
      <c r="F2475">
        <v>8</v>
      </c>
      <c r="G2475">
        <v>2800</v>
      </c>
      <c r="H2475">
        <v>22400</v>
      </c>
      <c r="I2475">
        <f t="shared" si="38"/>
        <v>22400</v>
      </c>
    </row>
    <row r="2476" spans="1:9" x14ac:dyDescent="0.3">
      <c r="A2476">
        <v>12475</v>
      </c>
      <c r="B2476" s="2">
        <v>45212</v>
      </c>
      <c r="C2476" t="s">
        <v>9</v>
      </c>
      <c r="D2476" t="s">
        <v>16</v>
      </c>
      <c r="E2476" t="s">
        <v>23</v>
      </c>
      <c r="F2476">
        <v>4</v>
      </c>
      <c r="G2476">
        <v>26752</v>
      </c>
      <c r="H2476">
        <v>107008</v>
      </c>
      <c r="I2476">
        <f t="shared" si="38"/>
        <v>107008</v>
      </c>
    </row>
    <row r="2477" spans="1:9" x14ac:dyDescent="0.3">
      <c r="A2477">
        <v>12476</v>
      </c>
      <c r="B2477" s="2">
        <v>45174</v>
      </c>
      <c r="C2477" t="s">
        <v>12</v>
      </c>
      <c r="D2477" t="s">
        <v>17</v>
      </c>
      <c r="E2477" t="s">
        <v>22</v>
      </c>
      <c r="F2477">
        <v>8</v>
      </c>
      <c r="G2477">
        <v>11397</v>
      </c>
      <c r="H2477">
        <v>91176</v>
      </c>
      <c r="I2477">
        <f t="shared" si="38"/>
        <v>91176</v>
      </c>
    </row>
    <row r="2478" spans="1:9" x14ac:dyDescent="0.3">
      <c r="A2478">
        <v>12477</v>
      </c>
      <c r="B2478" s="2">
        <v>45230</v>
      </c>
      <c r="C2478" t="s">
        <v>8</v>
      </c>
      <c r="D2478" t="s">
        <v>18</v>
      </c>
      <c r="E2478" t="s">
        <v>19</v>
      </c>
      <c r="F2478">
        <v>13</v>
      </c>
      <c r="G2478">
        <v>15343</v>
      </c>
      <c r="H2478">
        <v>199459</v>
      </c>
      <c r="I2478">
        <f t="shared" si="38"/>
        <v>199459</v>
      </c>
    </row>
    <row r="2479" spans="1:9" x14ac:dyDescent="0.3">
      <c r="A2479">
        <v>12478</v>
      </c>
      <c r="B2479" s="2">
        <v>45208</v>
      </c>
      <c r="C2479" t="s">
        <v>12</v>
      </c>
      <c r="D2479" t="s">
        <v>16</v>
      </c>
      <c r="E2479" t="s">
        <v>24</v>
      </c>
      <c r="F2479">
        <v>17</v>
      </c>
      <c r="G2479">
        <v>46845</v>
      </c>
      <c r="H2479">
        <v>796365</v>
      </c>
      <c r="I2479">
        <f t="shared" si="38"/>
        <v>796365</v>
      </c>
    </row>
    <row r="2480" spans="1:9" x14ac:dyDescent="0.3">
      <c r="A2480">
        <v>12479</v>
      </c>
      <c r="B2480" s="2">
        <v>44927</v>
      </c>
      <c r="C2480" t="s">
        <v>11</v>
      </c>
      <c r="D2480" t="s">
        <v>16</v>
      </c>
      <c r="E2480" t="s">
        <v>22</v>
      </c>
      <c r="F2480">
        <v>1</v>
      </c>
      <c r="G2480">
        <v>15676</v>
      </c>
      <c r="H2480">
        <v>15676</v>
      </c>
      <c r="I2480">
        <f t="shared" si="38"/>
        <v>15676</v>
      </c>
    </row>
    <row r="2481" spans="1:9" x14ac:dyDescent="0.3">
      <c r="A2481">
        <v>12480</v>
      </c>
      <c r="B2481" s="2">
        <v>44945</v>
      </c>
      <c r="C2481" t="s">
        <v>9</v>
      </c>
      <c r="D2481" t="s">
        <v>16</v>
      </c>
      <c r="E2481" t="s">
        <v>21</v>
      </c>
      <c r="F2481">
        <v>2</v>
      </c>
      <c r="G2481">
        <v>6947</v>
      </c>
      <c r="H2481">
        <v>13894</v>
      </c>
      <c r="I2481">
        <f t="shared" si="38"/>
        <v>13894</v>
      </c>
    </row>
    <row r="2482" spans="1:9" x14ac:dyDescent="0.3">
      <c r="A2482">
        <v>12481</v>
      </c>
      <c r="B2482" s="2">
        <v>45095</v>
      </c>
      <c r="C2482" t="s">
        <v>10</v>
      </c>
      <c r="D2482" t="s">
        <v>17</v>
      </c>
      <c r="E2482" t="s">
        <v>23</v>
      </c>
      <c r="F2482">
        <v>8</v>
      </c>
      <c r="G2482">
        <v>45269</v>
      </c>
      <c r="H2482">
        <v>362152</v>
      </c>
      <c r="I2482">
        <f t="shared" si="38"/>
        <v>362152</v>
      </c>
    </row>
    <row r="2483" spans="1:9" x14ac:dyDescent="0.3">
      <c r="A2483">
        <v>12482</v>
      </c>
      <c r="B2483" s="2">
        <v>45071</v>
      </c>
      <c r="C2483" t="s">
        <v>14</v>
      </c>
      <c r="D2483" t="s">
        <v>18</v>
      </c>
      <c r="E2483" t="s">
        <v>20</v>
      </c>
      <c r="F2483">
        <v>9</v>
      </c>
      <c r="G2483">
        <v>8666</v>
      </c>
      <c r="H2483">
        <v>77994</v>
      </c>
      <c r="I2483">
        <f t="shared" si="38"/>
        <v>77994</v>
      </c>
    </row>
    <row r="2484" spans="1:9" x14ac:dyDescent="0.3">
      <c r="A2484">
        <v>12483</v>
      </c>
      <c r="B2484" s="2">
        <v>45240</v>
      </c>
      <c r="C2484" t="s">
        <v>10</v>
      </c>
      <c r="D2484" t="s">
        <v>16</v>
      </c>
      <c r="E2484" t="s">
        <v>22</v>
      </c>
      <c r="F2484">
        <v>16</v>
      </c>
      <c r="G2484">
        <v>23841</v>
      </c>
      <c r="H2484">
        <v>381456</v>
      </c>
      <c r="I2484">
        <f t="shared" si="38"/>
        <v>381456</v>
      </c>
    </row>
    <row r="2485" spans="1:9" x14ac:dyDescent="0.3">
      <c r="A2485">
        <v>12484</v>
      </c>
      <c r="B2485" s="2">
        <v>45003</v>
      </c>
      <c r="C2485" t="s">
        <v>10</v>
      </c>
      <c r="D2485" t="s">
        <v>18</v>
      </c>
      <c r="E2485" t="s">
        <v>23</v>
      </c>
      <c r="F2485">
        <v>15</v>
      </c>
      <c r="G2485">
        <v>16254</v>
      </c>
      <c r="H2485">
        <v>243810</v>
      </c>
      <c r="I2485">
        <f t="shared" si="38"/>
        <v>243810</v>
      </c>
    </row>
    <row r="2486" spans="1:9" x14ac:dyDescent="0.3">
      <c r="A2486">
        <v>12485</v>
      </c>
      <c r="B2486" s="2">
        <v>45054</v>
      </c>
      <c r="C2486" t="s">
        <v>13</v>
      </c>
      <c r="D2486" t="s">
        <v>15</v>
      </c>
      <c r="E2486" t="s">
        <v>24</v>
      </c>
      <c r="F2486">
        <v>17</v>
      </c>
      <c r="G2486">
        <v>49776</v>
      </c>
      <c r="H2486">
        <v>846192</v>
      </c>
      <c r="I2486">
        <f t="shared" si="38"/>
        <v>846192</v>
      </c>
    </row>
    <row r="2487" spans="1:9" x14ac:dyDescent="0.3">
      <c r="A2487">
        <v>12486</v>
      </c>
      <c r="B2487" s="2">
        <v>45110</v>
      </c>
      <c r="C2487" t="s">
        <v>9</v>
      </c>
      <c r="D2487" t="s">
        <v>15</v>
      </c>
      <c r="E2487" t="s">
        <v>23</v>
      </c>
      <c r="F2487">
        <v>15</v>
      </c>
      <c r="G2487">
        <v>25653</v>
      </c>
      <c r="H2487">
        <v>384795</v>
      </c>
      <c r="I2487">
        <f t="shared" si="38"/>
        <v>384795</v>
      </c>
    </row>
    <row r="2488" spans="1:9" x14ac:dyDescent="0.3">
      <c r="A2488">
        <v>12487</v>
      </c>
      <c r="B2488" s="2">
        <v>45093</v>
      </c>
      <c r="C2488" t="s">
        <v>13</v>
      </c>
      <c r="D2488" t="s">
        <v>15</v>
      </c>
      <c r="E2488" t="s">
        <v>24</v>
      </c>
      <c r="F2488">
        <v>3</v>
      </c>
      <c r="G2488">
        <v>6739</v>
      </c>
      <c r="H2488">
        <v>20217</v>
      </c>
      <c r="I2488">
        <f t="shared" si="38"/>
        <v>20217</v>
      </c>
    </row>
    <row r="2489" spans="1:9" x14ac:dyDescent="0.3">
      <c r="A2489">
        <v>12488</v>
      </c>
      <c r="B2489" s="2">
        <v>45191</v>
      </c>
      <c r="C2489" t="s">
        <v>9</v>
      </c>
      <c r="D2489" t="s">
        <v>18</v>
      </c>
      <c r="E2489" t="s">
        <v>22</v>
      </c>
      <c r="F2489">
        <v>8</v>
      </c>
      <c r="G2489">
        <v>57955</v>
      </c>
      <c r="H2489">
        <v>463640</v>
      </c>
      <c r="I2489">
        <f t="shared" si="38"/>
        <v>463640</v>
      </c>
    </row>
    <row r="2490" spans="1:9" x14ac:dyDescent="0.3">
      <c r="A2490">
        <v>12489</v>
      </c>
      <c r="B2490" s="2">
        <v>45019</v>
      </c>
      <c r="C2490" t="s">
        <v>14</v>
      </c>
      <c r="D2490" t="s">
        <v>17</v>
      </c>
      <c r="E2490" t="s">
        <v>20</v>
      </c>
      <c r="F2490">
        <v>8</v>
      </c>
      <c r="G2490">
        <v>6659</v>
      </c>
      <c r="H2490">
        <v>53272</v>
      </c>
      <c r="I2490">
        <f t="shared" si="38"/>
        <v>53272</v>
      </c>
    </row>
    <row r="2491" spans="1:9" x14ac:dyDescent="0.3">
      <c r="A2491">
        <v>12490</v>
      </c>
      <c r="B2491" s="2">
        <v>45098</v>
      </c>
      <c r="C2491" t="s">
        <v>12</v>
      </c>
      <c r="D2491" t="s">
        <v>15</v>
      </c>
      <c r="E2491" t="s">
        <v>24</v>
      </c>
      <c r="F2491">
        <v>8</v>
      </c>
      <c r="G2491">
        <v>22929</v>
      </c>
      <c r="H2491">
        <v>183432</v>
      </c>
      <c r="I2491">
        <f t="shared" si="38"/>
        <v>183432</v>
      </c>
    </row>
    <row r="2492" spans="1:9" x14ac:dyDescent="0.3">
      <c r="A2492">
        <v>12491</v>
      </c>
      <c r="B2492" s="2">
        <v>44994</v>
      </c>
      <c r="C2492" t="s">
        <v>10</v>
      </c>
      <c r="D2492" t="s">
        <v>16</v>
      </c>
      <c r="E2492" t="s">
        <v>21</v>
      </c>
      <c r="F2492">
        <v>14</v>
      </c>
      <c r="G2492">
        <v>35782</v>
      </c>
      <c r="H2492">
        <v>500948</v>
      </c>
      <c r="I2492">
        <f t="shared" si="38"/>
        <v>500948</v>
      </c>
    </row>
    <row r="2493" spans="1:9" x14ac:dyDescent="0.3">
      <c r="A2493">
        <v>12492</v>
      </c>
      <c r="B2493" s="2">
        <v>45011</v>
      </c>
      <c r="C2493" t="s">
        <v>10</v>
      </c>
      <c r="D2493" t="s">
        <v>18</v>
      </c>
      <c r="E2493" t="s">
        <v>20</v>
      </c>
      <c r="F2493">
        <v>3</v>
      </c>
      <c r="G2493">
        <v>51646</v>
      </c>
      <c r="H2493">
        <v>154938</v>
      </c>
      <c r="I2493">
        <f t="shared" si="38"/>
        <v>154938</v>
      </c>
    </row>
    <row r="2494" spans="1:9" x14ac:dyDescent="0.3">
      <c r="A2494">
        <v>12493</v>
      </c>
      <c r="B2494" s="2">
        <v>44954</v>
      </c>
      <c r="C2494" t="s">
        <v>12</v>
      </c>
      <c r="D2494" t="s">
        <v>16</v>
      </c>
      <c r="E2494" t="s">
        <v>21</v>
      </c>
      <c r="F2494">
        <v>3</v>
      </c>
      <c r="G2494">
        <v>49526</v>
      </c>
      <c r="H2494">
        <v>148578</v>
      </c>
      <c r="I2494">
        <f t="shared" si="38"/>
        <v>148578</v>
      </c>
    </row>
    <row r="2495" spans="1:9" x14ac:dyDescent="0.3">
      <c r="A2495">
        <v>12494</v>
      </c>
      <c r="B2495" s="2">
        <v>44964</v>
      </c>
      <c r="C2495" t="s">
        <v>14</v>
      </c>
      <c r="D2495" t="s">
        <v>18</v>
      </c>
      <c r="E2495" t="s">
        <v>21</v>
      </c>
      <c r="F2495">
        <v>18</v>
      </c>
      <c r="G2495">
        <v>19476</v>
      </c>
      <c r="H2495">
        <v>350568</v>
      </c>
      <c r="I2495">
        <f t="shared" si="38"/>
        <v>350568</v>
      </c>
    </row>
    <row r="2496" spans="1:9" x14ac:dyDescent="0.3">
      <c r="A2496">
        <v>12495</v>
      </c>
      <c r="B2496" s="2">
        <v>45046</v>
      </c>
      <c r="C2496" t="s">
        <v>8</v>
      </c>
      <c r="D2496" t="s">
        <v>16</v>
      </c>
      <c r="E2496" t="s">
        <v>22</v>
      </c>
      <c r="F2496">
        <v>17</v>
      </c>
      <c r="G2496">
        <v>45837</v>
      </c>
      <c r="H2496">
        <v>779229</v>
      </c>
      <c r="I2496">
        <f t="shared" si="38"/>
        <v>779229</v>
      </c>
    </row>
    <row r="2497" spans="1:9" x14ac:dyDescent="0.3">
      <c r="A2497">
        <v>12496</v>
      </c>
      <c r="B2497" s="2">
        <v>45263</v>
      </c>
      <c r="C2497" t="s">
        <v>11</v>
      </c>
      <c r="D2497" t="s">
        <v>16</v>
      </c>
      <c r="E2497" t="s">
        <v>24</v>
      </c>
      <c r="F2497">
        <v>19</v>
      </c>
      <c r="G2497">
        <v>43820</v>
      </c>
      <c r="H2497">
        <v>832580</v>
      </c>
      <c r="I2497">
        <f t="shared" si="38"/>
        <v>832580</v>
      </c>
    </row>
    <row r="2498" spans="1:9" x14ac:dyDescent="0.3">
      <c r="A2498">
        <v>12497</v>
      </c>
      <c r="B2498" s="2">
        <v>45074</v>
      </c>
      <c r="C2498" t="s">
        <v>12</v>
      </c>
      <c r="D2498" t="s">
        <v>18</v>
      </c>
      <c r="E2498" t="s">
        <v>21</v>
      </c>
      <c r="F2498">
        <v>8</v>
      </c>
      <c r="G2498">
        <v>4543</v>
      </c>
      <c r="H2498">
        <v>36344</v>
      </c>
      <c r="I2498">
        <f t="shared" si="38"/>
        <v>36344</v>
      </c>
    </row>
    <row r="2499" spans="1:9" x14ac:dyDescent="0.3">
      <c r="A2499">
        <v>12498</v>
      </c>
      <c r="B2499" s="2">
        <v>45013</v>
      </c>
      <c r="C2499" t="s">
        <v>11</v>
      </c>
      <c r="D2499" t="s">
        <v>16</v>
      </c>
      <c r="E2499" t="s">
        <v>23</v>
      </c>
      <c r="F2499">
        <v>2</v>
      </c>
      <c r="G2499">
        <v>8747</v>
      </c>
      <c r="H2499">
        <v>17494</v>
      </c>
      <c r="I2499">
        <f t="shared" ref="I2499:I2562" si="39">G2499*F2499</f>
        <v>17494</v>
      </c>
    </row>
    <row r="2500" spans="1:9" x14ac:dyDescent="0.3">
      <c r="A2500">
        <v>12499</v>
      </c>
      <c r="B2500" s="2">
        <v>45079</v>
      </c>
      <c r="C2500" t="s">
        <v>9</v>
      </c>
      <c r="D2500" t="s">
        <v>18</v>
      </c>
      <c r="E2500" t="s">
        <v>20</v>
      </c>
      <c r="F2500">
        <v>14</v>
      </c>
      <c r="G2500">
        <v>38605</v>
      </c>
      <c r="H2500">
        <v>540470</v>
      </c>
      <c r="I2500">
        <f t="shared" si="39"/>
        <v>540470</v>
      </c>
    </row>
    <row r="2501" spans="1:9" x14ac:dyDescent="0.3">
      <c r="A2501">
        <v>12500</v>
      </c>
      <c r="B2501" s="2">
        <v>45168</v>
      </c>
      <c r="C2501" t="s">
        <v>10</v>
      </c>
      <c r="D2501" t="s">
        <v>15</v>
      </c>
      <c r="E2501" t="s">
        <v>24</v>
      </c>
      <c r="F2501">
        <v>3</v>
      </c>
      <c r="G2501">
        <v>38486</v>
      </c>
      <c r="H2501">
        <v>115458</v>
      </c>
      <c r="I2501">
        <f t="shared" si="39"/>
        <v>115458</v>
      </c>
    </row>
    <row r="2502" spans="1:9" x14ac:dyDescent="0.3">
      <c r="A2502">
        <v>12501</v>
      </c>
      <c r="B2502" s="2">
        <v>45091</v>
      </c>
      <c r="C2502" t="s">
        <v>8</v>
      </c>
      <c r="D2502" t="s">
        <v>15</v>
      </c>
      <c r="E2502" t="s">
        <v>22</v>
      </c>
      <c r="F2502">
        <v>15</v>
      </c>
      <c r="G2502">
        <v>13924</v>
      </c>
      <c r="H2502">
        <v>208860</v>
      </c>
      <c r="I2502">
        <f t="shared" si="39"/>
        <v>208860</v>
      </c>
    </row>
    <row r="2503" spans="1:9" x14ac:dyDescent="0.3">
      <c r="A2503">
        <v>12502</v>
      </c>
      <c r="B2503" s="2">
        <v>44968</v>
      </c>
      <c r="C2503" t="s">
        <v>9</v>
      </c>
      <c r="D2503" t="s">
        <v>18</v>
      </c>
      <c r="E2503" t="s">
        <v>22</v>
      </c>
      <c r="F2503">
        <v>2</v>
      </c>
      <c r="G2503">
        <v>50726</v>
      </c>
      <c r="H2503">
        <v>101452</v>
      </c>
      <c r="I2503">
        <f t="shared" si="39"/>
        <v>101452</v>
      </c>
    </row>
    <row r="2504" spans="1:9" x14ac:dyDescent="0.3">
      <c r="A2504">
        <v>12503</v>
      </c>
      <c r="B2504" s="2">
        <v>45083</v>
      </c>
      <c r="C2504" t="s">
        <v>14</v>
      </c>
      <c r="D2504" t="s">
        <v>17</v>
      </c>
      <c r="E2504" t="s">
        <v>20</v>
      </c>
      <c r="F2504">
        <v>19</v>
      </c>
      <c r="G2504">
        <v>15218</v>
      </c>
      <c r="H2504">
        <v>289142</v>
      </c>
      <c r="I2504">
        <f t="shared" si="39"/>
        <v>289142</v>
      </c>
    </row>
    <row r="2505" spans="1:9" x14ac:dyDescent="0.3">
      <c r="A2505">
        <v>12504</v>
      </c>
      <c r="B2505" s="2">
        <v>44968</v>
      </c>
      <c r="C2505" t="s">
        <v>8</v>
      </c>
      <c r="D2505" t="s">
        <v>16</v>
      </c>
      <c r="E2505" t="s">
        <v>22</v>
      </c>
      <c r="F2505">
        <v>8</v>
      </c>
      <c r="G2505">
        <v>15332</v>
      </c>
      <c r="H2505">
        <v>122656</v>
      </c>
      <c r="I2505">
        <f t="shared" si="39"/>
        <v>122656</v>
      </c>
    </row>
    <row r="2506" spans="1:9" x14ac:dyDescent="0.3">
      <c r="A2506">
        <v>12505</v>
      </c>
      <c r="B2506" s="2">
        <v>45284</v>
      </c>
      <c r="C2506" t="s">
        <v>10</v>
      </c>
      <c r="D2506" t="s">
        <v>17</v>
      </c>
      <c r="E2506" t="s">
        <v>22</v>
      </c>
      <c r="F2506">
        <v>11</v>
      </c>
      <c r="G2506">
        <v>41804</v>
      </c>
      <c r="H2506">
        <v>459844</v>
      </c>
      <c r="I2506">
        <f t="shared" si="39"/>
        <v>459844</v>
      </c>
    </row>
    <row r="2507" spans="1:9" x14ac:dyDescent="0.3">
      <c r="A2507">
        <v>12506</v>
      </c>
      <c r="B2507" s="2">
        <v>45245</v>
      </c>
      <c r="C2507" t="s">
        <v>14</v>
      </c>
      <c r="D2507" t="s">
        <v>15</v>
      </c>
      <c r="E2507" t="s">
        <v>22</v>
      </c>
      <c r="F2507">
        <v>11</v>
      </c>
      <c r="G2507">
        <v>49223</v>
      </c>
      <c r="H2507">
        <v>541453</v>
      </c>
      <c r="I2507">
        <f t="shared" si="39"/>
        <v>541453</v>
      </c>
    </row>
    <row r="2508" spans="1:9" x14ac:dyDescent="0.3">
      <c r="A2508">
        <v>12507</v>
      </c>
      <c r="B2508" s="2">
        <v>45076</v>
      </c>
      <c r="C2508" t="s">
        <v>8</v>
      </c>
      <c r="D2508" t="s">
        <v>15</v>
      </c>
      <c r="E2508" t="s">
        <v>21</v>
      </c>
      <c r="F2508">
        <v>20</v>
      </c>
      <c r="G2508">
        <v>58525</v>
      </c>
      <c r="H2508">
        <v>1170500</v>
      </c>
      <c r="I2508">
        <f t="shared" si="39"/>
        <v>1170500</v>
      </c>
    </row>
    <row r="2509" spans="1:9" x14ac:dyDescent="0.3">
      <c r="A2509">
        <v>12508</v>
      </c>
      <c r="B2509" s="2">
        <v>45200</v>
      </c>
      <c r="C2509" t="s">
        <v>9</v>
      </c>
      <c r="D2509" t="s">
        <v>18</v>
      </c>
      <c r="E2509" t="s">
        <v>20</v>
      </c>
      <c r="F2509">
        <v>1</v>
      </c>
      <c r="G2509">
        <v>57449</v>
      </c>
      <c r="H2509">
        <v>57449</v>
      </c>
      <c r="I2509">
        <f t="shared" si="39"/>
        <v>57449</v>
      </c>
    </row>
    <row r="2510" spans="1:9" x14ac:dyDescent="0.3">
      <c r="A2510">
        <v>12509</v>
      </c>
      <c r="B2510" s="2">
        <v>45114</v>
      </c>
      <c r="C2510" t="s">
        <v>11</v>
      </c>
      <c r="D2510" t="s">
        <v>15</v>
      </c>
      <c r="E2510" t="s">
        <v>21</v>
      </c>
      <c r="F2510">
        <v>15</v>
      </c>
      <c r="G2510">
        <v>53368</v>
      </c>
      <c r="H2510">
        <v>800520</v>
      </c>
      <c r="I2510">
        <f t="shared" si="39"/>
        <v>800520</v>
      </c>
    </row>
    <row r="2511" spans="1:9" x14ac:dyDescent="0.3">
      <c r="A2511">
        <v>12510</v>
      </c>
      <c r="B2511" s="2">
        <v>45172</v>
      </c>
      <c r="C2511" t="s">
        <v>12</v>
      </c>
      <c r="D2511" t="s">
        <v>17</v>
      </c>
      <c r="E2511" t="s">
        <v>21</v>
      </c>
      <c r="F2511">
        <v>18</v>
      </c>
      <c r="G2511">
        <v>5240</v>
      </c>
      <c r="H2511">
        <v>94320</v>
      </c>
      <c r="I2511">
        <f t="shared" si="39"/>
        <v>94320</v>
      </c>
    </row>
    <row r="2512" spans="1:9" x14ac:dyDescent="0.3">
      <c r="A2512">
        <v>12511</v>
      </c>
      <c r="B2512" s="2">
        <v>45229</v>
      </c>
      <c r="C2512" t="s">
        <v>11</v>
      </c>
      <c r="D2512" t="s">
        <v>15</v>
      </c>
      <c r="E2512" t="s">
        <v>23</v>
      </c>
      <c r="F2512">
        <v>20</v>
      </c>
      <c r="G2512">
        <v>34984</v>
      </c>
      <c r="H2512">
        <v>699680</v>
      </c>
      <c r="I2512">
        <f t="shared" si="39"/>
        <v>699680</v>
      </c>
    </row>
    <row r="2513" spans="1:9" x14ac:dyDescent="0.3">
      <c r="A2513">
        <v>12512</v>
      </c>
      <c r="B2513" s="2">
        <v>45157</v>
      </c>
      <c r="C2513" t="s">
        <v>13</v>
      </c>
      <c r="D2513" t="s">
        <v>16</v>
      </c>
      <c r="E2513" t="s">
        <v>20</v>
      </c>
      <c r="F2513">
        <v>4</v>
      </c>
      <c r="G2513">
        <v>6580</v>
      </c>
      <c r="H2513">
        <v>26320</v>
      </c>
      <c r="I2513">
        <f t="shared" si="39"/>
        <v>26320</v>
      </c>
    </row>
    <row r="2514" spans="1:9" x14ac:dyDescent="0.3">
      <c r="A2514">
        <v>12513</v>
      </c>
      <c r="B2514" s="2">
        <v>45290</v>
      </c>
      <c r="C2514" t="s">
        <v>9</v>
      </c>
      <c r="D2514" t="s">
        <v>17</v>
      </c>
      <c r="E2514" t="s">
        <v>21</v>
      </c>
      <c r="F2514">
        <v>10</v>
      </c>
      <c r="G2514">
        <v>845</v>
      </c>
      <c r="H2514">
        <v>8450</v>
      </c>
      <c r="I2514">
        <f t="shared" si="39"/>
        <v>8450</v>
      </c>
    </row>
    <row r="2515" spans="1:9" x14ac:dyDescent="0.3">
      <c r="A2515">
        <v>12514</v>
      </c>
      <c r="B2515" s="2">
        <v>45277</v>
      </c>
      <c r="C2515" t="s">
        <v>12</v>
      </c>
      <c r="D2515" t="s">
        <v>18</v>
      </c>
      <c r="E2515" t="s">
        <v>20</v>
      </c>
      <c r="F2515">
        <v>17</v>
      </c>
      <c r="G2515">
        <v>56200</v>
      </c>
      <c r="H2515">
        <v>955400</v>
      </c>
      <c r="I2515">
        <f t="shared" si="39"/>
        <v>955400</v>
      </c>
    </row>
    <row r="2516" spans="1:9" x14ac:dyDescent="0.3">
      <c r="A2516">
        <v>12515</v>
      </c>
      <c r="B2516" s="2">
        <v>45286</v>
      </c>
      <c r="C2516" t="s">
        <v>14</v>
      </c>
      <c r="D2516" t="s">
        <v>18</v>
      </c>
      <c r="E2516" t="s">
        <v>19</v>
      </c>
      <c r="F2516">
        <v>18</v>
      </c>
      <c r="G2516">
        <v>33002</v>
      </c>
      <c r="H2516">
        <v>594036</v>
      </c>
      <c r="I2516">
        <f t="shared" si="39"/>
        <v>594036</v>
      </c>
    </row>
    <row r="2517" spans="1:9" x14ac:dyDescent="0.3">
      <c r="A2517">
        <v>12516</v>
      </c>
      <c r="B2517" s="2">
        <v>45287</v>
      </c>
      <c r="C2517" t="s">
        <v>12</v>
      </c>
      <c r="D2517" t="s">
        <v>18</v>
      </c>
      <c r="E2517" t="s">
        <v>24</v>
      </c>
      <c r="F2517">
        <v>1</v>
      </c>
      <c r="G2517">
        <v>17391</v>
      </c>
      <c r="H2517">
        <v>17391</v>
      </c>
      <c r="I2517">
        <f t="shared" si="39"/>
        <v>17391</v>
      </c>
    </row>
    <row r="2518" spans="1:9" x14ac:dyDescent="0.3">
      <c r="A2518">
        <v>12517</v>
      </c>
      <c r="B2518" s="2">
        <v>45260</v>
      </c>
      <c r="C2518" t="s">
        <v>12</v>
      </c>
      <c r="D2518" t="s">
        <v>18</v>
      </c>
      <c r="E2518" t="s">
        <v>24</v>
      </c>
      <c r="F2518">
        <v>5</v>
      </c>
      <c r="G2518">
        <v>42464</v>
      </c>
      <c r="H2518">
        <v>212320</v>
      </c>
      <c r="I2518">
        <f t="shared" si="39"/>
        <v>212320</v>
      </c>
    </row>
    <row r="2519" spans="1:9" x14ac:dyDescent="0.3">
      <c r="A2519">
        <v>12518</v>
      </c>
      <c r="B2519" s="2">
        <v>44983</v>
      </c>
      <c r="C2519" t="s">
        <v>11</v>
      </c>
      <c r="D2519" t="s">
        <v>18</v>
      </c>
      <c r="E2519" t="s">
        <v>20</v>
      </c>
      <c r="F2519">
        <v>13</v>
      </c>
      <c r="G2519">
        <v>13738</v>
      </c>
      <c r="H2519">
        <v>178594</v>
      </c>
      <c r="I2519">
        <f t="shared" si="39"/>
        <v>178594</v>
      </c>
    </row>
    <row r="2520" spans="1:9" x14ac:dyDescent="0.3">
      <c r="A2520">
        <v>12519</v>
      </c>
      <c r="B2520" s="2">
        <v>45067</v>
      </c>
      <c r="C2520" t="s">
        <v>10</v>
      </c>
      <c r="D2520" t="s">
        <v>15</v>
      </c>
      <c r="E2520" t="s">
        <v>21</v>
      </c>
      <c r="F2520">
        <v>17</v>
      </c>
      <c r="G2520">
        <v>8864</v>
      </c>
      <c r="H2520">
        <v>150688</v>
      </c>
      <c r="I2520">
        <f t="shared" si="39"/>
        <v>150688</v>
      </c>
    </row>
    <row r="2521" spans="1:9" x14ac:dyDescent="0.3">
      <c r="A2521">
        <v>12520</v>
      </c>
      <c r="B2521" s="2">
        <v>45073</v>
      </c>
      <c r="C2521" t="s">
        <v>11</v>
      </c>
      <c r="D2521" t="s">
        <v>16</v>
      </c>
      <c r="E2521" t="s">
        <v>19</v>
      </c>
      <c r="F2521">
        <v>12</v>
      </c>
      <c r="G2521">
        <v>43211</v>
      </c>
      <c r="H2521">
        <v>518532</v>
      </c>
      <c r="I2521">
        <f t="shared" si="39"/>
        <v>518532</v>
      </c>
    </row>
    <row r="2522" spans="1:9" x14ac:dyDescent="0.3">
      <c r="A2522">
        <v>12521</v>
      </c>
      <c r="B2522" s="2">
        <v>45193</v>
      </c>
      <c r="C2522" t="s">
        <v>14</v>
      </c>
      <c r="D2522" t="s">
        <v>16</v>
      </c>
      <c r="E2522" t="s">
        <v>22</v>
      </c>
      <c r="F2522">
        <v>8</v>
      </c>
      <c r="G2522">
        <v>56297</v>
      </c>
      <c r="H2522">
        <v>450376</v>
      </c>
      <c r="I2522">
        <f t="shared" si="39"/>
        <v>450376</v>
      </c>
    </row>
    <row r="2523" spans="1:9" x14ac:dyDescent="0.3">
      <c r="A2523">
        <v>12522</v>
      </c>
      <c r="B2523" s="2">
        <v>44936</v>
      </c>
      <c r="C2523" t="s">
        <v>9</v>
      </c>
      <c r="D2523" t="s">
        <v>17</v>
      </c>
      <c r="E2523" t="s">
        <v>24</v>
      </c>
      <c r="F2523">
        <v>9</v>
      </c>
      <c r="G2523">
        <v>35221</v>
      </c>
      <c r="H2523">
        <v>316989</v>
      </c>
      <c r="I2523">
        <f t="shared" si="39"/>
        <v>316989</v>
      </c>
    </row>
    <row r="2524" spans="1:9" x14ac:dyDescent="0.3">
      <c r="A2524">
        <v>12523</v>
      </c>
      <c r="B2524" s="2">
        <v>45222</v>
      </c>
      <c r="C2524" t="s">
        <v>13</v>
      </c>
      <c r="D2524" t="s">
        <v>15</v>
      </c>
      <c r="E2524" t="s">
        <v>24</v>
      </c>
      <c r="F2524">
        <v>20</v>
      </c>
      <c r="G2524">
        <v>5157</v>
      </c>
      <c r="H2524">
        <v>103140</v>
      </c>
      <c r="I2524">
        <f t="shared" si="39"/>
        <v>103140</v>
      </c>
    </row>
    <row r="2525" spans="1:9" x14ac:dyDescent="0.3">
      <c r="A2525">
        <v>12524</v>
      </c>
      <c r="B2525" s="2">
        <v>45266</v>
      </c>
      <c r="C2525" t="s">
        <v>13</v>
      </c>
      <c r="D2525" t="s">
        <v>18</v>
      </c>
      <c r="E2525" t="s">
        <v>23</v>
      </c>
      <c r="F2525">
        <v>5</v>
      </c>
      <c r="G2525">
        <v>12501</v>
      </c>
      <c r="H2525">
        <v>62505</v>
      </c>
      <c r="I2525">
        <f t="shared" si="39"/>
        <v>62505</v>
      </c>
    </row>
    <row r="2526" spans="1:9" x14ac:dyDescent="0.3">
      <c r="A2526">
        <v>12525</v>
      </c>
      <c r="B2526" s="2">
        <v>45087</v>
      </c>
      <c r="C2526" t="s">
        <v>11</v>
      </c>
      <c r="D2526" t="s">
        <v>17</v>
      </c>
      <c r="E2526" t="s">
        <v>19</v>
      </c>
      <c r="F2526">
        <v>15</v>
      </c>
      <c r="G2526">
        <v>58971</v>
      </c>
      <c r="H2526">
        <v>884565</v>
      </c>
      <c r="I2526">
        <f t="shared" si="39"/>
        <v>884565</v>
      </c>
    </row>
    <row r="2527" spans="1:9" x14ac:dyDescent="0.3">
      <c r="A2527">
        <v>12526</v>
      </c>
      <c r="B2527" s="2">
        <v>45079</v>
      </c>
      <c r="C2527" t="s">
        <v>10</v>
      </c>
      <c r="D2527" t="s">
        <v>16</v>
      </c>
      <c r="E2527" t="s">
        <v>20</v>
      </c>
      <c r="F2527">
        <v>12</v>
      </c>
      <c r="G2527">
        <v>4547</v>
      </c>
      <c r="H2527">
        <v>54564</v>
      </c>
      <c r="I2527">
        <f t="shared" si="39"/>
        <v>54564</v>
      </c>
    </row>
    <row r="2528" spans="1:9" x14ac:dyDescent="0.3">
      <c r="A2528">
        <v>12527</v>
      </c>
      <c r="B2528" s="2">
        <v>45190</v>
      </c>
      <c r="C2528" t="s">
        <v>9</v>
      </c>
      <c r="D2528" t="s">
        <v>16</v>
      </c>
      <c r="E2528" t="s">
        <v>19</v>
      </c>
      <c r="F2528">
        <v>1</v>
      </c>
      <c r="G2528">
        <v>49047</v>
      </c>
      <c r="H2528">
        <v>49047</v>
      </c>
      <c r="I2528">
        <f t="shared" si="39"/>
        <v>49047</v>
      </c>
    </row>
    <row r="2529" spans="1:9" x14ac:dyDescent="0.3">
      <c r="A2529">
        <v>12528</v>
      </c>
      <c r="B2529" s="2">
        <v>45154</v>
      </c>
      <c r="C2529" t="s">
        <v>11</v>
      </c>
      <c r="D2529" t="s">
        <v>15</v>
      </c>
      <c r="E2529" t="s">
        <v>24</v>
      </c>
      <c r="F2529">
        <v>11</v>
      </c>
      <c r="G2529">
        <v>10098</v>
      </c>
      <c r="H2529">
        <v>111078</v>
      </c>
      <c r="I2529">
        <f t="shared" si="39"/>
        <v>111078</v>
      </c>
    </row>
    <row r="2530" spans="1:9" x14ac:dyDescent="0.3">
      <c r="A2530">
        <v>12529</v>
      </c>
      <c r="B2530" s="2">
        <v>45067</v>
      </c>
      <c r="C2530" t="s">
        <v>13</v>
      </c>
      <c r="D2530" t="s">
        <v>18</v>
      </c>
      <c r="E2530" t="s">
        <v>22</v>
      </c>
      <c r="F2530">
        <v>16</v>
      </c>
      <c r="G2530">
        <v>33780</v>
      </c>
      <c r="H2530">
        <v>540480</v>
      </c>
      <c r="I2530">
        <f t="shared" si="39"/>
        <v>540480</v>
      </c>
    </row>
    <row r="2531" spans="1:9" x14ac:dyDescent="0.3">
      <c r="A2531">
        <v>12530</v>
      </c>
      <c r="B2531" s="2">
        <v>45274</v>
      </c>
      <c r="C2531" t="s">
        <v>8</v>
      </c>
      <c r="D2531" t="s">
        <v>15</v>
      </c>
      <c r="E2531" t="s">
        <v>23</v>
      </c>
      <c r="F2531">
        <v>7</v>
      </c>
      <c r="G2531">
        <v>1750</v>
      </c>
      <c r="H2531">
        <v>12250</v>
      </c>
      <c r="I2531">
        <f t="shared" si="39"/>
        <v>12250</v>
      </c>
    </row>
    <row r="2532" spans="1:9" x14ac:dyDescent="0.3">
      <c r="A2532">
        <v>12531</v>
      </c>
      <c r="B2532" s="2">
        <v>45036</v>
      </c>
      <c r="C2532" t="s">
        <v>10</v>
      </c>
      <c r="D2532" t="s">
        <v>18</v>
      </c>
      <c r="E2532" t="s">
        <v>20</v>
      </c>
      <c r="F2532">
        <v>19</v>
      </c>
      <c r="G2532">
        <v>42979</v>
      </c>
      <c r="H2532">
        <v>816601</v>
      </c>
      <c r="I2532">
        <f t="shared" si="39"/>
        <v>816601</v>
      </c>
    </row>
    <row r="2533" spans="1:9" x14ac:dyDescent="0.3">
      <c r="A2533">
        <v>12532</v>
      </c>
      <c r="B2533" s="2">
        <v>45093</v>
      </c>
      <c r="C2533" t="s">
        <v>9</v>
      </c>
      <c r="D2533" t="s">
        <v>15</v>
      </c>
      <c r="E2533" t="s">
        <v>23</v>
      </c>
      <c r="F2533">
        <v>4</v>
      </c>
      <c r="G2533">
        <v>41110</v>
      </c>
      <c r="H2533">
        <v>164440</v>
      </c>
      <c r="I2533">
        <f t="shared" si="39"/>
        <v>164440</v>
      </c>
    </row>
    <row r="2534" spans="1:9" x14ac:dyDescent="0.3">
      <c r="A2534">
        <v>12533</v>
      </c>
      <c r="B2534" s="2">
        <v>45096</v>
      </c>
      <c r="C2534" t="s">
        <v>8</v>
      </c>
      <c r="D2534" t="s">
        <v>18</v>
      </c>
      <c r="E2534" t="s">
        <v>22</v>
      </c>
      <c r="F2534">
        <v>3</v>
      </c>
      <c r="G2534">
        <v>51052</v>
      </c>
      <c r="H2534">
        <v>153156</v>
      </c>
      <c r="I2534">
        <f t="shared" si="39"/>
        <v>153156</v>
      </c>
    </row>
    <row r="2535" spans="1:9" x14ac:dyDescent="0.3">
      <c r="A2535">
        <v>12534</v>
      </c>
      <c r="B2535" s="2">
        <v>44935</v>
      </c>
      <c r="C2535" t="s">
        <v>12</v>
      </c>
      <c r="D2535" t="s">
        <v>18</v>
      </c>
      <c r="E2535" t="s">
        <v>19</v>
      </c>
      <c r="F2535">
        <v>16</v>
      </c>
      <c r="G2535">
        <v>32849</v>
      </c>
      <c r="H2535">
        <v>525584</v>
      </c>
      <c r="I2535">
        <f t="shared" si="39"/>
        <v>525584</v>
      </c>
    </row>
    <row r="2536" spans="1:9" x14ac:dyDescent="0.3">
      <c r="A2536">
        <v>12535</v>
      </c>
      <c r="B2536" s="2">
        <v>45178</v>
      </c>
      <c r="C2536" t="s">
        <v>12</v>
      </c>
      <c r="D2536" t="s">
        <v>16</v>
      </c>
      <c r="E2536" t="s">
        <v>20</v>
      </c>
      <c r="F2536">
        <v>7</v>
      </c>
      <c r="G2536">
        <v>3389</v>
      </c>
      <c r="H2536">
        <v>23723</v>
      </c>
      <c r="I2536">
        <f t="shared" si="39"/>
        <v>23723</v>
      </c>
    </row>
    <row r="2537" spans="1:9" x14ac:dyDescent="0.3">
      <c r="A2537">
        <v>12536</v>
      </c>
      <c r="B2537" s="2">
        <v>45068</v>
      </c>
      <c r="C2537" t="s">
        <v>8</v>
      </c>
      <c r="D2537" t="s">
        <v>18</v>
      </c>
      <c r="E2537" t="s">
        <v>24</v>
      </c>
      <c r="F2537">
        <v>17</v>
      </c>
      <c r="G2537">
        <v>1662</v>
      </c>
      <c r="H2537">
        <v>28254</v>
      </c>
      <c r="I2537">
        <f t="shared" si="39"/>
        <v>28254</v>
      </c>
    </row>
    <row r="2538" spans="1:9" x14ac:dyDescent="0.3">
      <c r="A2538">
        <v>12537</v>
      </c>
      <c r="B2538" s="2">
        <v>44946</v>
      </c>
      <c r="C2538" t="s">
        <v>12</v>
      </c>
      <c r="D2538" t="s">
        <v>18</v>
      </c>
      <c r="E2538" t="s">
        <v>21</v>
      </c>
      <c r="F2538">
        <v>16</v>
      </c>
      <c r="G2538">
        <v>35563</v>
      </c>
      <c r="H2538">
        <v>569008</v>
      </c>
      <c r="I2538">
        <f t="shared" si="39"/>
        <v>569008</v>
      </c>
    </row>
    <row r="2539" spans="1:9" x14ac:dyDescent="0.3">
      <c r="A2539">
        <v>12538</v>
      </c>
      <c r="B2539" s="2">
        <v>45157</v>
      </c>
      <c r="C2539" t="s">
        <v>12</v>
      </c>
      <c r="D2539" t="s">
        <v>15</v>
      </c>
      <c r="E2539" t="s">
        <v>22</v>
      </c>
      <c r="F2539">
        <v>1</v>
      </c>
      <c r="G2539">
        <v>46041</v>
      </c>
      <c r="H2539">
        <v>46041</v>
      </c>
      <c r="I2539">
        <f t="shared" si="39"/>
        <v>46041</v>
      </c>
    </row>
    <row r="2540" spans="1:9" x14ac:dyDescent="0.3">
      <c r="A2540">
        <v>12539</v>
      </c>
      <c r="B2540" s="2">
        <v>44927</v>
      </c>
      <c r="C2540" t="s">
        <v>9</v>
      </c>
      <c r="D2540" t="s">
        <v>16</v>
      </c>
      <c r="E2540" t="s">
        <v>19</v>
      </c>
      <c r="F2540">
        <v>16</v>
      </c>
      <c r="G2540">
        <v>1992</v>
      </c>
      <c r="H2540">
        <v>31872</v>
      </c>
      <c r="I2540">
        <f t="shared" si="39"/>
        <v>31872</v>
      </c>
    </row>
    <row r="2541" spans="1:9" x14ac:dyDescent="0.3">
      <c r="A2541">
        <v>12540</v>
      </c>
      <c r="B2541" s="2">
        <v>44989</v>
      </c>
      <c r="C2541" t="s">
        <v>10</v>
      </c>
      <c r="D2541" t="s">
        <v>15</v>
      </c>
      <c r="E2541" t="s">
        <v>23</v>
      </c>
      <c r="F2541">
        <v>5</v>
      </c>
      <c r="G2541">
        <v>28432</v>
      </c>
      <c r="H2541">
        <v>142160</v>
      </c>
      <c r="I2541">
        <f t="shared" si="39"/>
        <v>142160</v>
      </c>
    </row>
    <row r="2542" spans="1:9" x14ac:dyDescent="0.3">
      <c r="A2542">
        <v>12541</v>
      </c>
      <c r="B2542" s="2">
        <v>44940</v>
      </c>
      <c r="C2542" t="s">
        <v>8</v>
      </c>
      <c r="D2542" t="s">
        <v>18</v>
      </c>
      <c r="E2542" t="s">
        <v>19</v>
      </c>
      <c r="F2542">
        <v>4</v>
      </c>
      <c r="G2542">
        <v>9413</v>
      </c>
      <c r="H2542">
        <v>37652</v>
      </c>
      <c r="I2542">
        <f t="shared" si="39"/>
        <v>37652</v>
      </c>
    </row>
    <row r="2543" spans="1:9" x14ac:dyDescent="0.3">
      <c r="A2543">
        <v>12542</v>
      </c>
      <c r="B2543" s="2">
        <v>45282</v>
      </c>
      <c r="C2543" t="s">
        <v>11</v>
      </c>
      <c r="D2543" t="s">
        <v>18</v>
      </c>
      <c r="E2543" t="s">
        <v>20</v>
      </c>
      <c r="F2543">
        <v>20</v>
      </c>
      <c r="G2543">
        <v>50192</v>
      </c>
      <c r="H2543">
        <v>1003840</v>
      </c>
      <c r="I2543">
        <f t="shared" si="39"/>
        <v>1003840</v>
      </c>
    </row>
    <row r="2544" spans="1:9" x14ac:dyDescent="0.3">
      <c r="A2544">
        <v>12543</v>
      </c>
      <c r="B2544" s="2">
        <v>45000</v>
      </c>
      <c r="C2544" t="s">
        <v>11</v>
      </c>
      <c r="D2544" t="s">
        <v>18</v>
      </c>
      <c r="E2544" t="s">
        <v>24</v>
      </c>
      <c r="F2544">
        <v>7</v>
      </c>
      <c r="G2544">
        <v>14535</v>
      </c>
      <c r="H2544">
        <v>101745</v>
      </c>
      <c r="I2544">
        <f t="shared" si="39"/>
        <v>101745</v>
      </c>
    </row>
    <row r="2545" spans="1:9" x14ac:dyDescent="0.3">
      <c r="A2545">
        <v>12544</v>
      </c>
      <c r="B2545" s="2">
        <v>45011</v>
      </c>
      <c r="C2545" t="s">
        <v>10</v>
      </c>
      <c r="D2545" t="s">
        <v>16</v>
      </c>
      <c r="E2545" t="s">
        <v>23</v>
      </c>
      <c r="F2545">
        <v>8</v>
      </c>
      <c r="G2545">
        <v>5555</v>
      </c>
      <c r="H2545">
        <v>44440</v>
      </c>
      <c r="I2545">
        <f t="shared" si="39"/>
        <v>44440</v>
      </c>
    </row>
    <row r="2546" spans="1:9" x14ac:dyDescent="0.3">
      <c r="A2546">
        <v>12545</v>
      </c>
      <c r="B2546" s="2">
        <v>45279</v>
      </c>
      <c r="C2546" t="s">
        <v>9</v>
      </c>
      <c r="D2546" t="s">
        <v>17</v>
      </c>
      <c r="E2546" t="s">
        <v>20</v>
      </c>
      <c r="F2546">
        <v>6</v>
      </c>
      <c r="G2546">
        <v>52307</v>
      </c>
      <c r="H2546">
        <v>313842</v>
      </c>
      <c r="I2546">
        <f t="shared" si="39"/>
        <v>313842</v>
      </c>
    </row>
    <row r="2547" spans="1:9" x14ac:dyDescent="0.3">
      <c r="A2547">
        <v>12546</v>
      </c>
      <c r="B2547" s="2">
        <v>44995</v>
      </c>
      <c r="C2547" t="s">
        <v>9</v>
      </c>
      <c r="D2547" t="s">
        <v>18</v>
      </c>
      <c r="E2547" t="s">
        <v>19</v>
      </c>
      <c r="F2547">
        <v>16</v>
      </c>
      <c r="G2547">
        <v>17593</v>
      </c>
      <c r="H2547">
        <v>281488</v>
      </c>
      <c r="I2547">
        <f t="shared" si="39"/>
        <v>281488</v>
      </c>
    </row>
    <row r="2548" spans="1:9" x14ac:dyDescent="0.3">
      <c r="A2548">
        <v>12547</v>
      </c>
      <c r="B2548" s="2">
        <v>45183</v>
      </c>
      <c r="C2548" t="s">
        <v>8</v>
      </c>
      <c r="D2548" t="s">
        <v>18</v>
      </c>
      <c r="E2548" t="s">
        <v>21</v>
      </c>
      <c r="F2548">
        <v>11</v>
      </c>
      <c r="G2548">
        <v>59176</v>
      </c>
      <c r="H2548">
        <v>650936</v>
      </c>
      <c r="I2548">
        <f t="shared" si="39"/>
        <v>650936</v>
      </c>
    </row>
    <row r="2549" spans="1:9" x14ac:dyDescent="0.3">
      <c r="A2549">
        <v>12548</v>
      </c>
      <c r="B2549" s="2">
        <v>45028</v>
      </c>
      <c r="C2549" t="s">
        <v>13</v>
      </c>
      <c r="D2549" t="s">
        <v>15</v>
      </c>
      <c r="E2549" t="s">
        <v>23</v>
      </c>
      <c r="F2549">
        <v>8</v>
      </c>
      <c r="G2549">
        <v>40305</v>
      </c>
      <c r="H2549">
        <v>322440</v>
      </c>
      <c r="I2549">
        <f t="shared" si="39"/>
        <v>322440</v>
      </c>
    </row>
    <row r="2550" spans="1:9" x14ac:dyDescent="0.3">
      <c r="A2550">
        <v>12549</v>
      </c>
      <c r="B2550" s="2">
        <v>45254</v>
      </c>
      <c r="C2550" t="s">
        <v>14</v>
      </c>
      <c r="D2550" t="s">
        <v>15</v>
      </c>
      <c r="E2550" t="s">
        <v>22</v>
      </c>
      <c r="F2550">
        <v>18</v>
      </c>
      <c r="G2550">
        <v>18697</v>
      </c>
      <c r="H2550">
        <v>336546</v>
      </c>
      <c r="I2550">
        <f t="shared" si="39"/>
        <v>336546</v>
      </c>
    </row>
    <row r="2551" spans="1:9" x14ac:dyDescent="0.3">
      <c r="A2551">
        <v>12550</v>
      </c>
      <c r="B2551" s="2">
        <v>45269</v>
      </c>
      <c r="C2551" t="s">
        <v>11</v>
      </c>
      <c r="D2551" t="s">
        <v>18</v>
      </c>
      <c r="E2551" t="s">
        <v>22</v>
      </c>
      <c r="F2551">
        <v>9</v>
      </c>
      <c r="G2551">
        <v>53219</v>
      </c>
      <c r="H2551">
        <v>478971</v>
      </c>
      <c r="I2551">
        <f t="shared" si="39"/>
        <v>478971</v>
      </c>
    </row>
    <row r="2552" spans="1:9" x14ac:dyDescent="0.3">
      <c r="A2552">
        <v>12551</v>
      </c>
      <c r="B2552" s="2">
        <v>45017</v>
      </c>
      <c r="C2552" t="s">
        <v>9</v>
      </c>
      <c r="D2552" t="s">
        <v>18</v>
      </c>
      <c r="E2552" t="s">
        <v>21</v>
      </c>
      <c r="F2552">
        <v>15</v>
      </c>
      <c r="G2552">
        <v>27851</v>
      </c>
      <c r="H2552">
        <v>417765</v>
      </c>
      <c r="I2552">
        <f t="shared" si="39"/>
        <v>417765</v>
      </c>
    </row>
    <row r="2553" spans="1:9" x14ac:dyDescent="0.3">
      <c r="A2553">
        <v>12552</v>
      </c>
      <c r="B2553" s="2">
        <v>45044</v>
      </c>
      <c r="C2553" t="s">
        <v>11</v>
      </c>
      <c r="D2553" t="s">
        <v>16</v>
      </c>
      <c r="E2553" t="s">
        <v>19</v>
      </c>
      <c r="F2553">
        <v>12</v>
      </c>
      <c r="G2553">
        <v>33068</v>
      </c>
      <c r="H2553">
        <v>396816</v>
      </c>
      <c r="I2553">
        <f t="shared" si="39"/>
        <v>396816</v>
      </c>
    </row>
    <row r="2554" spans="1:9" x14ac:dyDescent="0.3">
      <c r="A2554">
        <v>12553</v>
      </c>
      <c r="B2554" s="2">
        <v>45214</v>
      </c>
      <c r="C2554" t="s">
        <v>12</v>
      </c>
      <c r="D2554" t="s">
        <v>17</v>
      </c>
      <c r="E2554" t="s">
        <v>19</v>
      </c>
      <c r="F2554">
        <v>9</v>
      </c>
      <c r="G2554">
        <v>15602</v>
      </c>
      <c r="H2554">
        <v>140418</v>
      </c>
      <c r="I2554">
        <f t="shared" si="39"/>
        <v>140418</v>
      </c>
    </row>
    <row r="2555" spans="1:9" x14ac:dyDescent="0.3">
      <c r="A2555">
        <v>12554</v>
      </c>
      <c r="B2555" s="2">
        <v>44943</v>
      </c>
      <c r="C2555" t="s">
        <v>14</v>
      </c>
      <c r="D2555" t="s">
        <v>17</v>
      </c>
      <c r="E2555" t="s">
        <v>22</v>
      </c>
      <c r="F2555">
        <v>14</v>
      </c>
      <c r="G2555">
        <v>31356</v>
      </c>
      <c r="H2555">
        <v>438984</v>
      </c>
      <c r="I2555">
        <f t="shared" si="39"/>
        <v>438984</v>
      </c>
    </row>
    <row r="2556" spans="1:9" x14ac:dyDescent="0.3">
      <c r="A2556">
        <v>12555</v>
      </c>
      <c r="B2556" s="2">
        <v>45231</v>
      </c>
      <c r="C2556" t="s">
        <v>14</v>
      </c>
      <c r="D2556" t="s">
        <v>18</v>
      </c>
      <c r="E2556" t="s">
        <v>22</v>
      </c>
      <c r="F2556">
        <v>10</v>
      </c>
      <c r="G2556">
        <v>3077</v>
      </c>
      <c r="H2556">
        <v>30770</v>
      </c>
      <c r="I2556">
        <f t="shared" si="39"/>
        <v>30770</v>
      </c>
    </row>
    <row r="2557" spans="1:9" x14ac:dyDescent="0.3">
      <c r="A2557">
        <v>12556</v>
      </c>
      <c r="B2557" s="2">
        <v>45051</v>
      </c>
      <c r="C2557" t="s">
        <v>8</v>
      </c>
      <c r="D2557" t="s">
        <v>17</v>
      </c>
      <c r="E2557" t="s">
        <v>22</v>
      </c>
      <c r="F2557">
        <v>2</v>
      </c>
      <c r="G2557">
        <v>59664</v>
      </c>
      <c r="H2557">
        <v>119328</v>
      </c>
      <c r="I2557">
        <f t="shared" si="39"/>
        <v>119328</v>
      </c>
    </row>
    <row r="2558" spans="1:9" x14ac:dyDescent="0.3">
      <c r="A2558">
        <v>12557</v>
      </c>
      <c r="B2558" s="2">
        <v>45160</v>
      </c>
      <c r="C2558" t="s">
        <v>9</v>
      </c>
      <c r="D2558" t="s">
        <v>18</v>
      </c>
      <c r="E2558" t="s">
        <v>21</v>
      </c>
      <c r="F2558">
        <v>10</v>
      </c>
      <c r="G2558">
        <v>7499</v>
      </c>
      <c r="H2558">
        <v>74990</v>
      </c>
      <c r="I2558">
        <f t="shared" si="39"/>
        <v>74990</v>
      </c>
    </row>
    <row r="2559" spans="1:9" x14ac:dyDescent="0.3">
      <c r="A2559">
        <v>12558</v>
      </c>
      <c r="B2559" s="2">
        <v>45139</v>
      </c>
      <c r="C2559" t="s">
        <v>12</v>
      </c>
      <c r="D2559" t="s">
        <v>16</v>
      </c>
      <c r="E2559" t="s">
        <v>22</v>
      </c>
      <c r="F2559">
        <v>3</v>
      </c>
      <c r="G2559">
        <v>29404</v>
      </c>
      <c r="H2559">
        <v>88212</v>
      </c>
      <c r="I2559">
        <f t="shared" si="39"/>
        <v>88212</v>
      </c>
    </row>
    <row r="2560" spans="1:9" x14ac:dyDescent="0.3">
      <c r="A2560">
        <v>12559</v>
      </c>
      <c r="B2560" s="2">
        <v>45048</v>
      </c>
      <c r="C2560" t="s">
        <v>12</v>
      </c>
      <c r="D2560" t="s">
        <v>18</v>
      </c>
      <c r="E2560" t="s">
        <v>23</v>
      </c>
      <c r="F2560">
        <v>15</v>
      </c>
      <c r="G2560">
        <v>3138</v>
      </c>
      <c r="H2560">
        <v>47070</v>
      </c>
      <c r="I2560">
        <f t="shared" si="39"/>
        <v>47070</v>
      </c>
    </row>
    <row r="2561" spans="1:9" x14ac:dyDescent="0.3">
      <c r="A2561">
        <v>12560</v>
      </c>
      <c r="B2561" s="2">
        <v>45031</v>
      </c>
      <c r="C2561" t="s">
        <v>8</v>
      </c>
      <c r="D2561" t="s">
        <v>16</v>
      </c>
      <c r="E2561" t="s">
        <v>23</v>
      </c>
      <c r="F2561">
        <v>17</v>
      </c>
      <c r="G2561">
        <v>36451</v>
      </c>
      <c r="H2561">
        <v>619667</v>
      </c>
      <c r="I2561">
        <f t="shared" si="39"/>
        <v>619667</v>
      </c>
    </row>
    <row r="2562" spans="1:9" x14ac:dyDescent="0.3">
      <c r="A2562">
        <v>12561</v>
      </c>
      <c r="B2562" s="2">
        <v>44952</v>
      </c>
      <c r="C2562" t="s">
        <v>9</v>
      </c>
      <c r="D2562" t="s">
        <v>15</v>
      </c>
      <c r="E2562" t="s">
        <v>24</v>
      </c>
      <c r="F2562">
        <v>19</v>
      </c>
      <c r="G2562">
        <v>24874</v>
      </c>
      <c r="H2562">
        <v>472606</v>
      </c>
      <c r="I2562">
        <f t="shared" si="39"/>
        <v>472606</v>
      </c>
    </row>
    <row r="2563" spans="1:9" x14ac:dyDescent="0.3">
      <c r="A2563">
        <v>12562</v>
      </c>
      <c r="B2563" s="2">
        <v>45100</v>
      </c>
      <c r="C2563" t="s">
        <v>8</v>
      </c>
      <c r="D2563" t="s">
        <v>15</v>
      </c>
      <c r="E2563" t="s">
        <v>23</v>
      </c>
      <c r="F2563">
        <v>20</v>
      </c>
      <c r="G2563">
        <v>6323</v>
      </c>
      <c r="H2563">
        <v>126460</v>
      </c>
      <c r="I2563">
        <f t="shared" ref="I2563:I2626" si="40">G2563*F2563</f>
        <v>126460</v>
      </c>
    </row>
    <row r="2564" spans="1:9" x14ac:dyDescent="0.3">
      <c r="A2564">
        <v>12563</v>
      </c>
      <c r="B2564" s="2">
        <v>44962</v>
      </c>
      <c r="C2564" t="s">
        <v>11</v>
      </c>
      <c r="D2564" t="s">
        <v>18</v>
      </c>
      <c r="E2564" t="s">
        <v>22</v>
      </c>
      <c r="F2564">
        <v>15</v>
      </c>
      <c r="G2564">
        <v>57129</v>
      </c>
      <c r="H2564">
        <v>856935</v>
      </c>
      <c r="I2564">
        <f t="shared" si="40"/>
        <v>856935</v>
      </c>
    </row>
    <row r="2565" spans="1:9" x14ac:dyDescent="0.3">
      <c r="A2565">
        <v>12564</v>
      </c>
      <c r="B2565" s="2">
        <v>45269</v>
      </c>
      <c r="C2565" t="s">
        <v>11</v>
      </c>
      <c r="D2565" t="s">
        <v>18</v>
      </c>
      <c r="E2565" t="s">
        <v>24</v>
      </c>
      <c r="F2565">
        <v>13</v>
      </c>
      <c r="G2565">
        <v>35151</v>
      </c>
      <c r="H2565">
        <v>456963</v>
      </c>
      <c r="I2565">
        <f t="shared" si="40"/>
        <v>456963</v>
      </c>
    </row>
    <row r="2566" spans="1:9" x14ac:dyDescent="0.3">
      <c r="A2566">
        <v>12565</v>
      </c>
      <c r="B2566" s="2">
        <v>44982</v>
      </c>
      <c r="C2566" t="s">
        <v>10</v>
      </c>
      <c r="D2566" t="s">
        <v>15</v>
      </c>
      <c r="E2566" t="s">
        <v>21</v>
      </c>
      <c r="F2566">
        <v>1</v>
      </c>
      <c r="G2566">
        <v>55518</v>
      </c>
      <c r="H2566">
        <v>55518</v>
      </c>
      <c r="I2566">
        <f t="shared" si="40"/>
        <v>55518</v>
      </c>
    </row>
    <row r="2567" spans="1:9" x14ac:dyDescent="0.3">
      <c r="A2567">
        <v>12566</v>
      </c>
      <c r="B2567" s="2">
        <v>45128</v>
      </c>
      <c r="C2567" t="s">
        <v>12</v>
      </c>
      <c r="D2567" t="s">
        <v>16</v>
      </c>
      <c r="E2567" t="s">
        <v>21</v>
      </c>
      <c r="F2567">
        <v>8</v>
      </c>
      <c r="G2567">
        <v>46404</v>
      </c>
      <c r="H2567">
        <v>371232</v>
      </c>
      <c r="I2567">
        <f t="shared" si="40"/>
        <v>371232</v>
      </c>
    </row>
    <row r="2568" spans="1:9" x14ac:dyDescent="0.3">
      <c r="A2568">
        <v>12567</v>
      </c>
      <c r="B2568" s="2">
        <v>45027</v>
      </c>
      <c r="C2568" t="s">
        <v>11</v>
      </c>
      <c r="D2568" t="s">
        <v>18</v>
      </c>
      <c r="E2568" t="s">
        <v>19</v>
      </c>
      <c r="F2568">
        <v>16</v>
      </c>
      <c r="G2568">
        <v>24155</v>
      </c>
      <c r="H2568">
        <v>386480</v>
      </c>
      <c r="I2568">
        <f t="shared" si="40"/>
        <v>386480</v>
      </c>
    </row>
    <row r="2569" spans="1:9" x14ac:dyDescent="0.3">
      <c r="A2569">
        <v>12568</v>
      </c>
      <c r="B2569" s="2">
        <v>45240</v>
      </c>
      <c r="C2569" t="s">
        <v>10</v>
      </c>
      <c r="D2569" t="s">
        <v>18</v>
      </c>
      <c r="E2569" t="s">
        <v>23</v>
      </c>
      <c r="F2569">
        <v>2</v>
      </c>
      <c r="G2569">
        <v>8573</v>
      </c>
      <c r="H2569">
        <v>17146</v>
      </c>
      <c r="I2569">
        <f t="shared" si="40"/>
        <v>17146</v>
      </c>
    </row>
    <row r="2570" spans="1:9" x14ac:dyDescent="0.3">
      <c r="A2570">
        <v>12569</v>
      </c>
      <c r="B2570" s="2">
        <v>45045</v>
      </c>
      <c r="C2570" t="s">
        <v>11</v>
      </c>
      <c r="D2570" t="s">
        <v>17</v>
      </c>
      <c r="E2570" t="s">
        <v>21</v>
      </c>
      <c r="F2570">
        <v>11</v>
      </c>
      <c r="G2570">
        <v>21924</v>
      </c>
      <c r="H2570">
        <v>241164</v>
      </c>
      <c r="I2570">
        <f t="shared" si="40"/>
        <v>241164</v>
      </c>
    </row>
    <row r="2571" spans="1:9" x14ac:dyDescent="0.3">
      <c r="A2571">
        <v>12570</v>
      </c>
      <c r="B2571" s="2">
        <v>45126</v>
      </c>
      <c r="C2571" t="s">
        <v>10</v>
      </c>
      <c r="D2571" t="s">
        <v>16</v>
      </c>
      <c r="E2571" t="s">
        <v>20</v>
      </c>
      <c r="F2571">
        <v>11</v>
      </c>
      <c r="G2571">
        <v>45174</v>
      </c>
      <c r="H2571">
        <v>496914</v>
      </c>
      <c r="I2571">
        <f t="shared" si="40"/>
        <v>496914</v>
      </c>
    </row>
    <row r="2572" spans="1:9" x14ac:dyDescent="0.3">
      <c r="A2572">
        <v>12571</v>
      </c>
      <c r="B2572" s="2">
        <v>45132</v>
      </c>
      <c r="C2572" t="s">
        <v>13</v>
      </c>
      <c r="D2572" t="s">
        <v>16</v>
      </c>
      <c r="E2572" t="s">
        <v>22</v>
      </c>
      <c r="F2572">
        <v>2</v>
      </c>
      <c r="G2572">
        <v>6739</v>
      </c>
      <c r="H2572">
        <v>13478</v>
      </c>
      <c r="I2572">
        <f t="shared" si="40"/>
        <v>13478</v>
      </c>
    </row>
    <row r="2573" spans="1:9" x14ac:dyDescent="0.3">
      <c r="A2573">
        <v>12572</v>
      </c>
      <c r="B2573" s="2">
        <v>44975</v>
      </c>
      <c r="C2573" t="s">
        <v>12</v>
      </c>
      <c r="D2573" t="s">
        <v>17</v>
      </c>
      <c r="E2573" t="s">
        <v>22</v>
      </c>
      <c r="F2573">
        <v>15</v>
      </c>
      <c r="G2573">
        <v>40943</v>
      </c>
      <c r="H2573">
        <v>614145</v>
      </c>
      <c r="I2573">
        <f t="shared" si="40"/>
        <v>614145</v>
      </c>
    </row>
    <row r="2574" spans="1:9" x14ac:dyDescent="0.3">
      <c r="A2574">
        <v>12573</v>
      </c>
      <c r="B2574" s="2">
        <v>45085</v>
      </c>
      <c r="C2574" t="s">
        <v>10</v>
      </c>
      <c r="D2574" t="s">
        <v>16</v>
      </c>
      <c r="E2574" t="s">
        <v>20</v>
      </c>
      <c r="F2574">
        <v>9</v>
      </c>
      <c r="G2574">
        <v>51914</v>
      </c>
      <c r="H2574">
        <v>467226</v>
      </c>
      <c r="I2574">
        <f t="shared" si="40"/>
        <v>467226</v>
      </c>
    </row>
    <row r="2575" spans="1:9" x14ac:dyDescent="0.3">
      <c r="A2575">
        <v>12574</v>
      </c>
      <c r="B2575" s="2">
        <v>44959</v>
      </c>
      <c r="C2575" t="s">
        <v>13</v>
      </c>
      <c r="D2575" t="s">
        <v>16</v>
      </c>
      <c r="E2575" t="s">
        <v>20</v>
      </c>
      <c r="F2575">
        <v>8</v>
      </c>
      <c r="G2575">
        <v>8507</v>
      </c>
      <c r="H2575">
        <v>68056</v>
      </c>
      <c r="I2575">
        <f t="shared" si="40"/>
        <v>68056</v>
      </c>
    </row>
    <row r="2576" spans="1:9" x14ac:dyDescent="0.3">
      <c r="A2576">
        <v>12575</v>
      </c>
      <c r="B2576" s="2">
        <v>45232</v>
      </c>
      <c r="C2576" t="s">
        <v>11</v>
      </c>
      <c r="D2576" t="s">
        <v>18</v>
      </c>
      <c r="E2576" t="s">
        <v>21</v>
      </c>
      <c r="F2576">
        <v>15</v>
      </c>
      <c r="G2576">
        <v>47557</v>
      </c>
      <c r="H2576">
        <v>713355</v>
      </c>
      <c r="I2576">
        <f t="shared" si="40"/>
        <v>713355</v>
      </c>
    </row>
    <row r="2577" spans="1:9" x14ac:dyDescent="0.3">
      <c r="A2577">
        <v>12576</v>
      </c>
      <c r="B2577" s="2">
        <v>45028</v>
      </c>
      <c r="C2577" t="s">
        <v>9</v>
      </c>
      <c r="D2577" t="s">
        <v>17</v>
      </c>
      <c r="E2577" t="s">
        <v>22</v>
      </c>
      <c r="F2577">
        <v>8</v>
      </c>
      <c r="G2577">
        <v>26946</v>
      </c>
      <c r="H2577">
        <v>215568</v>
      </c>
      <c r="I2577">
        <f t="shared" si="40"/>
        <v>215568</v>
      </c>
    </row>
    <row r="2578" spans="1:9" x14ac:dyDescent="0.3">
      <c r="A2578">
        <v>12577</v>
      </c>
      <c r="B2578" s="2">
        <v>45188</v>
      </c>
      <c r="C2578" t="s">
        <v>13</v>
      </c>
      <c r="D2578" t="s">
        <v>18</v>
      </c>
      <c r="E2578" t="s">
        <v>20</v>
      </c>
      <c r="F2578">
        <v>12</v>
      </c>
      <c r="G2578">
        <v>49827</v>
      </c>
      <c r="H2578">
        <v>597924</v>
      </c>
      <c r="I2578">
        <f t="shared" si="40"/>
        <v>597924</v>
      </c>
    </row>
    <row r="2579" spans="1:9" x14ac:dyDescent="0.3">
      <c r="A2579">
        <v>12578</v>
      </c>
      <c r="B2579" s="2">
        <v>45238</v>
      </c>
      <c r="C2579" t="s">
        <v>12</v>
      </c>
      <c r="D2579" t="s">
        <v>17</v>
      </c>
      <c r="E2579" t="s">
        <v>23</v>
      </c>
      <c r="F2579">
        <v>4</v>
      </c>
      <c r="G2579">
        <v>29244</v>
      </c>
      <c r="H2579">
        <v>116976</v>
      </c>
      <c r="I2579">
        <f t="shared" si="40"/>
        <v>116976</v>
      </c>
    </row>
    <row r="2580" spans="1:9" x14ac:dyDescent="0.3">
      <c r="A2580">
        <v>12579</v>
      </c>
      <c r="B2580" s="2">
        <v>45147</v>
      </c>
      <c r="C2580" t="s">
        <v>12</v>
      </c>
      <c r="D2580" t="s">
        <v>16</v>
      </c>
      <c r="E2580" t="s">
        <v>21</v>
      </c>
      <c r="F2580">
        <v>11</v>
      </c>
      <c r="G2580">
        <v>43787</v>
      </c>
      <c r="H2580">
        <v>481657</v>
      </c>
      <c r="I2580">
        <f t="shared" si="40"/>
        <v>481657</v>
      </c>
    </row>
    <row r="2581" spans="1:9" x14ac:dyDescent="0.3">
      <c r="A2581">
        <v>12580</v>
      </c>
      <c r="B2581" s="2">
        <v>45017</v>
      </c>
      <c r="C2581" t="s">
        <v>14</v>
      </c>
      <c r="D2581" t="s">
        <v>15</v>
      </c>
      <c r="E2581" t="s">
        <v>19</v>
      </c>
      <c r="F2581">
        <v>3</v>
      </c>
      <c r="G2581">
        <v>45893</v>
      </c>
      <c r="H2581">
        <v>137679</v>
      </c>
      <c r="I2581">
        <f t="shared" si="40"/>
        <v>137679</v>
      </c>
    </row>
    <row r="2582" spans="1:9" x14ac:dyDescent="0.3">
      <c r="A2582">
        <v>12581</v>
      </c>
      <c r="B2582" s="2">
        <v>45090</v>
      </c>
      <c r="C2582" t="s">
        <v>8</v>
      </c>
      <c r="D2582" t="s">
        <v>17</v>
      </c>
      <c r="E2582" t="s">
        <v>20</v>
      </c>
      <c r="F2582">
        <v>3</v>
      </c>
      <c r="G2582">
        <v>15193</v>
      </c>
      <c r="H2582">
        <v>45579</v>
      </c>
      <c r="I2582">
        <f t="shared" si="40"/>
        <v>45579</v>
      </c>
    </row>
    <row r="2583" spans="1:9" x14ac:dyDescent="0.3">
      <c r="A2583">
        <v>12582</v>
      </c>
      <c r="B2583" s="2">
        <v>45020</v>
      </c>
      <c r="C2583" t="s">
        <v>10</v>
      </c>
      <c r="D2583" t="s">
        <v>18</v>
      </c>
      <c r="E2583" t="s">
        <v>20</v>
      </c>
      <c r="F2583">
        <v>13</v>
      </c>
      <c r="G2583">
        <v>34945</v>
      </c>
      <c r="H2583">
        <v>454285</v>
      </c>
      <c r="I2583">
        <f t="shared" si="40"/>
        <v>454285</v>
      </c>
    </row>
    <row r="2584" spans="1:9" x14ac:dyDescent="0.3">
      <c r="A2584">
        <v>12583</v>
      </c>
      <c r="B2584" s="2">
        <v>45057</v>
      </c>
      <c r="C2584" t="s">
        <v>11</v>
      </c>
      <c r="D2584" t="s">
        <v>17</v>
      </c>
      <c r="E2584" t="s">
        <v>22</v>
      </c>
      <c r="F2584">
        <v>9</v>
      </c>
      <c r="G2584">
        <v>56116</v>
      </c>
      <c r="H2584">
        <v>505044</v>
      </c>
      <c r="I2584">
        <f t="shared" si="40"/>
        <v>505044</v>
      </c>
    </row>
    <row r="2585" spans="1:9" x14ac:dyDescent="0.3">
      <c r="A2585">
        <v>12584</v>
      </c>
      <c r="B2585" s="2">
        <v>45098</v>
      </c>
      <c r="C2585" t="s">
        <v>9</v>
      </c>
      <c r="D2585" t="s">
        <v>18</v>
      </c>
      <c r="E2585" t="s">
        <v>20</v>
      </c>
      <c r="F2585">
        <v>20</v>
      </c>
      <c r="G2585">
        <v>5713</v>
      </c>
      <c r="H2585">
        <v>114260</v>
      </c>
      <c r="I2585">
        <f t="shared" si="40"/>
        <v>114260</v>
      </c>
    </row>
    <row r="2586" spans="1:9" x14ac:dyDescent="0.3">
      <c r="A2586">
        <v>12585</v>
      </c>
      <c r="B2586" s="2">
        <v>44982</v>
      </c>
      <c r="C2586" t="s">
        <v>10</v>
      </c>
      <c r="D2586" t="s">
        <v>18</v>
      </c>
      <c r="E2586" t="s">
        <v>23</v>
      </c>
      <c r="F2586">
        <v>15</v>
      </c>
      <c r="G2586">
        <v>2184</v>
      </c>
      <c r="H2586">
        <v>32760</v>
      </c>
      <c r="I2586">
        <f t="shared" si="40"/>
        <v>32760</v>
      </c>
    </row>
    <row r="2587" spans="1:9" x14ac:dyDescent="0.3">
      <c r="A2587">
        <v>12586</v>
      </c>
      <c r="B2587" s="2">
        <v>44957</v>
      </c>
      <c r="C2587" t="s">
        <v>12</v>
      </c>
      <c r="D2587" t="s">
        <v>17</v>
      </c>
      <c r="E2587" t="s">
        <v>19</v>
      </c>
      <c r="F2587">
        <v>11</v>
      </c>
      <c r="G2587">
        <v>39238</v>
      </c>
      <c r="H2587">
        <v>431618</v>
      </c>
      <c r="I2587">
        <f t="shared" si="40"/>
        <v>431618</v>
      </c>
    </row>
    <row r="2588" spans="1:9" x14ac:dyDescent="0.3">
      <c r="A2588">
        <v>12587</v>
      </c>
      <c r="B2588" s="2">
        <v>45168</v>
      </c>
      <c r="C2588" t="s">
        <v>14</v>
      </c>
      <c r="D2588" t="s">
        <v>18</v>
      </c>
      <c r="E2588" t="s">
        <v>20</v>
      </c>
      <c r="F2588">
        <v>13</v>
      </c>
      <c r="G2588">
        <v>33993</v>
      </c>
      <c r="H2588">
        <v>441909</v>
      </c>
      <c r="I2588">
        <f t="shared" si="40"/>
        <v>441909</v>
      </c>
    </row>
    <row r="2589" spans="1:9" x14ac:dyDescent="0.3">
      <c r="A2589">
        <v>12588</v>
      </c>
      <c r="B2589" s="2">
        <v>44968</v>
      </c>
      <c r="C2589" t="s">
        <v>10</v>
      </c>
      <c r="D2589" t="s">
        <v>15</v>
      </c>
      <c r="E2589" t="s">
        <v>22</v>
      </c>
      <c r="F2589">
        <v>14</v>
      </c>
      <c r="G2589">
        <v>44653</v>
      </c>
      <c r="H2589">
        <v>625142</v>
      </c>
      <c r="I2589">
        <f t="shared" si="40"/>
        <v>625142</v>
      </c>
    </row>
    <row r="2590" spans="1:9" x14ac:dyDescent="0.3">
      <c r="A2590">
        <v>12589</v>
      </c>
      <c r="B2590" s="2">
        <v>45246</v>
      </c>
      <c r="C2590" t="s">
        <v>9</v>
      </c>
      <c r="D2590" t="s">
        <v>16</v>
      </c>
      <c r="E2590" t="s">
        <v>22</v>
      </c>
      <c r="F2590">
        <v>12</v>
      </c>
      <c r="G2590">
        <v>30718</v>
      </c>
      <c r="H2590">
        <v>368616</v>
      </c>
      <c r="I2590">
        <f t="shared" si="40"/>
        <v>368616</v>
      </c>
    </row>
    <row r="2591" spans="1:9" x14ac:dyDescent="0.3">
      <c r="A2591">
        <v>12590</v>
      </c>
      <c r="B2591" s="2">
        <v>45190</v>
      </c>
      <c r="C2591" t="s">
        <v>12</v>
      </c>
      <c r="D2591" t="s">
        <v>16</v>
      </c>
      <c r="E2591" t="s">
        <v>19</v>
      </c>
      <c r="F2591">
        <v>19</v>
      </c>
      <c r="G2591">
        <v>21779</v>
      </c>
      <c r="H2591">
        <v>413801</v>
      </c>
      <c r="I2591">
        <f t="shared" si="40"/>
        <v>413801</v>
      </c>
    </row>
    <row r="2592" spans="1:9" x14ac:dyDescent="0.3">
      <c r="A2592">
        <v>12591</v>
      </c>
      <c r="B2592" s="2">
        <v>45249</v>
      </c>
      <c r="C2592" t="s">
        <v>10</v>
      </c>
      <c r="D2592" t="s">
        <v>15</v>
      </c>
      <c r="E2592" t="s">
        <v>23</v>
      </c>
      <c r="F2592">
        <v>19</v>
      </c>
      <c r="G2592">
        <v>54715</v>
      </c>
      <c r="H2592">
        <v>1039585</v>
      </c>
      <c r="I2592">
        <f t="shared" si="40"/>
        <v>1039585</v>
      </c>
    </row>
    <row r="2593" spans="1:9" x14ac:dyDescent="0.3">
      <c r="A2593">
        <v>12592</v>
      </c>
      <c r="B2593" s="2">
        <v>45193</v>
      </c>
      <c r="C2593" t="s">
        <v>10</v>
      </c>
      <c r="D2593" t="s">
        <v>15</v>
      </c>
      <c r="E2593" t="s">
        <v>19</v>
      </c>
      <c r="F2593">
        <v>15</v>
      </c>
      <c r="G2593">
        <v>25995</v>
      </c>
      <c r="H2593">
        <v>389925</v>
      </c>
      <c r="I2593">
        <f t="shared" si="40"/>
        <v>389925</v>
      </c>
    </row>
    <row r="2594" spans="1:9" x14ac:dyDescent="0.3">
      <c r="A2594">
        <v>12593</v>
      </c>
      <c r="B2594" s="2">
        <v>45028</v>
      </c>
      <c r="C2594" t="s">
        <v>10</v>
      </c>
      <c r="D2594" t="s">
        <v>17</v>
      </c>
      <c r="E2594" t="s">
        <v>21</v>
      </c>
      <c r="F2594">
        <v>18</v>
      </c>
      <c r="G2594">
        <v>18892</v>
      </c>
      <c r="H2594">
        <v>340056</v>
      </c>
      <c r="I2594">
        <f t="shared" si="40"/>
        <v>340056</v>
      </c>
    </row>
    <row r="2595" spans="1:9" x14ac:dyDescent="0.3">
      <c r="A2595">
        <v>12594</v>
      </c>
      <c r="B2595" s="2">
        <v>45199</v>
      </c>
      <c r="C2595" t="s">
        <v>10</v>
      </c>
      <c r="D2595" t="s">
        <v>18</v>
      </c>
      <c r="E2595" t="s">
        <v>23</v>
      </c>
      <c r="F2595">
        <v>10</v>
      </c>
      <c r="G2595">
        <v>53176</v>
      </c>
      <c r="H2595">
        <v>531760</v>
      </c>
      <c r="I2595">
        <f t="shared" si="40"/>
        <v>531760</v>
      </c>
    </row>
    <row r="2596" spans="1:9" x14ac:dyDescent="0.3">
      <c r="A2596">
        <v>12595</v>
      </c>
      <c r="B2596" s="2">
        <v>45087</v>
      </c>
      <c r="C2596" t="s">
        <v>11</v>
      </c>
      <c r="D2596" t="s">
        <v>16</v>
      </c>
      <c r="E2596" t="s">
        <v>21</v>
      </c>
      <c r="F2596">
        <v>2</v>
      </c>
      <c r="G2596">
        <v>52757</v>
      </c>
      <c r="H2596">
        <v>105514</v>
      </c>
      <c r="I2596">
        <f t="shared" si="40"/>
        <v>105514</v>
      </c>
    </row>
    <row r="2597" spans="1:9" x14ac:dyDescent="0.3">
      <c r="A2597">
        <v>12596</v>
      </c>
      <c r="B2597" s="2">
        <v>45136</v>
      </c>
      <c r="C2597" t="s">
        <v>11</v>
      </c>
      <c r="D2597" t="s">
        <v>18</v>
      </c>
      <c r="E2597" t="s">
        <v>19</v>
      </c>
      <c r="F2597">
        <v>18</v>
      </c>
      <c r="G2597">
        <v>13418</v>
      </c>
      <c r="H2597">
        <v>241524</v>
      </c>
      <c r="I2597">
        <f t="shared" si="40"/>
        <v>241524</v>
      </c>
    </row>
    <row r="2598" spans="1:9" x14ac:dyDescent="0.3">
      <c r="A2598">
        <v>12597</v>
      </c>
      <c r="B2598" s="2">
        <v>45174</v>
      </c>
      <c r="C2598" t="s">
        <v>14</v>
      </c>
      <c r="D2598" t="s">
        <v>18</v>
      </c>
      <c r="E2598" t="s">
        <v>23</v>
      </c>
      <c r="F2598">
        <v>13</v>
      </c>
      <c r="G2598">
        <v>28143</v>
      </c>
      <c r="H2598">
        <v>365859</v>
      </c>
      <c r="I2598">
        <f t="shared" si="40"/>
        <v>365859</v>
      </c>
    </row>
    <row r="2599" spans="1:9" x14ac:dyDescent="0.3">
      <c r="A2599">
        <v>12598</v>
      </c>
      <c r="B2599" s="2">
        <v>45220</v>
      </c>
      <c r="C2599" t="s">
        <v>9</v>
      </c>
      <c r="D2599" t="s">
        <v>18</v>
      </c>
      <c r="E2599" t="s">
        <v>19</v>
      </c>
      <c r="F2599">
        <v>7</v>
      </c>
      <c r="G2599">
        <v>22266</v>
      </c>
      <c r="H2599">
        <v>155862</v>
      </c>
      <c r="I2599">
        <f t="shared" si="40"/>
        <v>155862</v>
      </c>
    </row>
    <row r="2600" spans="1:9" x14ac:dyDescent="0.3">
      <c r="A2600">
        <v>12599</v>
      </c>
      <c r="B2600" s="2">
        <v>45024</v>
      </c>
      <c r="C2600" t="s">
        <v>8</v>
      </c>
      <c r="D2600" t="s">
        <v>15</v>
      </c>
      <c r="E2600" t="s">
        <v>23</v>
      </c>
      <c r="F2600">
        <v>1</v>
      </c>
      <c r="G2600">
        <v>7388</v>
      </c>
      <c r="H2600">
        <v>7388</v>
      </c>
      <c r="I2600">
        <f t="shared" si="40"/>
        <v>7388</v>
      </c>
    </row>
    <row r="2601" spans="1:9" x14ac:dyDescent="0.3">
      <c r="A2601">
        <v>12600</v>
      </c>
      <c r="B2601" s="2">
        <v>45225</v>
      </c>
      <c r="C2601" t="s">
        <v>10</v>
      </c>
      <c r="D2601" t="s">
        <v>17</v>
      </c>
      <c r="E2601" t="s">
        <v>21</v>
      </c>
      <c r="F2601">
        <v>1</v>
      </c>
      <c r="G2601">
        <v>21699</v>
      </c>
      <c r="H2601">
        <v>21699</v>
      </c>
      <c r="I2601">
        <f t="shared" si="40"/>
        <v>21699</v>
      </c>
    </row>
    <row r="2602" spans="1:9" x14ac:dyDescent="0.3">
      <c r="A2602">
        <v>12601</v>
      </c>
      <c r="B2602" s="2">
        <v>45239</v>
      </c>
      <c r="C2602" t="s">
        <v>14</v>
      </c>
      <c r="D2602" t="s">
        <v>16</v>
      </c>
      <c r="E2602" t="s">
        <v>23</v>
      </c>
      <c r="F2602">
        <v>15</v>
      </c>
      <c r="G2602">
        <v>9856</v>
      </c>
      <c r="H2602">
        <v>147840</v>
      </c>
      <c r="I2602">
        <f t="shared" si="40"/>
        <v>147840</v>
      </c>
    </row>
    <row r="2603" spans="1:9" x14ac:dyDescent="0.3">
      <c r="A2603">
        <v>12602</v>
      </c>
      <c r="B2603" s="2">
        <v>45122</v>
      </c>
      <c r="C2603" t="s">
        <v>10</v>
      </c>
      <c r="D2603" t="s">
        <v>15</v>
      </c>
      <c r="E2603" t="s">
        <v>24</v>
      </c>
      <c r="F2603">
        <v>7</v>
      </c>
      <c r="G2603">
        <v>23582</v>
      </c>
      <c r="H2603">
        <v>165074</v>
      </c>
      <c r="I2603">
        <f t="shared" si="40"/>
        <v>165074</v>
      </c>
    </row>
    <row r="2604" spans="1:9" x14ac:dyDescent="0.3">
      <c r="A2604">
        <v>12603</v>
      </c>
      <c r="B2604" s="2">
        <v>44971</v>
      </c>
      <c r="C2604" t="s">
        <v>8</v>
      </c>
      <c r="D2604" t="s">
        <v>16</v>
      </c>
      <c r="E2604" t="s">
        <v>20</v>
      </c>
      <c r="F2604">
        <v>18</v>
      </c>
      <c r="G2604">
        <v>36336</v>
      </c>
      <c r="H2604">
        <v>654048</v>
      </c>
      <c r="I2604">
        <f t="shared" si="40"/>
        <v>654048</v>
      </c>
    </row>
    <row r="2605" spans="1:9" x14ac:dyDescent="0.3">
      <c r="A2605">
        <v>12604</v>
      </c>
      <c r="B2605" s="2">
        <v>45060</v>
      </c>
      <c r="C2605" t="s">
        <v>14</v>
      </c>
      <c r="D2605" t="s">
        <v>16</v>
      </c>
      <c r="E2605" t="s">
        <v>21</v>
      </c>
      <c r="F2605">
        <v>20</v>
      </c>
      <c r="G2605">
        <v>44470</v>
      </c>
      <c r="H2605">
        <v>889400</v>
      </c>
      <c r="I2605">
        <f t="shared" si="40"/>
        <v>889400</v>
      </c>
    </row>
    <row r="2606" spans="1:9" x14ac:dyDescent="0.3">
      <c r="A2606">
        <v>12605</v>
      </c>
      <c r="B2606" s="2">
        <v>44984</v>
      </c>
      <c r="C2606" t="s">
        <v>10</v>
      </c>
      <c r="D2606" t="s">
        <v>18</v>
      </c>
      <c r="E2606" t="s">
        <v>19</v>
      </c>
      <c r="F2606">
        <v>6</v>
      </c>
      <c r="G2606">
        <v>48363</v>
      </c>
      <c r="H2606">
        <v>290178</v>
      </c>
      <c r="I2606">
        <f t="shared" si="40"/>
        <v>290178</v>
      </c>
    </row>
    <row r="2607" spans="1:9" x14ac:dyDescent="0.3">
      <c r="A2607">
        <v>12606</v>
      </c>
      <c r="B2607" s="2">
        <v>45213</v>
      </c>
      <c r="C2607" t="s">
        <v>11</v>
      </c>
      <c r="D2607" t="s">
        <v>18</v>
      </c>
      <c r="E2607" t="s">
        <v>23</v>
      </c>
      <c r="F2607">
        <v>11</v>
      </c>
      <c r="G2607">
        <v>7626</v>
      </c>
      <c r="H2607">
        <v>83886</v>
      </c>
      <c r="I2607">
        <f t="shared" si="40"/>
        <v>83886</v>
      </c>
    </row>
    <row r="2608" spans="1:9" x14ac:dyDescent="0.3">
      <c r="A2608">
        <v>12607</v>
      </c>
      <c r="B2608" s="2">
        <v>44998</v>
      </c>
      <c r="C2608" t="s">
        <v>8</v>
      </c>
      <c r="D2608" t="s">
        <v>16</v>
      </c>
      <c r="E2608" t="s">
        <v>24</v>
      </c>
      <c r="F2608">
        <v>9</v>
      </c>
      <c r="G2608">
        <v>49876</v>
      </c>
      <c r="H2608">
        <v>448884</v>
      </c>
      <c r="I2608">
        <f t="shared" si="40"/>
        <v>448884</v>
      </c>
    </row>
    <row r="2609" spans="1:9" x14ac:dyDescent="0.3">
      <c r="A2609">
        <v>12608</v>
      </c>
      <c r="B2609" s="2">
        <v>45149</v>
      </c>
      <c r="C2609" t="s">
        <v>9</v>
      </c>
      <c r="D2609" t="s">
        <v>17</v>
      </c>
      <c r="E2609" t="s">
        <v>24</v>
      </c>
      <c r="F2609">
        <v>12</v>
      </c>
      <c r="G2609">
        <v>3869</v>
      </c>
      <c r="H2609">
        <v>46428</v>
      </c>
      <c r="I2609">
        <f t="shared" si="40"/>
        <v>46428</v>
      </c>
    </row>
    <row r="2610" spans="1:9" x14ac:dyDescent="0.3">
      <c r="A2610">
        <v>12609</v>
      </c>
      <c r="B2610" s="2">
        <v>44932</v>
      </c>
      <c r="C2610" t="s">
        <v>11</v>
      </c>
      <c r="D2610" t="s">
        <v>18</v>
      </c>
      <c r="E2610" t="s">
        <v>20</v>
      </c>
      <c r="F2610">
        <v>17</v>
      </c>
      <c r="G2610">
        <v>43774</v>
      </c>
      <c r="H2610">
        <v>744158</v>
      </c>
      <c r="I2610">
        <f t="shared" si="40"/>
        <v>744158</v>
      </c>
    </row>
    <row r="2611" spans="1:9" x14ac:dyDescent="0.3">
      <c r="A2611">
        <v>12610</v>
      </c>
      <c r="B2611" s="2">
        <v>45282</v>
      </c>
      <c r="C2611" t="s">
        <v>9</v>
      </c>
      <c r="D2611" t="s">
        <v>18</v>
      </c>
      <c r="E2611" t="s">
        <v>23</v>
      </c>
      <c r="F2611">
        <v>2</v>
      </c>
      <c r="G2611">
        <v>29580</v>
      </c>
      <c r="H2611">
        <v>59160</v>
      </c>
      <c r="I2611">
        <f t="shared" si="40"/>
        <v>59160</v>
      </c>
    </row>
    <row r="2612" spans="1:9" x14ac:dyDescent="0.3">
      <c r="A2612">
        <v>12611</v>
      </c>
      <c r="B2612" s="2">
        <v>45107</v>
      </c>
      <c r="C2612" t="s">
        <v>13</v>
      </c>
      <c r="D2612" t="s">
        <v>18</v>
      </c>
      <c r="E2612" t="s">
        <v>24</v>
      </c>
      <c r="F2612">
        <v>16</v>
      </c>
      <c r="G2612">
        <v>51009</v>
      </c>
      <c r="H2612">
        <v>816144</v>
      </c>
      <c r="I2612">
        <f t="shared" si="40"/>
        <v>816144</v>
      </c>
    </row>
    <row r="2613" spans="1:9" x14ac:dyDescent="0.3">
      <c r="A2613">
        <v>12612</v>
      </c>
      <c r="B2613" s="2">
        <v>45075</v>
      </c>
      <c r="C2613" t="s">
        <v>13</v>
      </c>
      <c r="D2613" t="s">
        <v>16</v>
      </c>
      <c r="E2613" t="s">
        <v>24</v>
      </c>
      <c r="F2613">
        <v>3</v>
      </c>
      <c r="G2613">
        <v>6586</v>
      </c>
      <c r="H2613">
        <v>19758</v>
      </c>
      <c r="I2613">
        <f t="shared" si="40"/>
        <v>19758</v>
      </c>
    </row>
    <row r="2614" spans="1:9" x14ac:dyDescent="0.3">
      <c r="A2614">
        <v>12613</v>
      </c>
      <c r="B2614" s="2">
        <v>45274</v>
      </c>
      <c r="C2614" t="s">
        <v>10</v>
      </c>
      <c r="D2614" t="s">
        <v>17</v>
      </c>
      <c r="E2614" t="s">
        <v>23</v>
      </c>
      <c r="F2614">
        <v>9</v>
      </c>
      <c r="G2614">
        <v>17157</v>
      </c>
      <c r="H2614">
        <v>154413</v>
      </c>
      <c r="I2614">
        <f t="shared" si="40"/>
        <v>154413</v>
      </c>
    </row>
    <row r="2615" spans="1:9" x14ac:dyDescent="0.3">
      <c r="A2615">
        <v>12614</v>
      </c>
      <c r="B2615" s="2">
        <v>45144</v>
      </c>
      <c r="C2615" t="s">
        <v>9</v>
      </c>
      <c r="D2615" t="s">
        <v>15</v>
      </c>
      <c r="E2615" t="s">
        <v>24</v>
      </c>
      <c r="F2615">
        <v>17</v>
      </c>
      <c r="G2615">
        <v>57468</v>
      </c>
      <c r="H2615">
        <v>976956</v>
      </c>
      <c r="I2615">
        <f t="shared" si="40"/>
        <v>976956</v>
      </c>
    </row>
    <row r="2616" spans="1:9" x14ac:dyDescent="0.3">
      <c r="A2616">
        <v>12615</v>
      </c>
      <c r="B2616" s="2">
        <v>45101</v>
      </c>
      <c r="C2616" t="s">
        <v>8</v>
      </c>
      <c r="D2616" t="s">
        <v>16</v>
      </c>
      <c r="E2616" t="s">
        <v>20</v>
      </c>
      <c r="F2616">
        <v>6</v>
      </c>
      <c r="G2616">
        <v>40775</v>
      </c>
      <c r="H2616">
        <v>244650</v>
      </c>
      <c r="I2616">
        <f t="shared" si="40"/>
        <v>244650</v>
      </c>
    </row>
    <row r="2617" spans="1:9" x14ac:dyDescent="0.3">
      <c r="A2617">
        <v>12616</v>
      </c>
      <c r="B2617" s="2">
        <v>45055</v>
      </c>
      <c r="C2617" t="s">
        <v>9</v>
      </c>
      <c r="D2617" t="s">
        <v>17</v>
      </c>
      <c r="E2617" t="s">
        <v>20</v>
      </c>
      <c r="F2617">
        <v>6</v>
      </c>
      <c r="G2617">
        <v>44813</v>
      </c>
      <c r="H2617">
        <v>268878</v>
      </c>
      <c r="I2617">
        <f t="shared" si="40"/>
        <v>268878</v>
      </c>
    </row>
    <row r="2618" spans="1:9" x14ac:dyDescent="0.3">
      <c r="A2618">
        <v>12617</v>
      </c>
      <c r="B2618" s="2">
        <v>45251</v>
      </c>
      <c r="C2618" t="s">
        <v>9</v>
      </c>
      <c r="D2618" t="s">
        <v>16</v>
      </c>
      <c r="E2618" t="s">
        <v>23</v>
      </c>
      <c r="F2618">
        <v>10</v>
      </c>
      <c r="G2618">
        <v>12103</v>
      </c>
      <c r="H2618">
        <v>121030</v>
      </c>
      <c r="I2618">
        <f t="shared" si="40"/>
        <v>121030</v>
      </c>
    </row>
    <row r="2619" spans="1:9" x14ac:dyDescent="0.3">
      <c r="A2619">
        <v>12618</v>
      </c>
      <c r="B2619" s="2">
        <v>45092</v>
      </c>
      <c r="C2619" t="s">
        <v>14</v>
      </c>
      <c r="D2619" t="s">
        <v>18</v>
      </c>
      <c r="E2619" t="s">
        <v>21</v>
      </c>
      <c r="F2619">
        <v>1</v>
      </c>
      <c r="G2619">
        <v>4983</v>
      </c>
      <c r="H2619">
        <v>4983</v>
      </c>
      <c r="I2619">
        <f t="shared" si="40"/>
        <v>4983</v>
      </c>
    </row>
    <row r="2620" spans="1:9" x14ac:dyDescent="0.3">
      <c r="A2620">
        <v>12619</v>
      </c>
      <c r="B2620" s="2">
        <v>45286</v>
      </c>
      <c r="C2620" t="s">
        <v>14</v>
      </c>
      <c r="D2620" t="s">
        <v>16</v>
      </c>
      <c r="E2620" t="s">
        <v>20</v>
      </c>
      <c r="F2620">
        <v>6</v>
      </c>
      <c r="G2620">
        <v>31043</v>
      </c>
      <c r="H2620">
        <v>186258</v>
      </c>
      <c r="I2620">
        <f t="shared" si="40"/>
        <v>186258</v>
      </c>
    </row>
    <row r="2621" spans="1:9" x14ac:dyDescent="0.3">
      <c r="A2621">
        <v>12620</v>
      </c>
      <c r="B2621" s="2">
        <v>45011</v>
      </c>
      <c r="C2621" t="s">
        <v>8</v>
      </c>
      <c r="D2621" t="s">
        <v>17</v>
      </c>
      <c r="E2621" t="s">
        <v>20</v>
      </c>
      <c r="F2621">
        <v>4</v>
      </c>
      <c r="G2621">
        <v>34768</v>
      </c>
      <c r="H2621">
        <v>139072</v>
      </c>
      <c r="I2621">
        <f t="shared" si="40"/>
        <v>139072</v>
      </c>
    </row>
    <row r="2622" spans="1:9" x14ac:dyDescent="0.3">
      <c r="A2622">
        <v>12621</v>
      </c>
      <c r="B2622" s="2">
        <v>45107</v>
      </c>
      <c r="C2622" t="s">
        <v>10</v>
      </c>
      <c r="D2622" t="s">
        <v>17</v>
      </c>
      <c r="E2622" t="s">
        <v>21</v>
      </c>
      <c r="F2622">
        <v>16</v>
      </c>
      <c r="G2622">
        <v>24866</v>
      </c>
      <c r="H2622">
        <v>397856</v>
      </c>
      <c r="I2622">
        <f t="shared" si="40"/>
        <v>397856</v>
      </c>
    </row>
    <row r="2623" spans="1:9" x14ac:dyDescent="0.3">
      <c r="A2623">
        <v>12622</v>
      </c>
      <c r="B2623" s="2">
        <v>45222</v>
      </c>
      <c r="C2623" t="s">
        <v>14</v>
      </c>
      <c r="D2623" t="s">
        <v>15</v>
      </c>
      <c r="E2623" t="s">
        <v>19</v>
      </c>
      <c r="F2623">
        <v>15</v>
      </c>
      <c r="G2623">
        <v>54573</v>
      </c>
      <c r="H2623">
        <v>818595</v>
      </c>
      <c r="I2623">
        <f t="shared" si="40"/>
        <v>818595</v>
      </c>
    </row>
    <row r="2624" spans="1:9" x14ac:dyDescent="0.3">
      <c r="A2624">
        <v>12623</v>
      </c>
      <c r="B2624" s="2">
        <v>45161</v>
      </c>
      <c r="C2624" t="s">
        <v>14</v>
      </c>
      <c r="D2624" t="s">
        <v>17</v>
      </c>
      <c r="E2624" t="s">
        <v>24</v>
      </c>
      <c r="F2624">
        <v>4</v>
      </c>
      <c r="G2624">
        <v>598</v>
      </c>
      <c r="H2624">
        <v>2392</v>
      </c>
      <c r="I2624">
        <f t="shared" si="40"/>
        <v>2392</v>
      </c>
    </row>
    <row r="2625" spans="1:9" x14ac:dyDescent="0.3">
      <c r="A2625">
        <v>12624</v>
      </c>
      <c r="B2625" s="2">
        <v>45011</v>
      </c>
      <c r="C2625" t="s">
        <v>10</v>
      </c>
      <c r="D2625" t="s">
        <v>18</v>
      </c>
      <c r="E2625" t="s">
        <v>20</v>
      </c>
      <c r="F2625">
        <v>10</v>
      </c>
      <c r="G2625">
        <v>18348</v>
      </c>
      <c r="H2625">
        <v>183480</v>
      </c>
      <c r="I2625">
        <f t="shared" si="40"/>
        <v>183480</v>
      </c>
    </row>
    <row r="2626" spans="1:9" x14ac:dyDescent="0.3">
      <c r="A2626">
        <v>12625</v>
      </c>
      <c r="B2626" s="2">
        <v>45001</v>
      </c>
      <c r="C2626" t="s">
        <v>8</v>
      </c>
      <c r="D2626" t="s">
        <v>15</v>
      </c>
      <c r="E2626" t="s">
        <v>23</v>
      </c>
      <c r="F2626">
        <v>17</v>
      </c>
      <c r="G2626">
        <v>12401</v>
      </c>
      <c r="H2626">
        <v>210817</v>
      </c>
      <c r="I2626">
        <f t="shared" si="40"/>
        <v>210817</v>
      </c>
    </row>
    <row r="2627" spans="1:9" x14ac:dyDescent="0.3">
      <c r="A2627">
        <v>12626</v>
      </c>
      <c r="B2627" s="2">
        <v>44941</v>
      </c>
      <c r="C2627" t="s">
        <v>13</v>
      </c>
      <c r="D2627" t="s">
        <v>15</v>
      </c>
      <c r="E2627" t="s">
        <v>19</v>
      </c>
      <c r="F2627">
        <v>16</v>
      </c>
      <c r="G2627">
        <v>25826</v>
      </c>
      <c r="H2627">
        <v>413216</v>
      </c>
      <c r="I2627">
        <f t="shared" ref="I2627:I2690" si="41">G2627*F2627</f>
        <v>413216</v>
      </c>
    </row>
    <row r="2628" spans="1:9" x14ac:dyDescent="0.3">
      <c r="A2628">
        <v>12627</v>
      </c>
      <c r="B2628" s="2">
        <v>45028</v>
      </c>
      <c r="C2628" t="s">
        <v>11</v>
      </c>
      <c r="D2628" t="s">
        <v>18</v>
      </c>
      <c r="E2628" t="s">
        <v>21</v>
      </c>
      <c r="F2628">
        <v>4</v>
      </c>
      <c r="G2628">
        <v>18943</v>
      </c>
      <c r="H2628">
        <v>75772</v>
      </c>
      <c r="I2628">
        <f t="shared" si="41"/>
        <v>75772</v>
      </c>
    </row>
    <row r="2629" spans="1:9" x14ac:dyDescent="0.3">
      <c r="A2629">
        <v>12628</v>
      </c>
      <c r="B2629" s="2">
        <v>45127</v>
      </c>
      <c r="C2629" t="s">
        <v>11</v>
      </c>
      <c r="D2629" t="s">
        <v>17</v>
      </c>
      <c r="E2629" t="s">
        <v>22</v>
      </c>
      <c r="F2629">
        <v>19</v>
      </c>
      <c r="G2629">
        <v>17868</v>
      </c>
      <c r="H2629">
        <v>339492</v>
      </c>
      <c r="I2629">
        <f t="shared" si="41"/>
        <v>339492</v>
      </c>
    </row>
    <row r="2630" spans="1:9" x14ac:dyDescent="0.3">
      <c r="A2630">
        <v>12629</v>
      </c>
      <c r="B2630" s="2">
        <v>45230</v>
      </c>
      <c r="C2630" t="s">
        <v>13</v>
      </c>
      <c r="D2630" t="s">
        <v>17</v>
      </c>
      <c r="E2630" t="s">
        <v>21</v>
      </c>
      <c r="F2630">
        <v>19</v>
      </c>
      <c r="G2630">
        <v>7854</v>
      </c>
      <c r="H2630">
        <v>149226</v>
      </c>
      <c r="I2630">
        <f t="shared" si="41"/>
        <v>149226</v>
      </c>
    </row>
    <row r="2631" spans="1:9" x14ac:dyDescent="0.3">
      <c r="A2631">
        <v>12630</v>
      </c>
      <c r="B2631" s="2">
        <v>45029</v>
      </c>
      <c r="C2631" t="s">
        <v>10</v>
      </c>
      <c r="D2631" t="s">
        <v>16</v>
      </c>
      <c r="E2631" t="s">
        <v>20</v>
      </c>
      <c r="F2631">
        <v>19</v>
      </c>
      <c r="G2631">
        <v>11290</v>
      </c>
      <c r="H2631">
        <v>214510</v>
      </c>
      <c r="I2631">
        <f t="shared" si="41"/>
        <v>214510</v>
      </c>
    </row>
    <row r="2632" spans="1:9" x14ac:dyDescent="0.3">
      <c r="A2632">
        <v>12631</v>
      </c>
      <c r="B2632" s="2">
        <v>44998</v>
      </c>
      <c r="C2632" t="s">
        <v>9</v>
      </c>
      <c r="D2632" t="s">
        <v>15</v>
      </c>
      <c r="E2632" t="s">
        <v>24</v>
      </c>
      <c r="F2632">
        <v>20</v>
      </c>
      <c r="G2632">
        <v>44535</v>
      </c>
      <c r="H2632">
        <v>890700</v>
      </c>
      <c r="I2632">
        <f t="shared" si="41"/>
        <v>890700</v>
      </c>
    </row>
    <row r="2633" spans="1:9" x14ac:dyDescent="0.3">
      <c r="A2633">
        <v>12632</v>
      </c>
      <c r="B2633" s="2">
        <v>45262</v>
      </c>
      <c r="C2633" t="s">
        <v>14</v>
      </c>
      <c r="D2633" t="s">
        <v>16</v>
      </c>
      <c r="E2633" t="s">
        <v>19</v>
      </c>
      <c r="F2633">
        <v>19</v>
      </c>
      <c r="G2633">
        <v>8456</v>
      </c>
      <c r="H2633">
        <v>160664</v>
      </c>
      <c r="I2633">
        <f t="shared" si="41"/>
        <v>160664</v>
      </c>
    </row>
    <row r="2634" spans="1:9" x14ac:dyDescent="0.3">
      <c r="A2634">
        <v>12633</v>
      </c>
      <c r="B2634" s="2">
        <v>45196</v>
      </c>
      <c r="C2634" t="s">
        <v>13</v>
      </c>
      <c r="D2634" t="s">
        <v>18</v>
      </c>
      <c r="E2634" t="s">
        <v>21</v>
      </c>
      <c r="F2634">
        <v>1</v>
      </c>
      <c r="G2634">
        <v>5110</v>
      </c>
      <c r="H2634">
        <v>5110</v>
      </c>
      <c r="I2634">
        <f t="shared" si="41"/>
        <v>5110</v>
      </c>
    </row>
    <row r="2635" spans="1:9" x14ac:dyDescent="0.3">
      <c r="A2635">
        <v>12634</v>
      </c>
      <c r="B2635" s="2">
        <v>45012</v>
      </c>
      <c r="C2635" t="s">
        <v>13</v>
      </c>
      <c r="D2635" t="s">
        <v>17</v>
      </c>
      <c r="E2635" t="s">
        <v>19</v>
      </c>
      <c r="F2635">
        <v>17</v>
      </c>
      <c r="G2635">
        <v>31414</v>
      </c>
      <c r="H2635">
        <v>534038</v>
      </c>
      <c r="I2635">
        <f t="shared" si="41"/>
        <v>534038</v>
      </c>
    </row>
    <row r="2636" spans="1:9" x14ac:dyDescent="0.3">
      <c r="A2636">
        <v>12635</v>
      </c>
      <c r="B2636" s="2">
        <v>44991</v>
      </c>
      <c r="C2636" t="s">
        <v>14</v>
      </c>
      <c r="D2636" t="s">
        <v>18</v>
      </c>
      <c r="E2636" t="s">
        <v>20</v>
      </c>
      <c r="F2636">
        <v>5</v>
      </c>
      <c r="G2636">
        <v>25931</v>
      </c>
      <c r="H2636">
        <v>129655</v>
      </c>
      <c r="I2636">
        <f t="shared" si="41"/>
        <v>129655</v>
      </c>
    </row>
    <row r="2637" spans="1:9" x14ac:dyDescent="0.3">
      <c r="A2637">
        <v>12636</v>
      </c>
      <c r="B2637" s="2">
        <v>44974</v>
      </c>
      <c r="C2637" t="s">
        <v>8</v>
      </c>
      <c r="D2637" t="s">
        <v>17</v>
      </c>
      <c r="E2637" t="s">
        <v>21</v>
      </c>
      <c r="F2637">
        <v>7</v>
      </c>
      <c r="G2637">
        <v>1403</v>
      </c>
      <c r="H2637">
        <v>9821</v>
      </c>
      <c r="I2637">
        <f t="shared" si="41"/>
        <v>9821</v>
      </c>
    </row>
    <row r="2638" spans="1:9" x14ac:dyDescent="0.3">
      <c r="A2638">
        <v>12637</v>
      </c>
      <c r="B2638" s="2">
        <v>44986</v>
      </c>
      <c r="C2638" t="s">
        <v>13</v>
      </c>
      <c r="D2638" t="s">
        <v>15</v>
      </c>
      <c r="E2638" t="s">
        <v>22</v>
      </c>
      <c r="F2638">
        <v>13</v>
      </c>
      <c r="G2638">
        <v>28180</v>
      </c>
      <c r="H2638">
        <v>366340</v>
      </c>
      <c r="I2638">
        <f t="shared" si="41"/>
        <v>366340</v>
      </c>
    </row>
    <row r="2639" spans="1:9" x14ac:dyDescent="0.3">
      <c r="A2639">
        <v>12638</v>
      </c>
      <c r="B2639" s="2">
        <v>44939</v>
      </c>
      <c r="C2639" t="s">
        <v>13</v>
      </c>
      <c r="D2639" t="s">
        <v>17</v>
      </c>
      <c r="E2639" t="s">
        <v>22</v>
      </c>
      <c r="F2639">
        <v>3</v>
      </c>
      <c r="G2639">
        <v>49270</v>
      </c>
      <c r="H2639">
        <v>147810</v>
      </c>
      <c r="I2639">
        <f t="shared" si="41"/>
        <v>147810</v>
      </c>
    </row>
    <row r="2640" spans="1:9" x14ac:dyDescent="0.3">
      <c r="A2640">
        <v>12639</v>
      </c>
      <c r="B2640" s="2">
        <v>45082</v>
      </c>
      <c r="C2640" t="s">
        <v>12</v>
      </c>
      <c r="D2640" t="s">
        <v>15</v>
      </c>
      <c r="E2640" t="s">
        <v>19</v>
      </c>
      <c r="F2640">
        <v>2</v>
      </c>
      <c r="G2640">
        <v>2127</v>
      </c>
      <c r="H2640">
        <v>4254</v>
      </c>
      <c r="I2640">
        <f t="shared" si="41"/>
        <v>4254</v>
      </c>
    </row>
    <row r="2641" spans="1:9" x14ac:dyDescent="0.3">
      <c r="A2641">
        <v>12640</v>
      </c>
      <c r="B2641" s="2">
        <v>45075</v>
      </c>
      <c r="C2641" t="s">
        <v>11</v>
      </c>
      <c r="D2641" t="s">
        <v>18</v>
      </c>
      <c r="E2641" t="s">
        <v>23</v>
      </c>
      <c r="F2641">
        <v>12</v>
      </c>
      <c r="G2641">
        <v>8658</v>
      </c>
      <c r="H2641">
        <v>103896</v>
      </c>
      <c r="I2641">
        <f t="shared" si="41"/>
        <v>103896</v>
      </c>
    </row>
    <row r="2642" spans="1:9" x14ac:dyDescent="0.3">
      <c r="A2642">
        <v>12641</v>
      </c>
      <c r="B2642" s="2">
        <v>45233</v>
      </c>
      <c r="C2642" t="s">
        <v>10</v>
      </c>
      <c r="D2642" t="s">
        <v>17</v>
      </c>
      <c r="E2642" t="s">
        <v>20</v>
      </c>
      <c r="F2642">
        <v>3</v>
      </c>
      <c r="G2642">
        <v>19819</v>
      </c>
      <c r="H2642">
        <v>59457</v>
      </c>
      <c r="I2642">
        <f t="shared" si="41"/>
        <v>59457</v>
      </c>
    </row>
    <row r="2643" spans="1:9" x14ac:dyDescent="0.3">
      <c r="A2643">
        <v>12642</v>
      </c>
      <c r="B2643" s="2">
        <v>44990</v>
      </c>
      <c r="C2643" t="s">
        <v>12</v>
      </c>
      <c r="D2643" t="s">
        <v>17</v>
      </c>
      <c r="E2643" t="s">
        <v>23</v>
      </c>
      <c r="F2643">
        <v>7</v>
      </c>
      <c r="G2643">
        <v>22774</v>
      </c>
      <c r="H2643">
        <v>159418</v>
      </c>
      <c r="I2643">
        <f t="shared" si="41"/>
        <v>159418</v>
      </c>
    </row>
    <row r="2644" spans="1:9" x14ac:dyDescent="0.3">
      <c r="A2644">
        <v>12643</v>
      </c>
      <c r="B2644" s="2">
        <v>45107</v>
      </c>
      <c r="C2644" t="s">
        <v>14</v>
      </c>
      <c r="D2644" t="s">
        <v>18</v>
      </c>
      <c r="E2644" t="s">
        <v>23</v>
      </c>
      <c r="F2644">
        <v>10</v>
      </c>
      <c r="G2644">
        <v>13821</v>
      </c>
      <c r="H2644">
        <v>138210</v>
      </c>
      <c r="I2644">
        <f t="shared" si="41"/>
        <v>138210</v>
      </c>
    </row>
    <row r="2645" spans="1:9" x14ac:dyDescent="0.3">
      <c r="A2645">
        <v>12644</v>
      </c>
      <c r="B2645" s="2">
        <v>45101</v>
      </c>
      <c r="C2645" t="s">
        <v>13</v>
      </c>
      <c r="D2645" t="s">
        <v>15</v>
      </c>
      <c r="E2645" t="s">
        <v>23</v>
      </c>
      <c r="F2645">
        <v>10</v>
      </c>
      <c r="G2645">
        <v>9620</v>
      </c>
      <c r="H2645">
        <v>96200</v>
      </c>
      <c r="I2645">
        <f t="shared" si="41"/>
        <v>96200</v>
      </c>
    </row>
    <row r="2646" spans="1:9" x14ac:dyDescent="0.3">
      <c r="A2646">
        <v>12645</v>
      </c>
      <c r="B2646" s="2">
        <v>45270</v>
      </c>
      <c r="C2646" t="s">
        <v>12</v>
      </c>
      <c r="D2646" t="s">
        <v>15</v>
      </c>
      <c r="E2646" t="s">
        <v>24</v>
      </c>
      <c r="F2646">
        <v>10</v>
      </c>
      <c r="G2646">
        <v>22557</v>
      </c>
      <c r="H2646">
        <v>225570</v>
      </c>
      <c r="I2646">
        <f t="shared" si="41"/>
        <v>225570</v>
      </c>
    </row>
    <row r="2647" spans="1:9" x14ac:dyDescent="0.3">
      <c r="A2647">
        <v>12646</v>
      </c>
      <c r="B2647" s="2">
        <v>45180</v>
      </c>
      <c r="C2647" t="s">
        <v>14</v>
      </c>
      <c r="D2647" t="s">
        <v>15</v>
      </c>
      <c r="E2647" t="s">
        <v>20</v>
      </c>
      <c r="F2647">
        <v>17</v>
      </c>
      <c r="G2647">
        <v>13937</v>
      </c>
      <c r="H2647">
        <v>236929</v>
      </c>
      <c r="I2647">
        <f t="shared" si="41"/>
        <v>236929</v>
      </c>
    </row>
    <row r="2648" spans="1:9" x14ac:dyDescent="0.3">
      <c r="A2648">
        <v>12647</v>
      </c>
      <c r="B2648" s="2">
        <v>45283</v>
      </c>
      <c r="C2648" t="s">
        <v>9</v>
      </c>
      <c r="D2648" t="s">
        <v>17</v>
      </c>
      <c r="E2648" t="s">
        <v>19</v>
      </c>
      <c r="F2648">
        <v>8</v>
      </c>
      <c r="G2648">
        <v>1551</v>
      </c>
      <c r="H2648">
        <v>12408</v>
      </c>
      <c r="I2648">
        <f t="shared" si="41"/>
        <v>12408</v>
      </c>
    </row>
    <row r="2649" spans="1:9" x14ac:dyDescent="0.3">
      <c r="A2649">
        <v>12648</v>
      </c>
      <c r="B2649" s="2">
        <v>45132</v>
      </c>
      <c r="C2649" t="s">
        <v>10</v>
      </c>
      <c r="D2649" t="s">
        <v>17</v>
      </c>
      <c r="E2649" t="s">
        <v>21</v>
      </c>
      <c r="F2649">
        <v>8</v>
      </c>
      <c r="G2649">
        <v>6466</v>
      </c>
      <c r="H2649">
        <v>51728</v>
      </c>
      <c r="I2649">
        <f t="shared" si="41"/>
        <v>51728</v>
      </c>
    </row>
    <row r="2650" spans="1:9" x14ac:dyDescent="0.3">
      <c r="A2650">
        <v>12649</v>
      </c>
      <c r="B2650" s="2">
        <v>45044</v>
      </c>
      <c r="C2650" t="s">
        <v>8</v>
      </c>
      <c r="D2650" t="s">
        <v>15</v>
      </c>
      <c r="E2650" t="s">
        <v>24</v>
      </c>
      <c r="F2650">
        <v>11</v>
      </c>
      <c r="G2650">
        <v>50677</v>
      </c>
      <c r="H2650">
        <v>557447</v>
      </c>
      <c r="I2650">
        <f t="shared" si="41"/>
        <v>557447</v>
      </c>
    </row>
    <row r="2651" spans="1:9" x14ac:dyDescent="0.3">
      <c r="A2651">
        <v>12650</v>
      </c>
      <c r="B2651" s="2">
        <v>45077</v>
      </c>
      <c r="C2651" t="s">
        <v>11</v>
      </c>
      <c r="D2651" t="s">
        <v>18</v>
      </c>
      <c r="E2651" t="s">
        <v>24</v>
      </c>
      <c r="F2651">
        <v>2</v>
      </c>
      <c r="G2651">
        <v>18071</v>
      </c>
      <c r="H2651">
        <v>36142</v>
      </c>
      <c r="I2651">
        <f t="shared" si="41"/>
        <v>36142</v>
      </c>
    </row>
    <row r="2652" spans="1:9" x14ac:dyDescent="0.3">
      <c r="A2652">
        <v>12651</v>
      </c>
      <c r="B2652" s="2">
        <v>44990</v>
      </c>
      <c r="C2652" t="s">
        <v>9</v>
      </c>
      <c r="D2652" t="s">
        <v>17</v>
      </c>
      <c r="E2652" t="s">
        <v>24</v>
      </c>
      <c r="F2652">
        <v>18</v>
      </c>
      <c r="G2652">
        <v>12491</v>
      </c>
      <c r="H2652">
        <v>224838</v>
      </c>
      <c r="I2652">
        <f t="shared" si="41"/>
        <v>224838</v>
      </c>
    </row>
    <row r="2653" spans="1:9" x14ac:dyDescent="0.3">
      <c r="A2653">
        <v>12652</v>
      </c>
      <c r="B2653" s="2">
        <v>45179</v>
      </c>
      <c r="C2653" t="s">
        <v>12</v>
      </c>
      <c r="D2653" t="s">
        <v>17</v>
      </c>
      <c r="E2653" t="s">
        <v>24</v>
      </c>
      <c r="F2653">
        <v>4</v>
      </c>
      <c r="G2653">
        <v>59596</v>
      </c>
      <c r="H2653">
        <v>238384</v>
      </c>
      <c r="I2653">
        <f t="shared" si="41"/>
        <v>238384</v>
      </c>
    </row>
    <row r="2654" spans="1:9" x14ac:dyDescent="0.3">
      <c r="A2654">
        <v>12653</v>
      </c>
      <c r="B2654" s="2">
        <v>45188</v>
      </c>
      <c r="C2654" t="s">
        <v>14</v>
      </c>
      <c r="D2654" t="s">
        <v>16</v>
      </c>
      <c r="E2654" t="s">
        <v>22</v>
      </c>
      <c r="F2654">
        <v>14</v>
      </c>
      <c r="G2654">
        <v>9088</v>
      </c>
      <c r="H2654">
        <v>127232</v>
      </c>
      <c r="I2654">
        <f t="shared" si="41"/>
        <v>127232</v>
      </c>
    </row>
    <row r="2655" spans="1:9" x14ac:dyDescent="0.3">
      <c r="A2655">
        <v>12654</v>
      </c>
      <c r="B2655" s="2">
        <v>45123</v>
      </c>
      <c r="C2655" t="s">
        <v>12</v>
      </c>
      <c r="D2655" t="s">
        <v>17</v>
      </c>
      <c r="E2655" t="s">
        <v>19</v>
      </c>
      <c r="F2655">
        <v>3</v>
      </c>
      <c r="G2655">
        <v>25095</v>
      </c>
      <c r="H2655">
        <v>75285</v>
      </c>
      <c r="I2655">
        <f t="shared" si="41"/>
        <v>75285</v>
      </c>
    </row>
    <row r="2656" spans="1:9" x14ac:dyDescent="0.3">
      <c r="A2656">
        <v>12655</v>
      </c>
      <c r="B2656" s="2">
        <v>45135</v>
      </c>
      <c r="C2656" t="s">
        <v>8</v>
      </c>
      <c r="D2656" t="s">
        <v>17</v>
      </c>
      <c r="E2656" t="s">
        <v>22</v>
      </c>
      <c r="F2656">
        <v>12</v>
      </c>
      <c r="G2656">
        <v>15364</v>
      </c>
      <c r="H2656">
        <v>184368</v>
      </c>
      <c r="I2656">
        <f t="shared" si="41"/>
        <v>184368</v>
      </c>
    </row>
    <row r="2657" spans="1:9" x14ac:dyDescent="0.3">
      <c r="A2657">
        <v>12656</v>
      </c>
      <c r="B2657" s="2">
        <v>45207</v>
      </c>
      <c r="C2657" t="s">
        <v>10</v>
      </c>
      <c r="D2657" t="s">
        <v>18</v>
      </c>
      <c r="E2657" t="s">
        <v>21</v>
      </c>
      <c r="F2657">
        <v>1</v>
      </c>
      <c r="G2657">
        <v>45813</v>
      </c>
      <c r="H2657">
        <v>45813</v>
      </c>
      <c r="I2657">
        <f t="shared" si="41"/>
        <v>45813</v>
      </c>
    </row>
    <row r="2658" spans="1:9" x14ac:dyDescent="0.3">
      <c r="A2658">
        <v>12657</v>
      </c>
      <c r="B2658" s="2">
        <v>45226</v>
      </c>
      <c r="C2658" t="s">
        <v>13</v>
      </c>
      <c r="D2658" t="s">
        <v>18</v>
      </c>
      <c r="E2658" t="s">
        <v>23</v>
      </c>
      <c r="F2658">
        <v>17</v>
      </c>
      <c r="G2658">
        <v>55383</v>
      </c>
      <c r="H2658">
        <v>941511</v>
      </c>
      <c r="I2658">
        <f t="shared" si="41"/>
        <v>941511</v>
      </c>
    </row>
    <row r="2659" spans="1:9" x14ac:dyDescent="0.3">
      <c r="A2659">
        <v>12658</v>
      </c>
      <c r="B2659" s="2">
        <v>44939</v>
      </c>
      <c r="C2659" t="s">
        <v>8</v>
      </c>
      <c r="D2659" t="s">
        <v>16</v>
      </c>
      <c r="E2659" t="s">
        <v>22</v>
      </c>
      <c r="F2659">
        <v>5</v>
      </c>
      <c r="G2659">
        <v>17675</v>
      </c>
      <c r="H2659">
        <v>88375</v>
      </c>
      <c r="I2659">
        <f t="shared" si="41"/>
        <v>88375</v>
      </c>
    </row>
    <row r="2660" spans="1:9" x14ac:dyDescent="0.3">
      <c r="A2660">
        <v>12659</v>
      </c>
      <c r="B2660" s="2">
        <v>45148</v>
      </c>
      <c r="C2660" t="s">
        <v>9</v>
      </c>
      <c r="D2660" t="s">
        <v>17</v>
      </c>
      <c r="E2660" t="s">
        <v>19</v>
      </c>
      <c r="F2660">
        <v>9</v>
      </c>
      <c r="G2660">
        <v>7381</v>
      </c>
      <c r="H2660">
        <v>66429</v>
      </c>
      <c r="I2660">
        <f t="shared" si="41"/>
        <v>66429</v>
      </c>
    </row>
    <row r="2661" spans="1:9" x14ac:dyDescent="0.3">
      <c r="A2661">
        <v>12660</v>
      </c>
      <c r="B2661" s="2">
        <v>45104</v>
      </c>
      <c r="C2661" t="s">
        <v>13</v>
      </c>
      <c r="D2661" t="s">
        <v>15</v>
      </c>
      <c r="E2661" t="s">
        <v>20</v>
      </c>
      <c r="F2661">
        <v>4</v>
      </c>
      <c r="G2661">
        <v>32212</v>
      </c>
      <c r="H2661">
        <v>128848</v>
      </c>
      <c r="I2661">
        <f t="shared" si="41"/>
        <v>128848</v>
      </c>
    </row>
    <row r="2662" spans="1:9" x14ac:dyDescent="0.3">
      <c r="A2662">
        <v>12661</v>
      </c>
      <c r="B2662" s="2">
        <v>45254</v>
      </c>
      <c r="C2662" t="s">
        <v>13</v>
      </c>
      <c r="D2662" t="s">
        <v>16</v>
      </c>
      <c r="E2662" t="s">
        <v>23</v>
      </c>
      <c r="F2662">
        <v>5</v>
      </c>
      <c r="G2662">
        <v>45699</v>
      </c>
      <c r="H2662">
        <v>228495</v>
      </c>
      <c r="I2662">
        <f t="shared" si="41"/>
        <v>228495</v>
      </c>
    </row>
    <row r="2663" spans="1:9" x14ac:dyDescent="0.3">
      <c r="A2663">
        <v>12662</v>
      </c>
      <c r="B2663" s="2">
        <v>45138</v>
      </c>
      <c r="C2663" t="s">
        <v>13</v>
      </c>
      <c r="D2663" t="s">
        <v>17</v>
      </c>
      <c r="E2663" t="s">
        <v>19</v>
      </c>
      <c r="F2663">
        <v>14</v>
      </c>
      <c r="G2663">
        <v>12877</v>
      </c>
      <c r="H2663">
        <v>180278</v>
      </c>
      <c r="I2663">
        <f t="shared" si="41"/>
        <v>180278</v>
      </c>
    </row>
    <row r="2664" spans="1:9" x14ac:dyDescent="0.3">
      <c r="A2664">
        <v>12663</v>
      </c>
      <c r="B2664" s="2">
        <v>45018</v>
      </c>
      <c r="C2664" t="s">
        <v>11</v>
      </c>
      <c r="D2664" t="s">
        <v>15</v>
      </c>
      <c r="E2664" t="s">
        <v>24</v>
      </c>
      <c r="F2664">
        <v>4</v>
      </c>
      <c r="G2664">
        <v>12060</v>
      </c>
      <c r="H2664">
        <v>48240</v>
      </c>
      <c r="I2664">
        <f t="shared" si="41"/>
        <v>48240</v>
      </c>
    </row>
    <row r="2665" spans="1:9" x14ac:dyDescent="0.3">
      <c r="A2665">
        <v>12664</v>
      </c>
      <c r="B2665" s="2">
        <v>45174</v>
      </c>
      <c r="C2665" t="s">
        <v>10</v>
      </c>
      <c r="D2665" t="s">
        <v>17</v>
      </c>
      <c r="E2665" t="s">
        <v>19</v>
      </c>
      <c r="F2665">
        <v>1</v>
      </c>
      <c r="G2665">
        <v>57465</v>
      </c>
      <c r="H2665">
        <v>57465</v>
      </c>
      <c r="I2665">
        <f t="shared" si="41"/>
        <v>57465</v>
      </c>
    </row>
    <row r="2666" spans="1:9" x14ac:dyDescent="0.3">
      <c r="A2666">
        <v>12665</v>
      </c>
      <c r="B2666" s="2">
        <v>45065</v>
      </c>
      <c r="C2666" t="s">
        <v>13</v>
      </c>
      <c r="D2666" t="s">
        <v>16</v>
      </c>
      <c r="E2666" t="s">
        <v>23</v>
      </c>
      <c r="F2666">
        <v>16</v>
      </c>
      <c r="G2666">
        <v>48916</v>
      </c>
      <c r="H2666">
        <v>782656</v>
      </c>
      <c r="I2666">
        <f t="shared" si="41"/>
        <v>782656</v>
      </c>
    </row>
    <row r="2667" spans="1:9" x14ac:dyDescent="0.3">
      <c r="A2667">
        <v>12666</v>
      </c>
      <c r="B2667" s="2">
        <v>45045</v>
      </c>
      <c r="C2667" t="s">
        <v>13</v>
      </c>
      <c r="D2667" t="s">
        <v>18</v>
      </c>
      <c r="E2667" t="s">
        <v>24</v>
      </c>
      <c r="F2667">
        <v>13</v>
      </c>
      <c r="G2667">
        <v>53244</v>
      </c>
      <c r="H2667">
        <v>692172</v>
      </c>
      <c r="I2667">
        <f t="shared" si="41"/>
        <v>692172</v>
      </c>
    </row>
    <row r="2668" spans="1:9" x14ac:dyDescent="0.3">
      <c r="A2668">
        <v>12667</v>
      </c>
      <c r="B2668" s="2">
        <v>44989</v>
      </c>
      <c r="C2668" t="s">
        <v>9</v>
      </c>
      <c r="D2668" t="s">
        <v>18</v>
      </c>
      <c r="E2668" t="s">
        <v>23</v>
      </c>
      <c r="F2668">
        <v>10</v>
      </c>
      <c r="G2668">
        <v>5265</v>
      </c>
      <c r="H2668">
        <v>52650</v>
      </c>
      <c r="I2668">
        <f t="shared" si="41"/>
        <v>52650</v>
      </c>
    </row>
    <row r="2669" spans="1:9" x14ac:dyDescent="0.3">
      <c r="A2669">
        <v>12668</v>
      </c>
      <c r="B2669" s="2">
        <v>44967</v>
      </c>
      <c r="C2669" t="s">
        <v>11</v>
      </c>
      <c r="D2669" t="s">
        <v>15</v>
      </c>
      <c r="E2669" t="s">
        <v>24</v>
      </c>
      <c r="F2669">
        <v>1</v>
      </c>
      <c r="G2669">
        <v>52968</v>
      </c>
      <c r="H2669">
        <v>52968</v>
      </c>
      <c r="I2669">
        <f t="shared" si="41"/>
        <v>52968</v>
      </c>
    </row>
    <row r="2670" spans="1:9" x14ac:dyDescent="0.3">
      <c r="A2670">
        <v>12669</v>
      </c>
      <c r="B2670" s="2">
        <v>45157</v>
      </c>
      <c r="C2670" t="s">
        <v>9</v>
      </c>
      <c r="D2670" t="s">
        <v>16</v>
      </c>
      <c r="E2670" t="s">
        <v>21</v>
      </c>
      <c r="F2670">
        <v>3</v>
      </c>
      <c r="G2670">
        <v>54416</v>
      </c>
      <c r="H2670">
        <v>163248</v>
      </c>
      <c r="I2670">
        <f t="shared" si="41"/>
        <v>163248</v>
      </c>
    </row>
    <row r="2671" spans="1:9" x14ac:dyDescent="0.3">
      <c r="A2671">
        <v>12670</v>
      </c>
      <c r="B2671" s="2">
        <v>45114</v>
      </c>
      <c r="C2671" t="s">
        <v>14</v>
      </c>
      <c r="D2671" t="s">
        <v>16</v>
      </c>
      <c r="E2671" t="s">
        <v>23</v>
      </c>
      <c r="F2671">
        <v>12</v>
      </c>
      <c r="G2671">
        <v>9933</v>
      </c>
      <c r="H2671">
        <v>119196</v>
      </c>
      <c r="I2671">
        <f t="shared" si="41"/>
        <v>119196</v>
      </c>
    </row>
    <row r="2672" spans="1:9" x14ac:dyDescent="0.3">
      <c r="A2672">
        <v>12671</v>
      </c>
      <c r="B2672" s="2">
        <v>45243</v>
      </c>
      <c r="C2672" t="s">
        <v>14</v>
      </c>
      <c r="D2672" t="s">
        <v>17</v>
      </c>
      <c r="E2672" t="s">
        <v>20</v>
      </c>
      <c r="F2672">
        <v>18</v>
      </c>
      <c r="G2672">
        <v>46894</v>
      </c>
      <c r="H2672">
        <v>844092</v>
      </c>
      <c r="I2672">
        <f t="shared" si="41"/>
        <v>844092</v>
      </c>
    </row>
    <row r="2673" spans="1:9" x14ac:dyDescent="0.3">
      <c r="A2673">
        <v>12672</v>
      </c>
      <c r="B2673" s="2">
        <v>44992</v>
      </c>
      <c r="C2673" t="s">
        <v>11</v>
      </c>
      <c r="D2673" t="s">
        <v>17</v>
      </c>
      <c r="E2673" t="s">
        <v>21</v>
      </c>
      <c r="F2673">
        <v>4</v>
      </c>
      <c r="G2673">
        <v>53222</v>
      </c>
      <c r="H2673">
        <v>212888</v>
      </c>
      <c r="I2673">
        <f t="shared" si="41"/>
        <v>212888</v>
      </c>
    </row>
    <row r="2674" spans="1:9" x14ac:dyDescent="0.3">
      <c r="A2674">
        <v>12673</v>
      </c>
      <c r="B2674" s="2">
        <v>45018</v>
      </c>
      <c r="C2674" t="s">
        <v>13</v>
      </c>
      <c r="D2674" t="s">
        <v>18</v>
      </c>
      <c r="E2674" t="s">
        <v>22</v>
      </c>
      <c r="F2674">
        <v>18</v>
      </c>
      <c r="G2674">
        <v>21563</v>
      </c>
      <c r="H2674">
        <v>388134</v>
      </c>
      <c r="I2674">
        <f t="shared" si="41"/>
        <v>388134</v>
      </c>
    </row>
    <row r="2675" spans="1:9" x14ac:dyDescent="0.3">
      <c r="A2675">
        <v>12674</v>
      </c>
      <c r="B2675" s="2">
        <v>45214</v>
      </c>
      <c r="C2675" t="s">
        <v>11</v>
      </c>
      <c r="D2675" t="s">
        <v>16</v>
      </c>
      <c r="E2675" t="s">
        <v>20</v>
      </c>
      <c r="F2675">
        <v>8</v>
      </c>
      <c r="G2675">
        <v>53993</v>
      </c>
      <c r="H2675">
        <v>431944</v>
      </c>
      <c r="I2675">
        <f t="shared" si="41"/>
        <v>431944</v>
      </c>
    </row>
    <row r="2676" spans="1:9" x14ac:dyDescent="0.3">
      <c r="A2676">
        <v>12675</v>
      </c>
      <c r="B2676" s="2">
        <v>45148</v>
      </c>
      <c r="C2676" t="s">
        <v>12</v>
      </c>
      <c r="D2676" t="s">
        <v>18</v>
      </c>
      <c r="E2676" t="s">
        <v>20</v>
      </c>
      <c r="F2676">
        <v>9</v>
      </c>
      <c r="G2676">
        <v>4014</v>
      </c>
      <c r="H2676">
        <v>36126</v>
      </c>
      <c r="I2676">
        <f t="shared" si="41"/>
        <v>36126</v>
      </c>
    </row>
    <row r="2677" spans="1:9" x14ac:dyDescent="0.3">
      <c r="A2677">
        <v>12676</v>
      </c>
      <c r="B2677" s="2">
        <v>44927</v>
      </c>
      <c r="C2677" t="s">
        <v>8</v>
      </c>
      <c r="D2677" t="s">
        <v>17</v>
      </c>
      <c r="E2677" t="s">
        <v>22</v>
      </c>
      <c r="F2677">
        <v>1</v>
      </c>
      <c r="G2677">
        <v>41550</v>
      </c>
      <c r="H2677">
        <v>41550</v>
      </c>
      <c r="I2677">
        <f t="shared" si="41"/>
        <v>41550</v>
      </c>
    </row>
    <row r="2678" spans="1:9" x14ac:dyDescent="0.3">
      <c r="A2678">
        <v>12677</v>
      </c>
      <c r="B2678" s="2">
        <v>45028</v>
      </c>
      <c r="C2678" t="s">
        <v>8</v>
      </c>
      <c r="D2678" t="s">
        <v>16</v>
      </c>
      <c r="E2678" t="s">
        <v>21</v>
      </c>
      <c r="F2678">
        <v>11</v>
      </c>
      <c r="G2678">
        <v>4504</v>
      </c>
      <c r="H2678">
        <v>49544</v>
      </c>
      <c r="I2678">
        <f t="shared" si="41"/>
        <v>49544</v>
      </c>
    </row>
    <row r="2679" spans="1:9" x14ac:dyDescent="0.3">
      <c r="A2679">
        <v>12678</v>
      </c>
      <c r="B2679" s="2">
        <v>45180</v>
      </c>
      <c r="C2679" t="s">
        <v>9</v>
      </c>
      <c r="D2679" t="s">
        <v>15</v>
      </c>
      <c r="E2679" t="s">
        <v>20</v>
      </c>
      <c r="F2679">
        <v>13</v>
      </c>
      <c r="G2679">
        <v>45129</v>
      </c>
      <c r="H2679">
        <v>586677</v>
      </c>
      <c r="I2679">
        <f t="shared" si="41"/>
        <v>586677</v>
      </c>
    </row>
    <row r="2680" spans="1:9" x14ac:dyDescent="0.3">
      <c r="A2680">
        <v>12679</v>
      </c>
      <c r="B2680" s="2">
        <v>45275</v>
      </c>
      <c r="C2680" t="s">
        <v>14</v>
      </c>
      <c r="D2680" t="s">
        <v>15</v>
      </c>
      <c r="E2680" t="s">
        <v>23</v>
      </c>
      <c r="F2680">
        <v>10</v>
      </c>
      <c r="G2680">
        <v>53144</v>
      </c>
      <c r="H2680">
        <v>531440</v>
      </c>
      <c r="I2680">
        <f t="shared" si="41"/>
        <v>531440</v>
      </c>
    </row>
    <row r="2681" spans="1:9" x14ac:dyDescent="0.3">
      <c r="A2681">
        <v>12680</v>
      </c>
      <c r="B2681" s="2">
        <v>44953</v>
      </c>
      <c r="C2681" t="s">
        <v>12</v>
      </c>
      <c r="D2681" t="s">
        <v>15</v>
      </c>
      <c r="E2681" t="s">
        <v>21</v>
      </c>
      <c r="F2681">
        <v>7</v>
      </c>
      <c r="G2681">
        <v>22888</v>
      </c>
      <c r="H2681">
        <v>160216</v>
      </c>
      <c r="I2681">
        <f t="shared" si="41"/>
        <v>160216</v>
      </c>
    </row>
    <row r="2682" spans="1:9" x14ac:dyDescent="0.3">
      <c r="A2682">
        <v>12681</v>
      </c>
      <c r="B2682" s="2">
        <v>45131</v>
      </c>
      <c r="C2682" t="s">
        <v>9</v>
      </c>
      <c r="D2682" t="s">
        <v>15</v>
      </c>
      <c r="E2682" t="s">
        <v>21</v>
      </c>
      <c r="F2682">
        <v>7</v>
      </c>
      <c r="G2682">
        <v>20192</v>
      </c>
      <c r="H2682">
        <v>141344</v>
      </c>
      <c r="I2682">
        <f t="shared" si="41"/>
        <v>141344</v>
      </c>
    </row>
    <row r="2683" spans="1:9" x14ac:dyDescent="0.3">
      <c r="A2683">
        <v>12682</v>
      </c>
      <c r="B2683" s="2">
        <v>45264</v>
      </c>
      <c r="C2683" t="s">
        <v>13</v>
      </c>
      <c r="D2683" t="s">
        <v>16</v>
      </c>
      <c r="E2683" t="s">
        <v>23</v>
      </c>
      <c r="F2683">
        <v>14</v>
      </c>
      <c r="G2683">
        <v>37249</v>
      </c>
      <c r="H2683">
        <v>521486</v>
      </c>
      <c r="I2683">
        <f t="shared" si="41"/>
        <v>521486</v>
      </c>
    </row>
    <row r="2684" spans="1:9" x14ac:dyDescent="0.3">
      <c r="A2684">
        <v>12683</v>
      </c>
      <c r="B2684" s="2">
        <v>44936</v>
      </c>
      <c r="C2684" t="s">
        <v>14</v>
      </c>
      <c r="D2684" t="s">
        <v>18</v>
      </c>
      <c r="E2684" t="s">
        <v>23</v>
      </c>
      <c r="F2684">
        <v>1</v>
      </c>
      <c r="G2684">
        <v>33514</v>
      </c>
      <c r="H2684">
        <v>33514</v>
      </c>
      <c r="I2684">
        <f t="shared" si="41"/>
        <v>33514</v>
      </c>
    </row>
    <row r="2685" spans="1:9" x14ac:dyDescent="0.3">
      <c r="A2685">
        <v>12684</v>
      </c>
      <c r="B2685" s="2">
        <v>44967</v>
      </c>
      <c r="C2685" t="s">
        <v>14</v>
      </c>
      <c r="D2685" t="s">
        <v>16</v>
      </c>
      <c r="E2685" t="s">
        <v>24</v>
      </c>
      <c r="F2685">
        <v>4</v>
      </c>
      <c r="G2685">
        <v>36889</v>
      </c>
      <c r="H2685">
        <v>147556</v>
      </c>
      <c r="I2685">
        <f t="shared" si="41"/>
        <v>147556</v>
      </c>
    </row>
    <row r="2686" spans="1:9" x14ac:dyDescent="0.3">
      <c r="A2686">
        <v>12685</v>
      </c>
      <c r="B2686" s="2">
        <v>45140</v>
      </c>
      <c r="C2686" t="s">
        <v>11</v>
      </c>
      <c r="D2686" t="s">
        <v>18</v>
      </c>
      <c r="E2686" t="s">
        <v>24</v>
      </c>
      <c r="F2686">
        <v>5</v>
      </c>
      <c r="G2686">
        <v>52123</v>
      </c>
      <c r="H2686">
        <v>260615</v>
      </c>
      <c r="I2686">
        <f t="shared" si="41"/>
        <v>260615</v>
      </c>
    </row>
    <row r="2687" spans="1:9" x14ac:dyDescent="0.3">
      <c r="A2687">
        <v>12686</v>
      </c>
      <c r="B2687" s="2">
        <v>45055</v>
      </c>
      <c r="C2687" t="s">
        <v>12</v>
      </c>
      <c r="D2687" t="s">
        <v>17</v>
      </c>
      <c r="E2687" t="s">
        <v>21</v>
      </c>
      <c r="F2687">
        <v>13</v>
      </c>
      <c r="G2687">
        <v>26550</v>
      </c>
      <c r="H2687">
        <v>345150</v>
      </c>
      <c r="I2687">
        <f t="shared" si="41"/>
        <v>345150</v>
      </c>
    </row>
    <row r="2688" spans="1:9" x14ac:dyDescent="0.3">
      <c r="A2688">
        <v>12687</v>
      </c>
      <c r="B2688" s="2">
        <v>44992</v>
      </c>
      <c r="C2688" t="s">
        <v>8</v>
      </c>
      <c r="D2688" t="s">
        <v>18</v>
      </c>
      <c r="E2688" t="s">
        <v>21</v>
      </c>
      <c r="F2688">
        <v>19</v>
      </c>
      <c r="G2688">
        <v>43139</v>
      </c>
      <c r="H2688">
        <v>819641</v>
      </c>
      <c r="I2688">
        <f t="shared" si="41"/>
        <v>819641</v>
      </c>
    </row>
    <row r="2689" spans="1:9" x14ac:dyDescent="0.3">
      <c r="A2689">
        <v>12688</v>
      </c>
      <c r="B2689" s="2">
        <v>45168</v>
      </c>
      <c r="C2689" t="s">
        <v>9</v>
      </c>
      <c r="D2689" t="s">
        <v>18</v>
      </c>
      <c r="E2689" t="s">
        <v>21</v>
      </c>
      <c r="F2689">
        <v>3</v>
      </c>
      <c r="G2689">
        <v>23473</v>
      </c>
      <c r="H2689">
        <v>70419</v>
      </c>
      <c r="I2689">
        <f t="shared" si="41"/>
        <v>70419</v>
      </c>
    </row>
    <row r="2690" spans="1:9" x14ac:dyDescent="0.3">
      <c r="A2690">
        <v>12689</v>
      </c>
      <c r="B2690" s="2">
        <v>45111</v>
      </c>
      <c r="C2690" t="s">
        <v>12</v>
      </c>
      <c r="D2690" t="s">
        <v>18</v>
      </c>
      <c r="E2690" t="s">
        <v>24</v>
      </c>
      <c r="F2690">
        <v>6</v>
      </c>
      <c r="G2690">
        <v>18903</v>
      </c>
      <c r="H2690">
        <v>113418</v>
      </c>
      <c r="I2690">
        <f t="shared" si="41"/>
        <v>113418</v>
      </c>
    </row>
    <row r="2691" spans="1:9" x14ac:dyDescent="0.3">
      <c r="A2691">
        <v>12690</v>
      </c>
      <c r="B2691" s="2">
        <v>45152</v>
      </c>
      <c r="C2691" t="s">
        <v>9</v>
      </c>
      <c r="D2691" t="s">
        <v>18</v>
      </c>
      <c r="E2691" t="s">
        <v>21</v>
      </c>
      <c r="F2691">
        <v>12</v>
      </c>
      <c r="G2691">
        <v>40914</v>
      </c>
      <c r="H2691">
        <v>490968</v>
      </c>
      <c r="I2691">
        <f t="shared" ref="I2691:I2754" si="42">G2691*F2691</f>
        <v>490968</v>
      </c>
    </row>
    <row r="2692" spans="1:9" x14ac:dyDescent="0.3">
      <c r="A2692">
        <v>12691</v>
      </c>
      <c r="B2692" s="2">
        <v>45050</v>
      </c>
      <c r="C2692" t="s">
        <v>10</v>
      </c>
      <c r="D2692" t="s">
        <v>18</v>
      </c>
      <c r="E2692" t="s">
        <v>23</v>
      </c>
      <c r="F2692">
        <v>13</v>
      </c>
      <c r="G2692">
        <v>39851</v>
      </c>
      <c r="H2692">
        <v>518063</v>
      </c>
      <c r="I2692">
        <f t="shared" si="42"/>
        <v>518063</v>
      </c>
    </row>
    <row r="2693" spans="1:9" x14ac:dyDescent="0.3">
      <c r="A2693">
        <v>12692</v>
      </c>
      <c r="B2693" s="2">
        <v>45266</v>
      </c>
      <c r="C2693" t="s">
        <v>14</v>
      </c>
      <c r="D2693" t="s">
        <v>18</v>
      </c>
      <c r="E2693" t="s">
        <v>22</v>
      </c>
      <c r="F2693">
        <v>8</v>
      </c>
      <c r="G2693">
        <v>32473</v>
      </c>
      <c r="H2693">
        <v>259784</v>
      </c>
      <c r="I2693">
        <f t="shared" si="42"/>
        <v>259784</v>
      </c>
    </row>
    <row r="2694" spans="1:9" x14ac:dyDescent="0.3">
      <c r="A2694">
        <v>12693</v>
      </c>
      <c r="B2694" s="2">
        <v>45244</v>
      </c>
      <c r="C2694" t="s">
        <v>13</v>
      </c>
      <c r="D2694" t="s">
        <v>15</v>
      </c>
      <c r="E2694" t="s">
        <v>22</v>
      </c>
      <c r="F2694">
        <v>5</v>
      </c>
      <c r="G2694">
        <v>27838</v>
      </c>
      <c r="H2694">
        <v>139190</v>
      </c>
      <c r="I2694">
        <f t="shared" si="42"/>
        <v>139190</v>
      </c>
    </row>
    <row r="2695" spans="1:9" x14ac:dyDescent="0.3">
      <c r="A2695">
        <v>12694</v>
      </c>
      <c r="B2695" s="2">
        <v>45234</v>
      </c>
      <c r="C2695" t="s">
        <v>10</v>
      </c>
      <c r="D2695" t="s">
        <v>18</v>
      </c>
      <c r="E2695" t="s">
        <v>21</v>
      </c>
      <c r="F2695">
        <v>1</v>
      </c>
      <c r="G2695">
        <v>19022</v>
      </c>
      <c r="H2695">
        <v>19022</v>
      </c>
      <c r="I2695">
        <f t="shared" si="42"/>
        <v>19022</v>
      </c>
    </row>
    <row r="2696" spans="1:9" x14ac:dyDescent="0.3">
      <c r="A2696">
        <v>12695</v>
      </c>
      <c r="B2696" s="2">
        <v>44988</v>
      </c>
      <c r="C2696" t="s">
        <v>9</v>
      </c>
      <c r="D2696" t="s">
        <v>17</v>
      </c>
      <c r="E2696" t="s">
        <v>24</v>
      </c>
      <c r="F2696">
        <v>17</v>
      </c>
      <c r="G2696">
        <v>11767</v>
      </c>
      <c r="H2696">
        <v>200039</v>
      </c>
      <c r="I2696">
        <f t="shared" si="42"/>
        <v>200039</v>
      </c>
    </row>
    <row r="2697" spans="1:9" x14ac:dyDescent="0.3">
      <c r="A2697">
        <v>12696</v>
      </c>
      <c r="B2697" s="2">
        <v>45154</v>
      </c>
      <c r="C2697" t="s">
        <v>13</v>
      </c>
      <c r="D2697" t="s">
        <v>18</v>
      </c>
      <c r="E2697" t="s">
        <v>23</v>
      </c>
      <c r="F2697">
        <v>8</v>
      </c>
      <c r="G2697">
        <v>50902</v>
      </c>
      <c r="H2697">
        <v>407216</v>
      </c>
      <c r="I2697">
        <f t="shared" si="42"/>
        <v>407216</v>
      </c>
    </row>
    <row r="2698" spans="1:9" x14ac:dyDescent="0.3">
      <c r="A2698">
        <v>12697</v>
      </c>
      <c r="B2698" s="2">
        <v>45009</v>
      </c>
      <c r="C2698" t="s">
        <v>9</v>
      </c>
      <c r="D2698" t="s">
        <v>17</v>
      </c>
      <c r="E2698" t="s">
        <v>19</v>
      </c>
      <c r="F2698">
        <v>6</v>
      </c>
      <c r="G2698">
        <v>11421</v>
      </c>
      <c r="H2698">
        <v>68526</v>
      </c>
      <c r="I2698">
        <f t="shared" si="42"/>
        <v>68526</v>
      </c>
    </row>
    <row r="2699" spans="1:9" x14ac:dyDescent="0.3">
      <c r="A2699">
        <v>12698</v>
      </c>
      <c r="B2699" s="2">
        <v>45045</v>
      </c>
      <c r="C2699" t="s">
        <v>12</v>
      </c>
      <c r="D2699" t="s">
        <v>17</v>
      </c>
      <c r="E2699" t="s">
        <v>23</v>
      </c>
      <c r="F2699">
        <v>9</v>
      </c>
      <c r="G2699">
        <v>59353</v>
      </c>
      <c r="H2699">
        <v>534177</v>
      </c>
      <c r="I2699">
        <f t="shared" si="42"/>
        <v>534177</v>
      </c>
    </row>
    <row r="2700" spans="1:9" x14ac:dyDescent="0.3">
      <c r="A2700">
        <v>12699</v>
      </c>
      <c r="B2700" s="2">
        <v>44980</v>
      </c>
      <c r="C2700" t="s">
        <v>11</v>
      </c>
      <c r="D2700" t="s">
        <v>17</v>
      </c>
      <c r="E2700" t="s">
        <v>23</v>
      </c>
      <c r="F2700">
        <v>20</v>
      </c>
      <c r="G2700">
        <v>2088</v>
      </c>
      <c r="H2700">
        <v>41760</v>
      </c>
      <c r="I2700">
        <f t="shared" si="42"/>
        <v>41760</v>
      </c>
    </row>
    <row r="2701" spans="1:9" x14ac:dyDescent="0.3">
      <c r="A2701">
        <v>12700</v>
      </c>
      <c r="B2701" s="2">
        <v>45050</v>
      </c>
      <c r="C2701" t="s">
        <v>10</v>
      </c>
      <c r="D2701" t="s">
        <v>18</v>
      </c>
      <c r="E2701" t="s">
        <v>23</v>
      </c>
      <c r="F2701">
        <v>1</v>
      </c>
      <c r="G2701">
        <v>23012</v>
      </c>
      <c r="H2701">
        <v>23012</v>
      </c>
      <c r="I2701">
        <f t="shared" si="42"/>
        <v>23012</v>
      </c>
    </row>
    <row r="2702" spans="1:9" x14ac:dyDescent="0.3">
      <c r="A2702">
        <v>12701</v>
      </c>
      <c r="B2702" s="2">
        <v>44984</v>
      </c>
      <c r="C2702" t="s">
        <v>9</v>
      </c>
      <c r="D2702" t="s">
        <v>15</v>
      </c>
      <c r="E2702" t="s">
        <v>24</v>
      </c>
      <c r="F2702">
        <v>15</v>
      </c>
      <c r="G2702">
        <v>25452</v>
      </c>
      <c r="H2702">
        <v>381780</v>
      </c>
      <c r="I2702">
        <f t="shared" si="42"/>
        <v>381780</v>
      </c>
    </row>
    <row r="2703" spans="1:9" x14ac:dyDescent="0.3">
      <c r="A2703">
        <v>12702</v>
      </c>
      <c r="B2703" s="2">
        <v>45158</v>
      </c>
      <c r="C2703" t="s">
        <v>9</v>
      </c>
      <c r="D2703" t="s">
        <v>17</v>
      </c>
      <c r="E2703" t="s">
        <v>20</v>
      </c>
      <c r="F2703">
        <v>3</v>
      </c>
      <c r="G2703">
        <v>42817</v>
      </c>
      <c r="H2703">
        <v>128451</v>
      </c>
      <c r="I2703">
        <f t="shared" si="42"/>
        <v>128451</v>
      </c>
    </row>
    <row r="2704" spans="1:9" x14ac:dyDescent="0.3">
      <c r="A2704">
        <v>12703</v>
      </c>
      <c r="B2704" s="2">
        <v>45032</v>
      </c>
      <c r="C2704" t="s">
        <v>14</v>
      </c>
      <c r="D2704" t="s">
        <v>18</v>
      </c>
      <c r="E2704" t="s">
        <v>20</v>
      </c>
      <c r="F2704">
        <v>9</v>
      </c>
      <c r="G2704">
        <v>42462</v>
      </c>
      <c r="H2704">
        <v>382158</v>
      </c>
      <c r="I2704">
        <f t="shared" si="42"/>
        <v>382158</v>
      </c>
    </row>
    <row r="2705" spans="1:9" x14ac:dyDescent="0.3">
      <c r="A2705">
        <v>12704</v>
      </c>
      <c r="B2705" s="2">
        <v>45052</v>
      </c>
      <c r="C2705" t="s">
        <v>9</v>
      </c>
      <c r="D2705" t="s">
        <v>17</v>
      </c>
      <c r="E2705" t="s">
        <v>23</v>
      </c>
      <c r="F2705">
        <v>10</v>
      </c>
      <c r="G2705">
        <v>21122</v>
      </c>
      <c r="H2705">
        <v>211220</v>
      </c>
      <c r="I2705">
        <f t="shared" si="42"/>
        <v>211220</v>
      </c>
    </row>
    <row r="2706" spans="1:9" x14ac:dyDescent="0.3">
      <c r="A2706">
        <v>12705</v>
      </c>
      <c r="B2706" s="2">
        <v>44980</v>
      </c>
      <c r="C2706" t="s">
        <v>14</v>
      </c>
      <c r="D2706" t="s">
        <v>15</v>
      </c>
      <c r="E2706" t="s">
        <v>22</v>
      </c>
      <c r="F2706">
        <v>10</v>
      </c>
      <c r="G2706">
        <v>8555</v>
      </c>
      <c r="H2706">
        <v>85550</v>
      </c>
      <c r="I2706">
        <f t="shared" si="42"/>
        <v>85550</v>
      </c>
    </row>
    <row r="2707" spans="1:9" x14ac:dyDescent="0.3">
      <c r="A2707">
        <v>12706</v>
      </c>
      <c r="B2707" s="2">
        <v>45196</v>
      </c>
      <c r="C2707" t="s">
        <v>13</v>
      </c>
      <c r="D2707" t="s">
        <v>16</v>
      </c>
      <c r="E2707" t="s">
        <v>24</v>
      </c>
      <c r="F2707">
        <v>1</v>
      </c>
      <c r="G2707">
        <v>50870</v>
      </c>
      <c r="H2707">
        <v>50870</v>
      </c>
      <c r="I2707">
        <f t="shared" si="42"/>
        <v>50870</v>
      </c>
    </row>
    <row r="2708" spans="1:9" x14ac:dyDescent="0.3">
      <c r="A2708">
        <v>12707</v>
      </c>
      <c r="B2708" s="2">
        <v>45068</v>
      </c>
      <c r="C2708" t="s">
        <v>11</v>
      </c>
      <c r="D2708" t="s">
        <v>18</v>
      </c>
      <c r="E2708" t="s">
        <v>19</v>
      </c>
      <c r="F2708">
        <v>14</v>
      </c>
      <c r="G2708">
        <v>27332</v>
      </c>
      <c r="H2708">
        <v>382648</v>
      </c>
      <c r="I2708">
        <f t="shared" si="42"/>
        <v>382648</v>
      </c>
    </row>
    <row r="2709" spans="1:9" x14ac:dyDescent="0.3">
      <c r="A2709">
        <v>12708</v>
      </c>
      <c r="B2709" s="2">
        <v>45174</v>
      </c>
      <c r="C2709" t="s">
        <v>11</v>
      </c>
      <c r="D2709" t="s">
        <v>16</v>
      </c>
      <c r="E2709" t="s">
        <v>23</v>
      </c>
      <c r="F2709">
        <v>12</v>
      </c>
      <c r="G2709">
        <v>46564</v>
      </c>
      <c r="H2709">
        <v>558768</v>
      </c>
      <c r="I2709">
        <f t="shared" si="42"/>
        <v>558768</v>
      </c>
    </row>
    <row r="2710" spans="1:9" x14ac:dyDescent="0.3">
      <c r="A2710">
        <v>12709</v>
      </c>
      <c r="B2710" s="2">
        <v>44935</v>
      </c>
      <c r="C2710" t="s">
        <v>13</v>
      </c>
      <c r="D2710" t="s">
        <v>15</v>
      </c>
      <c r="E2710" t="s">
        <v>21</v>
      </c>
      <c r="F2710">
        <v>19</v>
      </c>
      <c r="G2710">
        <v>45470</v>
      </c>
      <c r="H2710">
        <v>863930</v>
      </c>
      <c r="I2710">
        <f t="shared" si="42"/>
        <v>863930</v>
      </c>
    </row>
    <row r="2711" spans="1:9" x14ac:dyDescent="0.3">
      <c r="A2711">
        <v>12710</v>
      </c>
      <c r="B2711" s="2">
        <v>45243</v>
      </c>
      <c r="C2711" t="s">
        <v>13</v>
      </c>
      <c r="D2711" t="s">
        <v>17</v>
      </c>
      <c r="E2711" t="s">
        <v>19</v>
      </c>
      <c r="F2711">
        <v>18</v>
      </c>
      <c r="G2711">
        <v>1045</v>
      </c>
      <c r="H2711">
        <v>18810</v>
      </c>
      <c r="I2711">
        <f t="shared" si="42"/>
        <v>18810</v>
      </c>
    </row>
    <row r="2712" spans="1:9" x14ac:dyDescent="0.3">
      <c r="A2712">
        <v>12711</v>
      </c>
      <c r="B2712" s="2">
        <v>45248</v>
      </c>
      <c r="C2712" t="s">
        <v>10</v>
      </c>
      <c r="D2712" t="s">
        <v>18</v>
      </c>
      <c r="E2712" t="s">
        <v>24</v>
      </c>
      <c r="F2712">
        <v>11</v>
      </c>
      <c r="G2712">
        <v>36478</v>
      </c>
      <c r="H2712">
        <v>401258</v>
      </c>
      <c r="I2712">
        <f t="shared" si="42"/>
        <v>401258</v>
      </c>
    </row>
    <row r="2713" spans="1:9" x14ac:dyDescent="0.3">
      <c r="A2713">
        <v>12712</v>
      </c>
      <c r="B2713" s="2">
        <v>45114</v>
      </c>
      <c r="C2713" t="s">
        <v>13</v>
      </c>
      <c r="D2713" t="s">
        <v>15</v>
      </c>
      <c r="E2713" t="s">
        <v>24</v>
      </c>
      <c r="F2713">
        <v>10</v>
      </c>
      <c r="G2713">
        <v>59127</v>
      </c>
      <c r="H2713">
        <v>591270</v>
      </c>
      <c r="I2713">
        <f t="shared" si="42"/>
        <v>591270</v>
      </c>
    </row>
    <row r="2714" spans="1:9" x14ac:dyDescent="0.3">
      <c r="A2714">
        <v>12713</v>
      </c>
      <c r="B2714" s="2">
        <v>45011</v>
      </c>
      <c r="C2714" t="s">
        <v>12</v>
      </c>
      <c r="D2714" t="s">
        <v>16</v>
      </c>
      <c r="E2714" t="s">
        <v>19</v>
      </c>
      <c r="F2714">
        <v>2</v>
      </c>
      <c r="G2714">
        <v>15296</v>
      </c>
      <c r="H2714">
        <v>30592</v>
      </c>
      <c r="I2714">
        <f t="shared" si="42"/>
        <v>30592</v>
      </c>
    </row>
    <row r="2715" spans="1:9" x14ac:dyDescent="0.3">
      <c r="A2715">
        <v>12714</v>
      </c>
      <c r="B2715" s="2">
        <v>45235</v>
      </c>
      <c r="C2715" t="s">
        <v>10</v>
      </c>
      <c r="D2715" t="s">
        <v>18</v>
      </c>
      <c r="E2715" t="s">
        <v>22</v>
      </c>
      <c r="F2715">
        <v>12</v>
      </c>
      <c r="G2715">
        <v>5505</v>
      </c>
      <c r="H2715">
        <v>66060</v>
      </c>
      <c r="I2715">
        <f t="shared" si="42"/>
        <v>66060</v>
      </c>
    </row>
    <row r="2716" spans="1:9" x14ac:dyDescent="0.3">
      <c r="A2716">
        <v>12715</v>
      </c>
      <c r="B2716" s="2">
        <v>45242</v>
      </c>
      <c r="C2716" t="s">
        <v>13</v>
      </c>
      <c r="D2716" t="s">
        <v>15</v>
      </c>
      <c r="E2716" t="s">
        <v>22</v>
      </c>
      <c r="F2716">
        <v>20</v>
      </c>
      <c r="G2716">
        <v>12120</v>
      </c>
      <c r="H2716">
        <v>242400</v>
      </c>
      <c r="I2716">
        <f t="shared" si="42"/>
        <v>242400</v>
      </c>
    </row>
    <row r="2717" spans="1:9" x14ac:dyDescent="0.3">
      <c r="A2717">
        <v>12716</v>
      </c>
      <c r="B2717" s="2">
        <v>45127</v>
      </c>
      <c r="C2717" t="s">
        <v>14</v>
      </c>
      <c r="D2717" t="s">
        <v>17</v>
      </c>
      <c r="E2717" t="s">
        <v>21</v>
      </c>
      <c r="F2717">
        <v>3</v>
      </c>
      <c r="G2717">
        <v>45471</v>
      </c>
      <c r="H2717">
        <v>136413</v>
      </c>
      <c r="I2717">
        <f t="shared" si="42"/>
        <v>136413</v>
      </c>
    </row>
    <row r="2718" spans="1:9" x14ac:dyDescent="0.3">
      <c r="A2718">
        <v>12717</v>
      </c>
      <c r="B2718" s="2">
        <v>45028</v>
      </c>
      <c r="C2718" t="s">
        <v>11</v>
      </c>
      <c r="D2718" t="s">
        <v>16</v>
      </c>
      <c r="E2718" t="s">
        <v>20</v>
      </c>
      <c r="F2718">
        <v>10</v>
      </c>
      <c r="G2718">
        <v>9046</v>
      </c>
      <c r="H2718">
        <v>90460</v>
      </c>
      <c r="I2718">
        <f t="shared" si="42"/>
        <v>90460</v>
      </c>
    </row>
    <row r="2719" spans="1:9" x14ac:dyDescent="0.3">
      <c r="A2719">
        <v>12718</v>
      </c>
      <c r="B2719" s="2">
        <v>45015</v>
      </c>
      <c r="C2719" t="s">
        <v>11</v>
      </c>
      <c r="D2719" t="s">
        <v>16</v>
      </c>
      <c r="E2719" t="s">
        <v>22</v>
      </c>
      <c r="F2719">
        <v>7</v>
      </c>
      <c r="G2719">
        <v>9060</v>
      </c>
      <c r="H2719">
        <v>63420</v>
      </c>
      <c r="I2719">
        <f t="shared" si="42"/>
        <v>63420</v>
      </c>
    </row>
    <row r="2720" spans="1:9" x14ac:dyDescent="0.3">
      <c r="A2720">
        <v>12719</v>
      </c>
      <c r="B2720" s="2">
        <v>45183</v>
      </c>
      <c r="C2720" t="s">
        <v>10</v>
      </c>
      <c r="D2720" t="s">
        <v>17</v>
      </c>
      <c r="E2720" t="s">
        <v>19</v>
      </c>
      <c r="F2720">
        <v>10</v>
      </c>
      <c r="G2720">
        <v>50537</v>
      </c>
      <c r="H2720">
        <v>505370</v>
      </c>
      <c r="I2720">
        <f t="shared" si="42"/>
        <v>505370</v>
      </c>
    </row>
    <row r="2721" spans="1:9" x14ac:dyDescent="0.3">
      <c r="A2721">
        <v>12720</v>
      </c>
      <c r="B2721" s="2">
        <v>45163</v>
      </c>
      <c r="C2721" t="s">
        <v>8</v>
      </c>
      <c r="D2721" t="s">
        <v>16</v>
      </c>
      <c r="E2721" t="s">
        <v>21</v>
      </c>
      <c r="F2721">
        <v>10</v>
      </c>
      <c r="G2721">
        <v>57982</v>
      </c>
      <c r="H2721">
        <v>579820</v>
      </c>
      <c r="I2721">
        <f t="shared" si="42"/>
        <v>579820</v>
      </c>
    </row>
    <row r="2722" spans="1:9" x14ac:dyDescent="0.3">
      <c r="A2722">
        <v>12721</v>
      </c>
      <c r="B2722" s="2">
        <v>45238</v>
      </c>
      <c r="C2722" t="s">
        <v>13</v>
      </c>
      <c r="D2722" t="s">
        <v>18</v>
      </c>
      <c r="E2722" t="s">
        <v>24</v>
      </c>
      <c r="F2722">
        <v>18</v>
      </c>
      <c r="G2722">
        <v>23192</v>
      </c>
      <c r="H2722">
        <v>417456</v>
      </c>
      <c r="I2722">
        <f t="shared" si="42"/>
        <v>417456</v>
      </c>
    </row>
    <row r="2723" spans="1:9" x14ac:dyDescent="0.3">
      <c r="A2723">
        <v>12722</v>
      </c>
      <c r="B2723" s="2">
        <v>44970</v>
      </c>
      <c r="C2723" t="s">
        <v>13</v>
      </c>
      <c r="D2723" t="s">
        <v>17</v>
      </c>
      <c r="E2723" t="s">
        <v>20</v>
      </c>
      <c r="F2723">
        <v>7</v>
      </c>
      <c r="G2723">
        <v>18344</v>
      </c>
      <c r="H2723">
        <v>128408</v>
      </c>
      <c r="I2723">
        <f t="shared" si="42"/>
        <v>128408</v>
      </c>
    </row>
    <row r="2724" spans="1:9" x14ac:dyDescent="0.3">
      <c r="A2724">
        <v>12723</v>
      </c>
      <c r="B2724" s="2">
        <v>45084</v>
      </c>
      <c r="C2724" t="s">
        <v>13</v>
      </c>
      <c r="D2724" t="s">
        <v>15</v>
      </c>
      <c r="E2724" t="s">
        <v>19</v>
      </c>
      <c r="F2724">
        <v>13</v>
      </c>
      <c r="G2724">
        <v>8839</v>
      </c>
      <c r="H2724">
        <v>114907</v>
      </c>
      <c r="I2724">
        <f t="shared" si="42"/>
        <v>114907</v>
      </c>
    </row>
    <row r="2725" spans="1:9" x14ac:dyDescent="0.3">
      <c r="A2725">
        <v>12724</v>
      </c>
      <c r="B2725" s="2">
        <v>44980</v>
      </c>
      <c r="C2725" t="s">
        <v>9</v>
      </c>
      <c r="D2725" t="s">
        <v>17</v>
      </c>
      <c r="E2725" t="s">
        <v>19</v>
      </c>
      <c r="F2725">
        <v>12</v>
      </c>
      <c r="G2725">
        <v>38720</v>
      </c>
      <c r="H2725">
        <v>464640</v>
      </c>
      <c r="I2725">
        <f t="shared" si="42"/>
        <v>464640</v>
      </c>
    </row>
    <row r="2726" spans="1:9" x14ac:dyDescent="0.3">
      <c r="A2726">
        <v>12725</v>
      </c>
      <c r="B2726" s="2">
        <v>44980</v>
      </c>
      <c r="C2726" t="s">
        <v>8</v>
      </c>
      <c r="D2726" t="s">
        <v>15</v>
      </c>
      <c r="E2726" t="s">
        <v>21</v>
      </c>
      <c r="F2726">
        <v>2</v>
      </c>
      <c r="G2726">
        <v>21955</v>
      </c>
      <c r="H2726">
        <v>43910</v>
      </c>
      <c r="I2726">
        <f t="shared" si="42"/>
        <v>43910</v>
      </c>
    </row>
    <row r="2727" spans="1:9" x14ac:dyDescent="0.3">
      <c r="A2727">
        <v>12726</v>
      </c>
      <c r="B2727" s="2">
        <v>45115</v>
      </c>
      <c r="C2727" t="s">
        <v>14</v>
      </c>
      <c r="D2727" t="s">
        <v>17</v>
      </c>
      <c r="E2727" t="s">
        <v>20</v>
      </c>
      <c r="F2727">
        <v>17</v>
      </c>
      <c r="G2727">
        <v>12770</v>
      </c>
      <c r="H2727">
        <v>217090</v>
      </c>
      <c r="I2727">
        <f t="shared" si="42"/>
        <v>217090</v>
      </c>
    </row>
    <row r="2728" spans="1:9" x14ac:dyDescent="0.3">
      <c r="A2728">
        <v>12727</v>
      </c>
      <c r="B2728" s="2">
        <v>45070</v>
      </c>
      <c r="C2728" t="s">
        <v>13</v>
      </c>
      <c r="D2728" t="s">
        <v>17</v>
      </c>
      <c r="E2728" t="s">
        <v>22</v>
      </c>
      <c r="F2728">
        <v>7</v>
      </c>
      <c r="G2728">
        <v>52773</v>
      </c>
      <c r="H2728">
        <v>369411</v>
      </c>
      <c r="I2728">
        <f t="shared" si="42"/>
        <v>369411</v>
      </c>
    </row>
    <row r="2729" spans="1:9" x14ac:dyDescent="0.3">
      <c r="A2729">
        <v>12728</v>
      </c>
      <c r="B2729" s="2">
        <v>45090</v>
      </c>
      <c r="C2729" t="s">
        <v>9</v>
      </c>
      <c r="D2729" t="s">
        <v>17</v>
      </c>
      <c r="E2729" t="s">
        <v>20</v>
      </c>
      <c r="F2729">
        <v>2</v>
      </c>
      <c r="G2729">
        <v>22392</v>
      </c>
      <c r="H2729">
        <v>44784</v>
      </c>
      <c r="I2729">
        <f t="shared" si="42"/>
        <v>44784</v>
      </c>
    </row>
    <row r="2730" spans="1:9" x14ac:dyDescent="0.3">
      <c r="A2730">
        <v>12729</v>
      </c>
      <c r="B2730" s="2">
        <v>45257</v>
      </c>
      <c r="C2730" t="s">
        <v>12</v>
      </c>
      <c r="D2730" t="s">
        <v>16</v>
      </c>
      <c r="E2730" t="s">
        <v>23</v>
      </c>
      <c r="F2730">
        <v>20</v>
      </c>
      <c r="G2730">
        <v>13425</v>
      </c>
      <c r="H2730">
        <v>268500</v>
      </c>
      <c r="I2730">
        <f t="shared" si="42"/>
        <v>268500</v>
      </c>
    </row>
    <row r="2731" spans="1:9" x14ac:dyDescent="0.3">
      <c r="A2731">
        <v>12730</v>
      </c>
      <c r="B2731" s="2">
        <v>44977</v>
      </c>
      <c r="C2731" t="s">
        <v>8</v>
      </c>
      <c r="D2731" t="s">
        <v>17</v>
      </c>
      <c r="E2731" t="s">
        <v>23</v>
      </c>
      <c r="F2731">
        <v>3</v>
      </c>
      <c r="G2731">
        <v>37310</v>
      </c>
      <c r="H2731">
        <v>111930</v>
      </c>
      <c r="I2731">
        <f t="shared" si="42"/>
        <v>111930</v>
      </c>
    </row>
    <row r="2732" spans="1:9" x14ac:dyDescent="0.3">
      <c r="A2732">
        <v>12731</v>
      </c>
      <c r="B2732" s="2">
        <v>45172</v>
      </c>
      <c r="C2732" t="s">
        <v>11</v>
      </c>
      <c r="D2732" t="s">
        <v>17</v>
      </c>
      <c r="E2732" t="s">
        <v>19</v>
      </c>
      <c r="F2732">
        <v>4</v>
      </c>
      <c r="G2732">
        <v>46558</v>
      </c>
      <c r="H2732">
        <v>186232</v>
      </c>
      <c r="I2732">
        <f t="shared" si="42"/>
        <v>186232</v>
      </c>
    </row>
    <row r="2733" spans="1:9" x14ac:dyDescent="0.3">
      <c r="A2733">
        <v>12732</v>
      </c>
      <c r="B2733" s="2">
        <v>45170</v>
      </c>
      <c r="C2733" t="s">
        <v>13</v>
      </c>
      <c r="D2733" t="s">
        <v>15</v>
      </c>
      <c r="E2733" t="s">
        <v>23</v>
      </c>
      <c r="F2733">
        <v>19</v>
      </c>
      <c r="G2733">
        <v>59240</v>
      </c>
      <c r="H2733">
        <v>1125560</v>
      </c>
      <c r="I2733">
        <f t="shared" si="42"/>
        <v>1125560</v>
      </c>
    </row>
    <row r="2734" spans="1:9" x14ac:dyDescent="0.3">
      <c r="A2734">
        <v>12733</v>
      </c>
      <c r="B2734" s="2">
        <v>44932</v>
      </c>
      <c r="C2734" t="s">
        <v>9</v>
      </c>
      <c r="D2734" t="s">
        <v>17</v>
      </c>
      <c r="E2734" t="s">
        <v>24</v>
      </c>
      <c r="F2734">
        <v>9</v>
      </c>
      <c r="G2734">
        <v>5611</v>
      </c>
      <c r="H2734">
        <v>50499</v>
      </c>
      <c r="I2734">
        <f t="shared" si="42"/>
        <v>50499</v>
      </c>
    </row>
    <row r="2735" spans="1:9" x14ac:dyDescent="0.3">
      <c r="A2735">
        <v>12734</v>
      </c>
      <c r="B2735" s="2">
        <v>45127</v>
      </c>
      <c r="C2735" t="s">
        <v>9</v>
      </c>
      <c r="D2735" t="s">
        <v>18</v>
      </c>
      <c r="E2735" t="s">
        <v>22</v>
      </c>
      <c r="F2735">
        <v>11</v>
      </c>
      <c r="G2735">
        <v>41493</v>
      </c>
      <c r="H2735">
        <v>456423</v>
      </c>
      <c r="I2735">
        <f t="shared" si="42"/>
        <v>456423</v>
      </c>
    </row>
    <row r="2736" spans="1:9" x14ac:dyDescent="0.3">
      <c r="A2736">
        <v>12735</v>
      </c>
      <c r="B2736" s="2">
        <v>45188</v>
      </c>
      <c r="C2736" t="s">
        <v>10</v>
      </c>
      <c r="D2736" t="s">
        <v>17</v>
      </c>
      <c r="E2736" t="s">
        <v>21</v>
      </c>
      <c r="F2736">
        <v>8</v>
      </c>
      <c r="G2736">
        <v>11013</v>
      </c>
      <c r="H2736">
        <v>88104</v>
      </c>
      <c r="I2736">
        <f t="shared" si="42"/>
        <v>88104</v>
      </c>
    </row>
    <row r="2737" spans="1:9" x14ac:dyDescent="0.3">
      <c r="A2737">
        <v>12736</v>
      </c>
      <c r="B2737" s="2">
        <v>45080</v>
      </c>
      <c r="C2737" t="s">
        <v>8</v>
      </c>
      <c r="D2737" t="s">
        <v>15</v>
      </c>
      <c r="E2737" t="s">
        <v>24</v>
      </c>
      <c r="F2737">
        <v>7</v>
      </c>
      <c r="G2737">
        <v>43806</v>
      </c>
      <c r="H2737">
        <v>306642</v>
      </c>
      <c r="I2737">
        <f t="shared" si="42"/>
        <v>306642</v>
      </c>
    </row>
    <row r="2738" spans="1:9" x14ac:dyDescent="0.3">
      <c r="A2738">
        <v>12737</v>
      </c>
      <c r="B2738" s="2">
        <v>45176</v>
      </c>
      <c r="C2738" t="s">
        <v>11</v>
      </c>
      <c r="D2738" t="s">
        <v>15</v>
      </c>
      <c r="E2738" t="s">
        <v>23</v>
      </c>
      <c r="F2738">
        <v>7</v>
      </c>
      <c r="G2738">
        <v>52070</v>
      </c>
      <c r="H2738">
        <v>364490</v>
      </c>
      <c r="I2738">
        <f t="shared" si="42"/>
        <v>364490</v>
      </c>
    </row>
    <row r="2739" spans="1:9" x14ac:dyDescent="0.3">
      <c r="A2739">
        <v>12738</v>
      </c>
      <c r="B2739" s="2">
        <v>45038</v>
      </c>
      <c r="C2739" t="s">
        <v>9</v>
      </c>
      <c r="D2739" t="s">
        <v>18</v>
      </c>
      <c r="E2739" t="s">
        <v>19</v>
      </c>
      <c r="F2739">
        <v>7</v>
      </c>
      <c r="G2739">
        <v>10098</v>
      </c>
      <c r="H2739">
        <v>70686</v>
      </c>
      <c r="I2739">
        <f t="shared" si="42"/>
        <v>70686</v>
      </c>
    </row>
    <row r="2740" spans="1:9" x14ac:dyDescent="0.3">
      <c r="A2740">
        <v>12739</v>
      </c>
      <c r="B2740" s="2">
        <v>45162</v>
      </c>
      <c r="C2740" t="s">
        <v>14</v>
      </c>
      <c r="D2740" t="s">
        <v>15</v>
      </c>
      <c r="E2740" t="s">
        <v>22</v>
      </c>
      <c r="F2740">
        <v>13</v>
      </c>
      <c r="G2740">
        <v>30387</v>
      </c>
      <c r="H2740">
        <v>395031</v>
      </c>
      <c r="I2740">
        <f t="shared" si="42"/>
        <v>395031</v>
      </c>
    </row>
    <row r="2741" spans="1:9" x14ac:dyDescent="0.3">
      <c r="A2741">
        <v>12740</v>
      </c>
      <c r="B2741" s="2">
        <v>44972</v>
      </c>
      <c r="C2741" t="s">
        <v>14</v>
      </c>
      <c r="D2741" t="s">
        <v>18</v>
      </c>
      <c r="E2741" t="s">
        <v>24</v>
      </c>
      <c r="F2741">
        <v>16</v>
      </c>
      <c r="G2741">
        <v>24341</v>
      </c>
      <c r="H2741">
        <v>389456</v>
      </c>
      <c r="I2741">
        <f t="shared" si="42"/>
        <v>389456</v>
      </c>
    </row>
    <row r="2742" spans="1:9" x14ac:dyDescent="0.3">
      <c r="A2742">
        <v>12741</v>
      </c>
      <c r="B2742" s="2">
        <v>45140</v>
      </c>
      <c r="C2742" t="s">
        <v>12</v>
      </c>
      <c r="D2742" t="s">
        <v>18</v>
      </c>
      <c r="E2742" t="s">
        <v>21</v>
      </c>
      <c r="F2742">
        <v>20</v>
      </c>
      <c r="G2742">
        <v>19225</v>
      </c>
      <c r="H2742">
        <v>384500</v>
      </c>
      <c r="I2742">
        <f t="shared" si="42"/>
        <v>384500</v>
      </c>
    </row>
    <row r="2743" spans="1:9" x14ac:dyDescent="0.3">
      <c r="A2743">
        <v>12742</v>
      </c>
      <c r="B2743" s="2">
        <v>45170</v>
      </c>
      <c r="C2743" t="s">
        <v>12</v>
      </c>
      <c r="D2743" t="s">
        <v>17</v>
      </c>
      <c r="E2743" t="s">
        <v>24</v>
      </c>
      <c r="F2743">
        <v>7</v>
      </c>
      <c r="G2743">
        <v>55452</v>
      </c>
      <c r="H2743">
        <v>388164</v>
      </c>
      <c r="I2743">
        <f t="shared" si="42"/>
        <v>388164</v>
      </c>
    </row>
    <row r="2744" spans="1:9" x14ac:dyDescent="0.3">
      <c r="A2744">
        <v>12743</v>
      </c>
      <c r="B2744" s="2">
        <v>45197</v>
      </c>
      <c r="C2744" t="s">
        <v>13</v>
      </c>
      <c r="D2744" t="s">
        <v>16</v>
      </c>
      <c r="E2744" t="s">
        <v>21</v>
      </c>
      <c r="F2744">
        <v>2</v>
      </c>
      <c r="G2744">
        <v>31089</v>
      </c>
      <c r="H2744">
        <v>62178</v>
      </c>
      <c r="I2744">
        <f t="shared" si="42"/>
        <v>62178</v>
      </c>
    </row>
    <row r="2745" spans="1:9" x14ac:dyDescent="0.3">
      <c r="A2745">
        <v>12744</v>
      </c>
      <c r="B2745" s="2">
        <v>44974</v>
      </c>
      <c r="C2745" t="s">
        <v>11</v>
      </c>
      <c r="D2745" t="s">
        <v>18</v>
      </c>
      <c r="E2745" t="s">
        <v>24</v>
      </c>
      <c r="F2745">
        <v>4</v>
      </c>
      <c r="G2745">
        <v>51866</v>
      </c>
      <c r="H2745">
        <v>207464</v>
      </c>
      <c r="I2745">
        <f t="shared" si="42"/>
        <v>207464</v>
      </c>
    </row>
    <row r="2746" spans="1:9" x14ac:dyDescent="0.3">
      <c r="A2746">
        <v>12745</v>
      </c>
      <c r="B2746" s="2">
        <v>44965</v>
      </c>
      <c r="C2746" t="s">
        <v>11</v>
      </c>
      <c r="D2746" t="s">
        <v>18</v>
      </c>
      <c r="E2746" t="s">
        <v>24</v>
      </c>
      <c r="F2746">
        <v>6</v>
      </c>
      <c r="G2746">
        <v>12825</v>
      </c>
      <c r="H2746">
        <v>76950</v>
      </c>
      <c r="I2746">
        <f t="shared" si="42"/>
        <v>76950</v>
      </c>
    </row>
    <row r="2747" spans="1:9" x14ac:dyDescent="0.3">
      <c r="A2747">
        <v>12746</v>
      </c>
      <c r="B2747" s="2">
        <v>44994</v>
      </c>
      <c r="C2747" t="s">
        <v>14</v>
      </c>
      <c r="D2747" t="s">
        <v>15</v>
      </c>
      <c r="E2747" t="s">
        <v>19</v>
      </c>
      <c r="F2747">
        <v>20</v>
      </c>
      <c r="G2747">
        <v>4501</v>
      </c>
      <c r="H2747">
        <v>90020</v>
      </c>
      <c r="I2747">
        <f t="shared" si="42"/>
        <v>90020</v>
      </c>
    </row>
    <row r="2748" spans="1:9" x14ac:dyDescent="0.3">
      <c r="A2748">
        <v>12747</v>
      </c>
      <c r="B2748" s="2">
        <v>45240</v>
      </c>
      <c r="C2748" t="s">
        <v>14</v>
      </c>
      <c r="D2748" t="s">
        <v>15</v>
      </c>
      <c r="E2748" t="s">
        <v>22</v>
      </c>
      <c r="F2748">
        <v>18</v>
      </c>
      <c r="G2748">
        <v>22034</v>
      </c>
      <c r="H2748">
        <v>396612</v>
      </c>
      <c r="I2748">
        <f t="shared" si="42"/>
        <v>396612</v>
      </c>
    </row>
    <row r="2749" spans="1:9" x14ac:dyDescent="0.3">
      <c r="A2749">
        <v>12748</v>
      </c>
      <c r="B2749" s="2">
        <v>45129</v>
      </c>
      <c r="C2749" t="s">
        <v>14</v>
      </c>
      <c r="D2749" t="s">
        <v>16</v>
      </c>
      <c r="E2749" t="s">
        <v>23</v>
      </c>
      <c r="F2749">
        <v>9</v>
      </c>
      <c r="G2749">
        <v>34839</v>
      </c>
      <c r="H2749">
        <v>313551</v>
      </c>
      <c r="I2749">
        <f t="shared" si="42"/>
        <v>313551</v>
      </c>
    </row>
    <row r="2750" spans="1:9" x14ac:dyDescent="0.3">
      <c r="A2750">
        <v>12749</v>
      </c>
      <c r="B2750" s="2">
        <v>45130</v>
      </c>
      <c r="C2750" t="s">
        <v>14</v>
      </c>
      <c r="D2750" t="s">
        <v>15</v>
      </c>
      <c r="E2750" t="s">
        <v>21</v>
      </c>
      <c r="F2750">
        <v>19</v>
      </c>
      <c r="G2750">
        <v>12023</v>
      </c>
      <c r="H2750">
        <v>228437</v>
      </c>
      <c r="I2750">
        <f t="shared" si="42"/>
        <v>228437</v>
      </c>
    </row>
    <row r="2751" spans="1:9" x14ac:dyDescent="0.3">
      <c r="A2751">
        <v>12750</v>
      </c>
      <c r="B2751" s="2">
        <v>45106</v>
      </c>
      <c r="C2751" t="s">
        <v>9</v>
      </c>
      <c r="D2751" t="s">
        <v>16</v>
      </c>
      <c r="E2751" t="s">
        <v>24</v>
      </c>
      <c r="F2751">
        <v>5</v>
      </c>
      <c r="G2751">
        <v>43575</v>
      </c>
      <c r="H2751">
        <v>217875</v>
      </c>
      <c r="I2751">
        <f t="shared" si="42"/>
        <v>217875</v>
      </c>
    </row>
    <row r="2752" spans="1:9" x14ac:dyDescent="0.3">
      <c r="A2752">
        <v>12751</v>
      </c>
      <c r="B2752" s="2">
        <v>45153</v>
      </c>
      <c r="C2752" t="s">
        <v>14</v>
      </c>
      <c r="D2752" t="s">
        <v>17</v>
      </c>
      <c r="E2752" t="s">
        <v>21</v>
      </c>
      <c r="F2752">
        <v>10</v>
      </c>
      <c r="G2752">
        <v>28451</v>
      </c>
      <c r="H2752">
        <v>284510</v>
      </c>
      <c r="I2752">
        <f t="shared" si="42"/>
        <v>284510</v>
      </c>
    </row>
    <row r="2753" spans="1:9" x14ac:dyDescent="0.3">
      <c r="A2753">
        <v>12752</v>
      </c>
      <c r="B2753" s="2">
        <v>44967</v>
      </c>
      <c r="C2753" t="s">
        <v>10</v>
      </c>
      <c r="D2753" t="s">
        <v>17</v>
      </c>
      <c r="E2753" t="s">
        <v>22</v>
      </c>
      <c r="F2753">
        <v>8</v>
      </c>
      <c r="G2753">
        <v>30398</v>
      </c>
      <c r="H2753">
        <v>243184</v>
      </c>
      <c r="I2753">
        <f t="shared" si="42"/>
        <v>243184</v>
      </c>
    </row>
    <row r="2754" spans="1:9" x14ac:dyDescent="0.3">
      <c r="A2754">
        <v>12753</v>
      </c>
      <c r="B2754" s="2">
        <v>44953</v>
      </c>
      <c r="C2754" t="s">
        <v>12</v>
      </c>
      <c r="D2754" t="s">
        <v>15</v>
      </c>
      <c r="E2754" t="s">
        <v>23</v>
      </c>
      <c r="F2754">
        <v>20</v>
      </c>
      <c r="G2754">
        <v>46734</v>
      </c>
      <c r="H2754">
        <v>934680</v>
      </c>
      <c r="I2754">
        <f t="shared" si="42"/>
        <v>934680</v>
      </c>
    </row>
    <row r="2755" spans="1:9" x14ac:dyDescent="0.3">
      <c r="A2755">
        <v>12754</v>
      </c>
      <c r="B2755" s="2">
        <v>45006</v>
      </c>
      <c r="C2755" t="s">
        <v>8</v>
      </c>
      <c r="D2755" t="s">
        <v>18</v>
      </c>
      <c r="E2755" t="s">
        <v>20</v>
      </c>
      <c r="F2755">
        <v>4</v>
      </c>
      <c r="G2755">
        <v>55996</v>
      </c>
      <c r="H2755">
        <v>223984</v>
      </c>
      <c r="I2755">
        <f t="shared" ref="I2755:I2818" si="43">G2755*F2755</f>
        <v>223984</v>
      </c>
    </row>
    <row r="2756" spans="1:9" x14ac:dyDescent="0.3">
      <c r="A2756">
        <v>12755</v>
      </c>
      <c r="B2756" s="2">
        <v>45203</v>
      </c>
      <c r="C2756" t="s">
        <v>10</v>
      </c>
      <c r="D2756" t="s">
        <v>16</v>
      </c>
      <c r="E2756" t="s">
        <v>20</v>
      </c>
      <c r="F2756">
        <v>1</v>
      </c>
      <c r="G2756">
        <v>46225</v>
      </c>
      <c r="H2756">
        <v>46225</v>
      </c>
      <c r="I2756">
        <f t="shared" si="43"/>
        <v>46225</v>
      </c>
    </row>
    <row r="2757" spans="1:9" x14ac:dyDescent="0.3">
      <c r="A2757">
        <v>12756</v>
      </c>
      <c r="B2757" s="2">
        <v>45019</v>
      </c>
      <c r="C2757" t="s">
        <v>11</v>
      </c>
      <c r="D2757" t="s">
        <v>16</v>
      </c>
      <c r="E2757" t="s">
        <v>24</v>
      </c>
      <c r="F2757">
        <v>14</v>
      </c>
      <c r="G2757">
        <v>46792</v>
      </c>
      <c r="H2757">
        <v>655088</v>
      </c>
      <c r="I2757">
        <f t="shared" si="43"/>
        <v>655088</v>
      </c>
    </row>
    <row r="2758" spans="1:9" x14ac:dyDescent="0.3">
      <c r="A2758">
        <v>12757</v>
      </c>
      <c r="B2758" s="2">
        <v>45026</v>
      </c>
      <c r="C2758" t="s">
        <v>12</v>
      </c>
      <c r="D2758" t="s">
        <v>17</v>
      </c>
      <c r="E2758" t="s">
        <v>23</v>
      </c>
      <c r="F2758">
        <v>8</v>
      </c>
      <c r="G2758">
        <v>36626</v>
      </c>
      <c r="H2758">
        <v>293008</v>
      </c>
      <c r="I2758">
        <f t="shared" si="43"/>
        <v>293008</v>
      </c>
    </row>
    <row r="2759" spans="1:9" x14ac:dyDescent="0.3">
      <c r="A2759">
        <v>12758</v>
      </c>
      <c r="B2759" s="2">
        <v>45250</v>
      </c>
      <c r="C2759" t="s">
        <v>13</v>
      </c>
      <c r="D2759" t="s">
        <v>18</v>
      </c>
      <c r="E2759" t="s">
        <v>22</v>
      </c>
      <c r="F2759">
        <v>18</v>
      </c>
      <c r="G2759">
        <v>26985</v>
      </c>
      <c r="H2759">
        <v>485730</v>
      </c>
      <c r="I2759">
        <f t="shared" si="43"/>
        <v>485730</v>
      </c>
    </row>
    <row r="2760" spans="1:9" x14ac:dyDescent="0.3">
      <c r="A2760">
        <v>12759</v>
      </c>
      <c r="B2760" s="2">
        <v>44947</v>
      </c>
      <c r="C2760" t="s">
        <v>11</v>
      </c>
      <c r="D2760" t="s">
        <v>15</v>
      </c>
      <c r="E2760" t="s">
        <v>20</v>
      </c>
      <c r="F2760">
        <v>18</v>
      </c>
      <c r="G2760">
        <v>31264</v>
      </c>
      <c r="H2760">
        <v>562752</v>
      </c>
      <c r="I2760">
        <f t="shared" si="43"/>
        <v>562752</v>
      </c>
    </row>
    <row r="2761" spans="1:9" x14ac:dyDescent="0.3">
      <c r="A2761">
        <v>12760</v>
      </c>
      <c r="B2761" s="2">
        <v>45239</v>
      </c>
      <c r="C2761" t="s">
        <v>9</v>
      </c>
      <c r="D2761" t="s">
        <v>17</v>
      </c>
      <c r="E2761" t="s">
        <v>20</v>
      </c>
      <c r="F2761">
        <v>5</v>
      </c>
      <c r="G2761">
        <v>22781</v>
      </c>
      <c r="H2761">
        <v>113905</v>
      </c>
      <c r="I2761">
        <f t="shared" si="43"/>
        <v>113905</v>
      </c>
    </row>
    <row r="2762" spans="1:9" x14ac:dyDescent="0.3">
      <c r="A2762">
        <v>12761</v>
      </c>
      <c r="B2762" s="2">
        <v>45159</v>
      </c>
      <c r="C2762" t="s">
        <v>11</v>
      </c>
      <c r="D2762" t="s">
        <v>18</v>
      </c>
      <c r="E2762" t="s">
        <v>24</v>
      </c>
      <c r="F2762">
        <v>14</v>
      </c>
      <c r="G2762">
        <v>45266</v>
      </c>
      <c r="H2762">
        <v>633724</v>
      </c>
      <c r="I2762">
        <f t="shared" si="43"/>
        <v>633724</v>
      </c>
    </row>
    <row r="2763" spans="1:9" x14ac:dyDescent="0.3">
      <c r="A2763">
        <v>12762</v>
      </c>
      <c r="B2763" s="2">
        <v>45191</v>
      </c>
      <c r="C2763" t="s">
        <v>11</v>
      </c>
      <c r="D2763" t="s">
        <v>18</v>
      </c>
      <c r="E2763" t="s">
        <v>20</v>
      </c>
      <c r="F2763">
        <v>15</v>
      </c>
      <c r="G2763">
        <v>32726</v>
      </c>
      <c r="H2763">
        <v>490890</v>
      </c>
      <c r="I2763">
        <f t="shared" si="43"/>
        <v>490890</v>
      </c>
    </row>
    <row r="2764" spans="1:9" x14ac:dyDescent="0.3">
      <c r="A2764">
        <v>12763</v>
      </c>
      <c r="B2764" s="2">
        <v>45106</v>
      </c>
      <c r="C2764" t="s">
        <v>14</v>
      </c>
      <c r="D2764" t="s">
        <v>15</v>
      </c>
      <c r="E2764" t="s">
        <v>19</v>
      </c>
      <c r="F2764">
        <v>20</v>
      </c>
      <c r="G2764">
        <v>42018</v>
      </c>
      <c r="H2764">
        <v>840360</v>
      </c>
      <c r="I2764">
        <f t="shared" si="43"/>
        <v>840360</v>
      </c>
    </row>
    <row r="2765" spans="1:9" x14ac:dyDescent="0.3">
      <c r="A2765">
        <v>12764</v>
      </c>
      <c r="B2765" s="2">
        <v>45008</v>
      </c>
      <c r="C2765" t="s">
        <v>13</v>
      </c>
      <c r="D2765" t="s">
        <v>17</v>
      </c>
      <c r="E2765" t="s">
        <v>19</v>
      </c>
      <c r="F2765">
        <v>6</v>
      </c>
      <c r="G2765">
        <v>23151</v>
      </c>
      <c r="H2765">
        <v>138906</v>
      </c>
      <c r="I2765">
        <f t="shared" si="43"/>
        <v>138906</v>
      </c>
    </row>
    <row r="2766" spans="1:9" x14ac:dyDescent="0.3">
      <c r="A2766">
        <v>12765</v>
      </c>
      <c r="B2766" s="2">
        <v>44983</v>
      </c>
      <c r="C2766" t="s">
        <v>13</v>
      </c>
      <c r="D2766" t="s">
        <v>17</v>
      </c>
      <c r="E2766" t="s">
        <v>22</v>
      </c>
      <c r="F2766">
        <v>8</v>
      </c>
      <c r="G2766">
        <v>49029</v>
      </c>
      <c r="H2766">
        <v>392232</v>
      </c>
      <c r="I2766">
        <f t="shared" si="43"/>
        <v>392232</v>
      </c>
    </row>
    <row r="2767" spans="1:9" x14ac:dyDescent="0.3">
      <c r="A2767">
        <v>12766</v>
      </c>
      <c r="B2767" s="2">
        <v>45053</v>
      </c>
      <c r="C2767" t="s">
        <v>10</v>
      </c>
      <c r="D2767" t="s">
        <v>18</v>
      </c>
      <c r="E2767" t="s">
        <v>19</v>
      </c>
      <c r="F2767">
        <v>4</v>
      </c>
      <c r="G2767">
        <v>54450</v>
      </c>
      <c r="H2767">
        <v>217800</v>
      </c>
      <c r="I2767">
        <f t="shared" si="43"/>
        <v>217800</v>
      </c>
    </row>
    <row r="2768" spans="1:9" x14ac:dyDescent="0.3">
      <c r="A2768">
        <v>12767</v>
      </c>
      <c r="B2768" s="2">
        <v>44936</v>
      </c>
      <c r="C2768" t="s">
        <v>9</v>
      </c>
      <c r="D2768" t="s">
        <v>15</v>
      </c>
      <c r="E2768" t="s">
        <v>19</v>
      </c>
      <c r="F2768">
        <v>17</v>
      </c>
      <c r="G2768">
        <v>28344</v>
      </c>
      <c r="H2768">
        <v>481848</v>
      </c>
      <c r="I2768">
        <f t="shared" si="43"/>
        <v>481848</v>
      </c>
    </row>
    <row r="2769" spans="1:9" x14ac:dyDescent="0.3">
      <c r="A2769">
        <v>12768</v>
      </c>
      <c r="B2769" s="2">
        <v>45278</v>
      </c>
      <c r="C2769" t="s">
        <v>9</v>
      </c>
      <c r="D2769" t="s">
        <v>17</v>
      </c>
      <c r="E2769" t="s">
        <v>23</v>
      </c>
      <c r="F2769">
        <v>20</v>
      </c>
      <c r="G2769">
        <v>38359</v>
      </c>
      <c r="H2769">
        <v>767180</v>
      </c>
      <c r="I2769">
        <f t="shared" si="43"/>
        <v>767180</v>
      </c>
    </row>
    <row r="2770" spans="1:9" x14ac:dyDescent="0.3">
      <c r="A2770">
        <v>12769</v>
      </c>
      <c r="B2770" s="2">
        <v>45239</v>
      </c>
      <c r="C2770" t="s">
        <v>14</v>
      </c>
      <c r="D2770" t="s">
        <v>15</v>
      </c>
      <c r="E2770" t="s">
        <v>23</v>
      </c>
      <c r="F2770">
        <v>5</v>
      </c>
      <c r="G2770">
        <v>47542</v>
      </c>
      <c r="H2770">
        <v>237710</v>
      </c>
      <c r="I2770">
        <f t="shared" si="43"/>
        <v>237710</v>
      </c>
    </row>
    <row r="2771" spans="1:9" x14ac:dyDescent="0.3">
      <c r="A2771">
        <v>12770</v>
      </c>
      <c r="B2771" s="2">
        <v>45140</v>
      </c>
      <c r="C2771" t="s">
        <v>11</v>
      </c>
      <c r="D2771" t="s">
        <v>16</v>
      </c>
      <c r="E2771" t="s">
        <v>19</v>
      </c>
      <c r="F2771">
        <v>6</v>
      </c>
      <c r="G2771">
        <v>53579</v>
      </c>
      <c r="H2771">
        <v>321474</v>
      </c>
      <c r="I2771">
        <f t="shared" si="43"/>
        <v>321474</v>
      </c>
    </row>
    <row r="2772" spans="1:9" x14ac:dyDescent="0.3">
      <c r="A2772">
        <v>12771</v>
      </c>
      <c r="B2772" s="2">
        <v>45078</v>
      </c>
      <c r="C2772" t="s">
        <v>9</v>
      </c>
      <c r="D2772" t="s">
        <v>17</v>
      </c>
      <c r="E2772" t="s">
        <v>24</v>
      </c>
      <c r="F2772">
        <v>20</v>
      </c>
      <c r="G2772">
        <v>44808</v>
      </c>
      <c r="H2772">
        <v>896160</v>
      </c>
      <c r="I2772">
        <f t="shared" si="43"/>
        <v>896160</v>
      </c>
    </row>
    <row r="2773" spans="1:9" x14ac:dyDescent="0.3">
      <c r="A2773">
        <v>12772</v>
      </c>
      <c r="B2773" s="2">
        <v>45068</v>
      </c>
      <c r="C2773" t="s">
        <v>9</v>
      </c>
      <c r="D2773" t="s">
        <v>18</v>
      </c>
      <c r="E2773" t="s">
        <v>24</v>
      </c>
      <c r="F2773">
        <v>12</v>
      </c>
      <c r="G2773">
        <v>18122</v>
      </c>
      <c r="H2773">
        <v>217464</v>
      </c>
      <c r="I2773">
        <f t="shared" si="43"/>
        <v>217464</v>
      </c>
    </row>
    <row r="2774" spans="1:9" x14ac:dyDescent="0.3">
      <c r="A2774">
        <v>12773</v>
      </c>
      <c r="B2774" s="2">
        <v>45084</v>
      </c>
      <c r="C2774" t="s">
        <v>14</v>
      </c>
      <c r="D2774" t="s">
        <v>17</v>
      </c>
      <c r="E2774" t="s">
        <v>20</v>
      </c>
      <c r="F2774">
        <v>19</v>
      </c>
      <c r="G2774">
        <v>23572</v>
      </c>
      <c r="H2774">
        <v>447868</v>
      </c>
      <c r="I2774">
        <f t="shared" si="43"/>
        <v>447868</v>
      </c>
    </row>
    <row r="2775" spans="1:9" x14ac:dyDescent="0.3">
      <c r="A2775">
        <v>12774</v>
      </c>
      <c r="B2775" s="2">
        <v>45100</v>
      </c>
      <c r="C2775" t="s">
        <v>11</v>
      </c>
      <c r="D2775" t="s">
        <v>18</v>
      </c>
      <c r="E2775" t="s">
        <v>22</v>
      </c>
      <c r="F2775">
        <v>8</v>
      </c>
      <c r="G2775">
        <v>2673</v>
      </c>
      <c r="H2775">
        <v>21384</v>
      </c>
      <c r="I2775">
        <f t="shared" si="43"/>
        <v>21384</v>
      </c>
    </row>
    <row r="2776" spans="1:9" x14ac:dyDescent="0.3">
      <c r="A2776">
        <v>12775</v>
      </c>
      <c r="B2776" s="2">
        <v>44968</v>
      </c>
      <c r="C2776" t="s">
        <v>14</v>
      </c>
      <c r="D2776" t="s">
        <v>18</v>
      </c>
      <c r="E2776" t="s">
        <v>22</v>
      </c>
      <c r="F2776">
        <v>18</v>
      </c>
      <c r="G2776">
        <v>9429</v>
      </c>
      <c r="H2776">
        <v>169722</v>
      </c>
      <c r="I2776">
        <f t="shared" si="43"/>
        <v>169722</v>
      </c>
    </row>
    <row r="2777" spans="1:9" x14ac:dyDescent="0.3">
      <c r="A2777">
        <v>12776</v>
      </c>
      <c r="B2777" s="2">
        <v>45147</v>
      </c>
      <c r="C2777" t="s">
        <v>13</v>
      </c>
      <c r="D2777" t="s">
        <v>15</v>
      </c>
      <c r="E2777" t="s">
        <v>21</v>
      </c>
      <c r="F2777">
        <v>10</v>
      </c>
      <c r="G2777">
        <v>49278</v>
      </c>
      <c r="H2777">
        <v>492780</v>
      </c>
      <c r="I2777">
        <f t="shared" si="43"/>
        <v>492780</v>
      </c>
    </row>
    <row r="2778" spans="1:9" x14ac:dyDescent="0.3">
      <c r="A2778">
        <v>12777</v>
      </c>
      <c r="B2778" s="2">
        <v>45272</v>
      </c>
      <c r="C2778" t="s">
        <v>12</v>
      </c>
      <c r="D2778" t="s">
        <v>15</v>
      </c>
      <c r="E2778" t="s">
        <v>21</v>
      </c>
      <c r="F2778">
        <v>13</v>
      </c>
      <c r="G2778">
        <v>36189</v>
      </c>
      <c r="H2778">
        <v>470457</v>
      </c>
      <c r="I2778">
        <f t="shared" si="43"/>
        <v>470457</v>
      </c>
    </row>
    <row r="2779" spans="1:9" x14ac:dyDescent="0.3">
      <c r="A2779">
        <v>12778</v>
      </c>
      <c r="B2779" s="2">
        <v>45240</v>
      </c>
      <c r="C2779" t="s">
        <v>8</v>
      </c>
      <c r="D2779" t="s">
        <v>18</v>
      </c>
      <c r="E2779" t="s">
        <v>19</v>
      </c>
      <c r="F2779">
        <v>12</v>
      </c>
      <c r="G2779">
        <v>7729</v>
      </c>
      <c r="H2779">
        <v>92748</v>
      </c>
      <c r="I2779">
        <f t="shared" si="43"/>
        <v>92748</v>
      </c>
    </row>
    <row r="2780" spans="1:9" x14ac:dyDescent="0.3">
      <c r="A2780">
        <v>12779</v>
      </c>
      <c r="B2780" s="2">
        <v>45263</v>
      </c>
      <c r="C2780" t="s">
        <v>8</v>
      </c>
      <c r="D2780" t="s">
        <v>15</v>
      </c>
      <c r="E2780" t="s">
        <v>19</v>
      </c>
      <c r="F2780">
        <v>13</v>
      </c>
      <c r="G2780">
        <v>8643</v>
      </c>
      <c r="H2780">
        <v>112359</v>
      </c>
      <c r="I2780">
        <f t="shared" si="43"/>
        <v>112359</v>
      </c>
    </row>
    <row r="2781" spans="1:9" x14ac:dyDescent="0.3">
      <c r="A2781">
        <v>12780</v>
      </c>
      <c r="B2781" s="2">
        <v>45134</v>
      </c>
      <c r="C2781" t="s">
        <v>13</v>
      </c>
      <c r="D2781" t="s">
        <v>18</v>
      </c>
      <c r="E2781" t="s">
        <v>21</v>
      </c>
      <c r="F2781">
        <v>16</v>
      </c>
      <c r="G2781">
        <v>25908</v>
      </c>
      <c r="H2781">
        <v>414528</v>
      </c>
      <c r="I2781">
        <f t="shared" si="43"/>
        <v>414528</v>
      </c>
    </row>
    <row r="2782" spans="1:9" x14ac:dyDescent="0.3">
      <c r="A2782">
        <v>12781</v>
      </c>
      <c r="B2782" s="2">
        <v>45118</v>
      </c>
      <c r="C2782" t="s">
        <v>13</v>
      </c>
      <c r="D2782" t="s">
        <v>15</v>
      </c>
      <c r="E2782" t="s">
        <v>24</v>
      </c>
      <c r="F2782">
        <v>12</v>
      </c>
      <c r="G2782">
        <v>13915</v>
      </c>
      <c r="H2782">
        <v>166980</v>
      </c>
      <c r="I2782">
        <f t="shared" si="43"/>
        <v>166980</v>
      </c>
    </row>
    <row r="2783" spans="1:9" x14ac:dyDescent="0.3">
      <c r="A2783">
        <v>12782</v>
      </c>
      <c r="B2783" s="2">
        <v>45268</v>
      </c>
      <c r="C2783" t="s">
        <v>9</v>
      </c>
      <c r="D2783" t="s">
        <v>16</v>
      </c>
      <c r="E2783" t="s">
        <v>20</v>
      </c>
      <c r="F2783">
        <v>12</v>
      </c>
      <c r="G2783">
        <v>3868</v>
      </c>
      <c r="H2783">
        <v>46416</v>
      </c>
      <c r="I2783">
        <f t="shared" si="43"/>
        <v>46416</v>
      </c>
    </row>
    <row r="2784" spans="1:9" x14ac:dyDescent="0.3">
      <c r="A2784">
        <v>12783</v>
      </c>
      <c r="B2784" s="2">
        <v>45187</v>
      </c>
      <c r="C2784" t="s">
        <v>11</v>
      </c>
      <c r="D2784" t="s">
        <v>15</v>
      </c>
      <c r="E2784" t="s">
        <v>24</v>
      </c>
      <c r="F2784">
        <v>18</v>
      </c>
      <c r="G2784">
        <v>35462</v>
      </c>
      <c r="H2784">
        <v>638316</v>
      </c>
      <c r="I2784">
        <f t="shared" si="43"/>
        <v>638316</v>
      </c>
    </row>
    <row r="2785" spans="1:9" x14ac:dyDescent="0.3">
      <c r="A2785">
        <v>12784</v>
      </c>
      <c r="B2785" s="2">
        <v>45015</v>
      </c>
      <c r="C2785" t="s">
        <v>9</v>
      </c>
      <c r="D2785" t="s">
        <v>15</v>
      </c>
      <c r="E2785" t="s">
        <v>22</v>
      </c>
      <c r="F2785">
        <v>8</v>
      </c>
      <c r="G2785">
        <v>58991</v>
      </c>
      <c r="H2785">
        <v>471928</v>
      </c>
      <c r="I2785">
        <f t="shared" si="43"/>
        <v>471928</v>
      </c>
    </row>
    <row r="2786" spans="1:9" x14ac:dyDescent="0.3">
      <c r="A2786">
        <v>12785</v>
      </c>
      <c r="B2786" s="2">
        <v>44971</v>
      </c>
      <c r="C2786" t="s">
        <v>14</v>
      </c>
      <c r="D2786" t="s">
        <v>16</v>
      </c>
      <c r="E2786" t="s">
        <v>20</v>
      </c>
      <c r="F2786">
        <v>7</v>
      </c>
      <c r="G2786">
        <v>37748</v>
      </c>
      <c r="H2786">
        <v>264236</v>
      </c>
      <c r="I2786">
        <f t="shared" si="43"/>
        <v>264236</v>
      </c>
    </row>
    <row r="2787" spans="1:9" x14ac:dyDescent="0.3">
      <c r="A2787">
        <v>12786</v>
      </c>
      <c r="B2787" s="2">
        <v>45044</v>
      </c>
      <c r="C2787" t="s">
        <v>13</v>
      </c>
      <c r="D2787" t="s">
        <v>15</v>
      </c>
      <c r="E2787" t="s">
        <v>19</v>
      </c>
      <c r="F2787">
        <v>11</v>
      </c>
      <c r="G2787">
        <v>57600</v>
      </c>
      <c r="H2787">
        <v>633600</v>
      </c>
      <c r="I2787">
        <f t="shared" si="43"/>
        <v>633600</v>
      </c>
    </row>
    <row r="2788" spans="1:9" x14ac:dyDescent="0.3">
      <c r="A2788">
        <v>12787</v>
      </c>
      <c r="B2788" s="2">
        <v>45087</v>
      </c>
      <c r="C2788" t="s">
        <v>14</v>
      </c>
      <c r="D2788" t="s">
        <v>16</v>
      </c>
      <c r="E2788" t="s">
        <v>23</v>
      </c>
      <c r="F2788">
        <v>14</v>
      </c>
      <c r="G2788">
        <v>53657</v>
      </c>
      <c r="H2788">
        <v>751198</v>
      </c>
      <c r="I2788">
        <f t="shared" si="43"/>
        <v>751198</v>
      </c>
    </row>
    <row r="2789" spans="1:9" x14ac:dyDescent="0.3">
      <c r="A2789">
        <v>12788</v>
      </c>
      <c r="B2789" s="2">
        <v>45090</v>
      </c>
      <c r="C2789" t="s">
        <v>11</v>
      </c>
      <c r="D2789" t="s">
        <v>15</v>
      </c>
      <c r="E2789" t="s">
        <v>23</v>
      </c>
      <c r="F2789">
        <v>18</v>
      </c>
      <c r="G2789">
        <v>30165</v>
      </c>
      <c r="H2789">
        <v>542970</v>
      </c>
      <c r="I2789">
        <f t="shared" si="43"/>
        <v>542970</v>
      </c>
    </row>
    <row r="2790" spans="1:9" x14ac:dyDescent="0.3">
      <c r="A2790">
        <v>12789</v>
      </c>
      <c r="B2790" s="2">
        <v>45217</v>
      </c>
      <c r="C2790" t="s">
        <v>10</v>
      </c>
      <c r="D2790" t="s">
        <v>15</v>
      </c>
      <c r="E2790" t="s">
        <v>20</v>
      </c>
      <c r="F2790">
        <v>19</v>
      </c>
      <c r="G2790">
        <v>13806</v>
      </c>
      <c r="H2790">
        <v>262314</v>
      </c>
      <c r="I2790">
        <f t="shared" si="43"/>
        <v>262314</v>
      </c>
    </row>
    <row r="2791" spans="1:9" x14ac:dyDescent="0.3">
      <c r="A2791">
        <v>12790</v>
      </c>
      <c r="B2791" s="2">
        <v>45151</v>
      </c>
      <c r="C2791" t="s">
        <v>13</v>
      </c>
      <c r="D2791" t="s">
        <v>16</v>
      </c>
      <c r="E2791" t="s">
        <v>24</v>
      </c>
      <c r="F2791">
        <v>5</v>
      </c>
      <c r="G2791">
        <v>5860</v>
      </c>
      <c r="H2791">
        <v>29300</v>
      </c>
      <c r="I2791">
        <f t="shared" si="43"/>
        <v>29300</v>
      </c>
    </row>
    <row r="2792" spans="1:9" x14ac:dyDescent="0.3">
      <c r="A2792">
        <v>12791</v>
      </c>
      <c r="B2792" s="2">
        <v>45073</v>
      </c>
      <c r="C2792" t="s">
        <v>13</v>
      </c>
      <c r="D2792" t="s">
        <v>18</v>
      </c>
      <c r="E2792" t="s">
        <v>20</v>
      </c>
      <c r="F2792">
        <v>7</v>
      </c>
      <c r="G2792">
        <v>51417</v>
      </c>
      <c r="H2792">
        <v>359919</v>
      </c>
      <c r="I2792">
        <f t="shared" si="43"/>
        <v>359919</v>
      </c>
    </row>
    <row r="2793" spans="1:9" x14ac:dyDescent="0.3">
      <c r="A2793">
        <v>12792</v>
      </c>
      <c r="B2793" s="2">
        <v>45084</v>
      </c>
      <c r="C2793" t="s">
        <v>13</v>
      </c>
      <c r="D2793" t="s">
        <v>17</v>
      </c>
      <c r="E2793" t="s">
        <v>24</v>
      </c>
      <c r="F2793">
        <v>12</v>
      </c>
      <c r="G2793">
        <v>43880</v>
      </c>
      <c r="H2793">
        <v>526560</v>
      </c>
      <c r="I2793">
        <f t="shared" si="43"/>
        <v>526560</v>
      </c>
    </row>
    <row r="2794" spans="1:9" x14ac:dyDescent="0.3">
      <c r="A2794">
        <v>12793</v>
      </c>
      <c r="B2794" s="2">
        <v>45116</v>
      </c>
      <c r="C2794" t="s">
        <v>10</v>
      </c>
      <c r="D2794" t="s">
        <v>15</v>
      </c>
      <c r="E2794" t="s">
        <v>23</v>
      </c>
      <c r="F2794">
        <v>12</v>
      </c>
      <c r="G2794">
        <v>15339</v>
      </c>
      <c r="H2794">
        <v>184068</v>
      </c>
      <c r="I2794">
        <f t="shared" si="43"/>
        <v>184068</v>
      </c>
    </row>
    <row r="2795" spans="1:9" x14ac:dyDescent="0.3">
      <c r="A2795">
        <v>12794</v>
      </c>
      <c r="B2795" s="2">
        <v>45258</v>
      </c>
      <c r="C2795" t="s">
        <v>10</v>
      </c>
      <c r="D2795" t="s">
        <v>15</v>
      </c>
      <c r="E2795" t="s">
        <v>21</v>
      </c>
      <c r="F2795">
        <v>17</v>
      </c>
      <c r="G2795">
        <v>23007</v>
      </c>
      <c r="H2795">
        <v>391119</v>
      </c>
      <c r="I2795">
        <f t="shared" si="43"/>
        <v>391119</v>
      </c>
    </row>
    <row r="2796" spans="1:9" x14ac:dyDescent="0.3">
      <c r="A2796">
        <v>12795</v>
      </c>
      <c r="B2796" s="2">
        <v>45057</v>
      </c>
      <c r="C2796" t="s">
        <v>8</v>
      </c>
      <c r="D2796" t="s">
        <v>15</v>
      </c>
      <c r="E2796" t="s">
        <v>22</v>
      </c>
      <c r="F2796">
        <v>3</v>
      </c>
      <c r="G2796">
        <v>48455</v>
      </c>
      <c r="H2796">
        <v>145365</v>
      </c>
      <c r="I2796">
        <f t="shared" si="43"/>
        <v>145365</v>
      </c>
    </row>
    <row r="2797" spans="1:9" x14ac:dyDescent="0.3">
      <c r="A2797">
        <v>12796</v>
      </c>
      <c r="B2797" s="2">
        <v>45197</v>
      </c>
      <c r="C2797" t="s">
        <v>13</v>
      </c>
      <c r="D2797" t="s">
        <v>16</v>
      </c>
      <c r="E2797" t="s">
        <v>23</v>
      </c>
      <c r="F2797">
        <v>2</v>
      </c>
      <c r="G2797">
        <v>8099</v>
      </c>
      <c r="H2797">
        <v>16198</v>
      </c>
      <c r="I2797">
        <f t="shared" si="43"/>
        <v>16198</v>
      </c>
    </row>
    <row r="2798" spans="1:9" x14ac:dyDescent="0.3">
      <c r="A2798">
        <v>12797</v>
      </c>
      <c r="B2798" s="2">
        <v>45153</v>
      </c>
      <c r="C2798" t="s">
        <v>9</v>
      </c>
      <c r="D2798" t="s">
        <v>15</v>
      </c>
      <c r="E2798" t="s">
        <v>22</v>
      </c>
      <c r="F2798">
        <v>7</v>
      </c>
      <c r="G2798">
        <v>47882</v>
      </c>
      <c r="H2798">
        <v>335174</v>
      </c>
      <c r="I2798">
        <f t="shared" si="43"/>
        <v>335174</v>
      </c>
    </row>
    <row r="2799" spans="1:9" x14ac:dyDescent="0.3">
      <c r="A2799">
        <v>12798</v>
      </c>
      <c r="B2799" s="2">
        <v>44936</v>
      </c>
      <c r="C2799" t="s">
        <v>9</v>
      </c>
      <c r="D2799" t="s">
        <v>15</v>
      </c>
      <c r="E2799" t="s">
        <v>19</v>
      </c>
      <c r="F2799">
        <v>14</v>
      </c>
      <c r="G2799">
        <v>35115</v>
      </c>
      <c r="H2799">
        <v>491610</v>
      </c>
      <c r="I2799">
        <f t="shared" si="43"/>
        <v>491610</v>
      </c>
    </row>
    <row r="2800" spans="1:9" x14ac:dyDescent="0.3">
      <c r="A2800">
        <v>12799</v>
      </c>
      <c r="B2800" s="2">
        <v>45126</v>
      </c>
      <c r="C2800" t="s">
        <v>8</v>
      </c>
      <c r="D2800" t="s">
        <v>16</v>
      </c>
      <c r="E2800" t="s">
        <v>19</v>
      </c>
      <c r="F2800">
        <v>7</v>
      </c>
      <c r="G2800">
        <v>23178</v>
      </c>
      <c r="H2800">
        <v>162246</v>
      </c>
      <c r="I2800">
        <f t="shared" si="43"/>
        <v>162246</v>
      </c>
    </row>
    <row r="2801" spans="1:9" x14ac:dyDescent="0.3">
      <c r="A2801">
        <v>12800</v>
      </c>
      <c r="B2801" s="2">
        <v>45017</v>
      </c>
      <c r="C2801" t="s">
        <v>11</v>
      </c>
      <c r="D2801" t="s">
        <v>16</v>
      </c>
      <c r="E2801" t="s">
        <v>23</v>
      </c>
      <c r="F2801">
        <v>11</v>
      </c>
      <c r="G2801">
        <v>44020</v>
      </c>
      <c r="H2801">
        <v>484220</v>
      </c>
      <c r="I2801">
        <f t="shared" si="43"/>
        <v>484220</v>
      </c>
    </row>
    <row r="2802" spans="1:9" x14ac:dyDescent="0.3">
      <c r="A2802">
        <v>12801</v>
      </c>
      <c r="B2802" s="2">
        <v>45246</v>
      </c>
      <c r="C2802" t="s">
        <v>8</v>
      </c>
      <c r="D2802" t="s">
        <v>18</v>
      </c>
      <c r="E2802" t="s">
        <v>19</v>
      </c>
      <c r="F2802">
        <v>12</v>
      </c>
      <c r="G2802">
        <v>14937</v>
      </c>
      <c r="H2802">
        <v>179244</v>
      </c>
      <c r="I2802">
        <f t="shared" si="43"/>
        <v>179244</v>
      </c>
    </row>
    <row r="2803" spans="1:9" x14ac:dyDescent="0.3">
      <c r="A2803">
        <v>12802</v>
      </c>
      <c r="B2803" s="2">
        <v>45221</v>
      </c>
      <c r="C2803" t="s">
        <v>10</v>
      </c>
      <c r="D2803" t="s">
        <v>16</v>
      </c>
      <c r="E2803" t="s">
        <v>22</v>
      </c>
      <c r="F2803">
        <v>20</v>
      </c>
      <c r="G2803">
        <v>8110</v>
      </c>
      <c r="H2803">
        <v>162200</v>
      </c>
      <c r="I2803">
        <f t="shared" si="43"/>
        <v>162200</v>
      </c>
    </row>
    <row r="2804" spans="1:9" x14ac:dyDescent="0.3">
      <c r="A2804">
        <v>12803</v>
      </c>
      <c r="B2804" s="2">
        <v>45108</v>
      </c>
      <c r="C2804" t="s">
        <v>14</v>
      </c>
      <c r="D2804" t="s">
        <v>16</v>
      </c>
      <c r="E2804" t="s">
        <v>22</v>
      </c>
      <c r="F2804">
        <v>5</v>
      </c>
      <c r="G2804">
        <v>58184</v>
      </c>
      <c r="H2804">
        <v>290920</v>
      </c>
      <c r="I2804">
        <f t="shared" si="43"/>
        <v>290920</v>
      </c>
    </row>
    <row r="2805" spans="1:9" x14ac:dyDescent="0.3">
      <c r="A2805">
        <v>12804</v>
      </c>
      <c r="B2805" s="2">
        <v>45098</v>
      </c>
      <c r="C2805" t="s">
        <v>12</v>
      </c>
      <c r="D2805" t="s">
        <v>17</v>
      </c>
      <c r="E2805" t="s">
        <v>20</v>
      </c>
      <c r="F2805">
        <v>11</v>
      </c>
      <c r="G2805">
        <v>46573</v>
      </c>
      <c r="H2805">
        <v>512303</v>
      </c>
      <c r="I2805">
        <f t="shared" si="43"/>
        <v>512303</v>
      </c>
    </row>
    <row r="2806" spans="1:9" x14ac:dyDescent="0.3">
      <c r="A2806">
        <v>12805</v>
      </c>
      <c r="B2806" s="2">
        <v>45044</v>
      </c>
      <c r="C2806" t="s">
        <v>11</v>
      </c>
      <c r="D2806" t="s">
        <v>18</v>
      </c>
      <c r="E2806" t="s">
        <v>19</v>
      </c>
      <c r="F2806">
        <v>19</v>
      </c>
      <c r="G2806">
        <v>43711</v>
      </c>
      <c r="H2806">
        <v>830509</v>
      </c>
      <c r="I2806">
        <f t="shared" si="43"/>
        <v>830509</v>
      </c>
    </row>
    <row r="2807" spans="1:9" x14ac:dyDescent="0.3">
      <c r="A2807">
        <v>12806</v>
      </c>
      <c r="B2807" s="2">
        <v>44940</v>
      </c>
      <c r="C2807" t="s">
        <v>9</v>
      </c>
      <c r="D2807" t="s">
        <v>16</v>
      </c>
      <c r="E2807" t="s">
        <v>23</v>
      </c>
      <c r="F2807">
        <v>20</v>
      </c>
      <c r="G2807">
        <v>17788</v>
      </c>
      <c r="H2807">
        <v>355760</v>
      </c>
      <c r="I2807">
        <f t="shared" si="43"/>
        <v>355760</v>
      </c>
    </row>
    <row r="2808" spans="1:9" x14ac:dyDescent="0.3">
      <c r="A2808">
        <v>12807</v>
      </c>
      <c r="B2808" s="2">
        <v>44972</v>
      </c>
      <c r="C2808" t="s">
        <v>8</v>
      </c>
      <c r="D2808" t="s">
        <v>15</v>
      </c>
      <c r="E2808" t="s">
        <v>19</v>
      </c>
      <c r="F2808">
        <v>18</v>
      </c>
      <c r="G2808">
        <v>39288</v>
      </c>
      <c r="H2808">
        <v>707184</v>
      </c>
      <c r="I2808">
        <f t="shared" si="43"/>
        <v>707184</v>
      </c>
    </row>
    <row r="2809" spans="1:9" x14ac:dyDescent="0.3">
      <c r="A2809">
        <v>12808</v>
      </c>
      <c r="B2809" s="2">
        <v>44972</v>
      </c>
      <c r="C2809" t="s">
        <v>12</v>
      </c>
      <c r="D2809" t="s">
        <v>18</v>
      </c>
      <c r="E2809" t="s">
        <v>23</v>
      </c>
      <c r="F2809">
        <v>12</v>
      </c>
      <c r="G2809">
        <v>48654</v>
      </c>
      <c r="H2809">
        <v>583848</v>
      </c>
      <c r="I2809">
        <f t="shared" si="43"/>
        <v>583848</v>
      </c>
    </row>
    <row r="2810" spans="1:9" x14ac:dyDescent="0.3">
      <c r="A2810">
        <v>12809</v>
      </c>
      <c r="B2810" s="2">
        <v>45260</v>
      </c>
      <c r="C2810" t="s">
        <v>11</v>
      </c>
      <c r="D2810" t="s">
        <v>16</v>
      </c>
      <c r="E2810" t="s">
        <v>23</v>
      </c>
      <c r="F2810">
        <v>16</v>
      </c>
      <c r="G2810">
        <v>45781</v>
      </c>
      <c r="H2810">
        <v>732496</v>
      </c>
      <c r="I2810">
        <f t="shared" si="43"/>
        <v>732496</v>
      </c>
    </row>
    <row r="2811" spans="1:9" x14ac:dyDescent="0.3">
      <c r="A2811">
        <v>12810</v>
      </c>
      <c r="B2811" s="2">
        <v>45212</v>
      </c>
      <c r="C2811" t="s">
        <v>10</v>
      </c>
      <c r="D2811" t="s">
        <v>17</v>
      </c>
      <c r="E2811" t="s">
        <v>22</v>
      </c>
      <c r="F2811">
        <v>11</v>
      </c>
      <c r="G2811">
        <v>34447</v>
      </c>
      <c r="H2811">
        <v>378917</v>
      </c>
      <c r="I2811">
        <f t="shared" si="43"/>
        <v>378917</v>
      </c>
    </row>
    <row r="2812" spans="1:9" x14ac:dyDescent="0.3">
      <c r="A2812">
        <v>12811</v>
      </c>
      <c r="B2812" s="2">
        <v>45054</v>
      </c>
      <c r="C2812" t="s">
        <v>11</v>
      </c>
      <c r="D2812" t="s">
        <v>15</v>
      </c>
      <c r="E2812" t="s">
        <v>24</v>
      </c>
      <c r="F2812">
        <v>15</v>
      </c>
      <c r="G2812">
        <v>19581</v>
      </c>
      <c r="H2812">
        <v>293715</v>
      </c>
      <c r="I2812">
        <f t="shared" si="43"/>
        <v>293715</v>
      </c>
    </row>
    <row r="2813" spans="1:9" x14ac:dyDescent="0.3">
      <c r="A2813">
        <v>12812</v>
      </c>
      <c r="B2813" s="2">
        <v>45259</v>
      </c>
      <c r="C2813" t="s">
        <v>10</v>
      </c>
      <c r="D2813" t="s">
        <v>16</v>
      </c>
      <c r="E2813" t="s">
        <v>24</v>
      </c>
      <c r="F2813">
        <v>16</v>
      </c>
      <c r="G2813">
        <v>48095</v>
      </c>
      <c r="H2813">
        <v>769520</v>
      </c>
      <c r="I2813">
        <f t="shared" si="43"/>
        <v>769520</v>
      </c>
    </row>
    <row r="2814" spans="1:9" x14ac:dyDescent="0.3">
      <c r="A2814">
        <v>12813</v>
      </c>
      <c r="B2814" s="2">
        <v>45182</v>
      </c>
      <c r="C2814" t="s">
        <v>14</v>
      </c>
      <c r="D2814" t="s">
        <v>17</v>
      </c>
      <c r="E2814" t="s">
        <v>21</v>
      </c>
      <c r="F2814">
        <v>3</v>
      </c>
      <c r="G2814">
        <v>42059</v>
      </c>
      <c r="H2814">
        <v>126177</v>
      </c>
      <c r="I2814">
        <f t="shared" si="43"/>
        <v>126177</v>
      </c>
    </row>
    <row r="2815" spans="1:9" x14ac:dyDescent="0.3">
      <c r="A2815">
        <v>12814</v>
      </c>
      <c r="B2815" s="2">
        <v>45099</v>
      </c>
      <c r="C2815" t="s">
        <v>9</v>
      </c>
      <c r="D2815" t="s">
        <v>18</v>
      </c>
      <c r="E2815" t="s">
        <v>19</v>
      </c>
      <c r="F2815">
        <v>20</v>
      </c>
      <c r="G2815">
        <v>56565</v>
      </c>
      <c r="H2815">
        <v>1131300</v>
      </c>
      <c r="I2815">
        <f t="shared" si="43"/>
        <v>1131300</v>
      </c>
    </row>
    <row r="2816" spans="1:9" x14ac:dyDescent="0.3">
      <c r="A2816">
        <v>12815</v>
      </c>
      <c r="B2816" s="2">
        <v>45258</v>
      </c>
      <c r="C2816" t="s">
        <v>14</v>
      </c>
      <c r="D2816" t="s">
        <v>17</v>
      </c>
      <c r="E2816" t="s">
        <v>19</v>
      </c>
      <c r="F2816">
        <v>13</v>
      </c>
      <c r="G2816">
        <v>31512</v>
      </c>
      <c r="H2816">
        <v>409656</v>
      </c>
      <c r="I2816">
        <f t="shared" si="43"/>
        <v>409656</v>
      </c>
    </row>
    <row r="2817" spans="1:9" x14ac:dyDescent="0.3">
      <c r="A2817">
        <v>12816</v>
      </c>
      <c r="B2817" s="2">
        <v>45068</v>
      </c>
      <c r="C2817" t="s">
        <v>9</v>
      </c>
      <c r="D2817" t="s">
        <v>16</v>
      </c>
      <c r="E2817" t="s">
        <v>24</v>
      </c>
      <c r="F2817">
        <v>12</v>
      </c>
      <c r="G2817">
        <v>20185</v>
      </c>
      <c r="H2817">
        <v>242220</v>
      </c>
      <c r="I2817">
        <f t="shared" si="43"/>
        <v>242220</v>
      </c>
    </row>
    <row r="2818" spans="1:9" x14ac:dyDescent="0.3">
      <c r="A2818">
        <v>12817</v>
      </c>
      <c r="B2818" s="2">
        <v>45021</v>
      </c>
      <c r="C2818" t="s">
        <v>12</v>
      </c>
      <c r="D2818" t="s">
        <v>15</v>
      </c>
      <c r="E2818" t="s">
        <v>24</v>
      </c>
      <c r="F2818">
        <v>11</v>
      </c>
      <c r="G2818">
        <v>55032</v>
      </c>
      <c r="H2818">
        <v>605352</v>
      </c>
      <c r="I2818">
        <f t="shared" si="43"/>
        <v>605352</v>
      </c>
    </row>
    <row r="2819" spans="1:9" x14ac:dyDescent="0.3">
      <c r="A2819">
        <v>12818</v>
      </c>
      <c r="B2819" s="2">
        <v>45266</v>
      </c>
      <c r="C2819" t="s">
        <v>12</v>
      </c>
      <c r="D2819" t="s">
        <v>16</v>
      </c>
      <c r="E2819" t="s">
        <v>23</v>
      </c>
      <c r="F2819">
        <v>12</v>
      </c>
      <c r="G2819">
        <v>41735</v>
      </c>
      <c r="H2819">
        <v>500820</v>
      </c>
      <c r="I2819">
        <f t="shared" ref="I2819:I2882" si="44">G2819*F2819</f>
        <v>500820</v>
      </c>
    </row>
    <row r="2820" spans="1:9" x14ac:dyDescent="0.3">
      <c r="A2820">
        <v>12819</v>
      </c>
      <c r="B2820" s="2">
        <v>45201</v>
      </c>
      <c r="C2820" t="s">
        <v>11</v>
      </c>
      <c r="D2820" t="s">
        <v>16</v>
      </c>
      <c r="E2820" t="s">
        <v>22</v>
      </c>
      <c r="F2820">
        <v>16</v>
      </c>
      <c r="G2820">
        <v>11434</v>
      </c>
      <c r="H2820">
        <v>182944</v>
      </c>
      <c r="I2820">
        <f t="shared" si="44"/>
        <v>182944</v>
      </c>
    </row>
    <row r="2821" spans="1:9" x14ac:dyDescent="0.3">
      <c r="A2821">
        <v>12820</v>
      </c>
      <c r="B2821" s="2">
        <v>44976</v>
      </c>
      <c r="C2821" t="s">
        <v>10</v>
      </c>
      <c r="D2821" t="s">
        <v>18</v>
      </c>
      <c r="E2821" t="s">
        <v>23</v>
      </c>
      <c r="F2821">
        <v>20</v>
      </c>
      <c r="G2821">
        <v>8963</v>
      </c>
      <c r="H2821">
        <v>179260</v>
      </c>
      <c r="I2821">
        <f t="shared" si="44"/>
        <v>179260</v>
      </c>
    </row>
    <row r="2822" spans="1:9" x14ac:dyDescent="0.3">
      <c r="A2822">
        <v>12821</v>
      </c>
      <c r="B2822" s="2">
        <v>44943</v>
      </c>
      <c r="C2822" t="s">
        <v>14</v>
      </c>
      <c r="D2822" t="s">
        <v>18</v>
      </c>
      <c r="E2822" t="s">
        <v>22</v>
      </c>
      <c r="F2822">
        <v>1</v>
      </c>
      <c r="G2822">
        <v>18528</v>
      </c>
      <c r="H2822">
        <v>18528</v>
      </c>
      <c r="I2822">
        <f t="shared" si="44"/>
        <v>18528</v>
      </c>
    </row>
    <row r="2823" spans="1:9" x14ac:dyDescent="0.3">
      <c r="A2823">
        <v>12822</v>
      </c>
      <c r="B2823" s="2">
        <v>44999</v>
      </c>
      <c r="C2823" t="s">
        <v>11</v>
      </c>
      <c r="D2823" t="s">
        <v>15</v>
      </c>
      <c r="E2823" t="s">
        <v>21</v>
      </c>
      <c r="F2823">
        <v>9</v>
      </c>
      <c r="G2823">
        <v>57066</v>
      </c>
      <c r="H2823">
        <v>513594</v>
      </c>
      <c r="I2823">
        <f t="shared" si="44"/>
        <v>513594</v>
      </c>
    </row>
    <row r="2824" spans="1:9" x14ac:dyDescent="0.3">
      <c r="A2824">
        <v>12823</v>
      </c>
      <c r="B2824" s="2">
        <v>45246</v>
      </c>
      <c r="C2824" t="s">
        <v>12</v>
      </c>
      <c r="D2824" t="s">
        <v>17</v>
      </c>
      <c r="E2824" t="s">
        <v>24</v>
      </c>
      <c r="F2824">
        <v>4</v>
      </c>
      <c r="G2824">
        <v>17146</v>
      </c>
      <c r="H2824">
        <v>68584</v>
      </c>
      <c r="I2824">
        <f t="shared" si="44"/>
        <v>68584</v>
      </c>
    </row>
    <row r="2825" spans="1:9" x14ac:dyDescent="0.3">
      <c r="A2825">
        <v>12824</v>
      </c>
      <c r="B2825" s="2">
        <v>45211</v>
      </c>
      <c r="C2825" t="s">
        <v>11</v>
      </c>
      <c r="D2825" t="s">
        <v>15</v>
      </c>
      <c r="E2825" t="s">
        <v>20</v>
      </c>
      <c r="F2825">
        <v>4</v>
      </c>
      <c r="G2825">
        <v>17945</v>
      </c>
      <c r="H2825">
        <v>71780</v>
      </c>
      <c r="I2825">
        <f t="shared" si="44"/>
        <v>71780</v>
      </c>
    </row>
    <row r="2826" spans="1:9" x14ac:dyDescent="0.3">
      <c r="A2826">
        <v>12825</v>
      </c>
      <c r="B2826" s="2">
        <v>45111</v>
      </c>
      <c r="C2826" t="s">
        <v>8</v>
      </c>
      <c r="D2826" t="s">
        <v>16</v>
      </c>
      <c r="E2826" t="s">
        <v>22</v>
      </c>
      <c r="F2826">
        <v>5</v>
      </c>
      <c r="G2826">
        <v>25220</v>
      </c>
      <c r="H2826">
        <v>126100</v>
      </c>
      <c r="I2826">
        <f t="shared" si="44"/>
        <v>126100</v>
      </c>
    </row>
    <row r="2827" spans="1:9" x14ac:dyDescent="0.3">
      <c r="A2827">
        <v>12826</v>
      </c>
      <c r="B2827" s="2">
        <v>44929</v>
      </c>
      <c r="C2827" t="s">
        <v>14</v>
      </c>
      <c r="D2827" t="s">
        <v>16</v>
      </c>
      <c r="E2827" t="s">
        <v>23</v>
      </c>
      <c r="F2827">
        <v>8</v>
      </c>
      <c r="G2827">
        <v>16394</v>
      </c>
      <c r="H2827">
        <v>131152</v>
      </c>
      <c r="I2827">
        <f t="shared" si="44"/>
        <v>131152</v>
      </c>
    </row>
    <row r="2828" spans="1:9" x14ac:dyDescent="0.3">
      <c r="A2828">
        <v>12827</v>
      </c>
      <c r="B2828" s="2">
        <v>45070</v>
      </c>
      <c r="C2828" t="s">
        <v>12</v>
      </c>
      <c r="D2828" t="s">
        <v>16</v>
      </c>
      <c r="E2828" t="s">
        <v>22</v>
      </c>
      <c r="F2828">
        <v>20</v>
      </c>
      <c r="G2828">
        <v>36594</v>
      </c>
      <c r="H2828">
        <v>731880</v>
      </c>
      <c r="I2828">
        <f t="shared" si="44"/>
        <v>731880</v>
      </c>
    </row>
    <row r="2829" spans="1:9" x14ac:dyDescent="0.3">
      <c r="A2829">
        <v>12828</v>
      </c>
      <c r="B2829" s="2">
        <v>45049</v>
      </c>
      <c r="C2829" t="s">
        <v>9</v>
      </c>
      <c r="D2829" t="s">
        <v>16</v>
      </c>
      <c r="E2829" t="s">
        <v>19</v>
      </c>
      <c r="F2829">
        <v>5</v>
      </c>
      <c r="G2829">
        <v>42198</v>
      </c>
      <c r="H2829">
        <v>210990</v>
      </c>
      <c r="I2829">
        <f t="shared" si="44"/>
        <v>210990</v>
      </c>
    </row>
    <row r="2830" spans="1:9" x14ac:dyDescent="0.3">
      <c r="A2830">
        <v>12829</v>
      </c>
      <c r="B2830" s="2">
        <v>44950</v>
      </c>
      <c r="C2830" t="s">
        <v>12</v>
      </c>
      <c r="D2830" t="s">
        <v>15</v>
      </c>
      <c r="E2830" t="s">
        <v>23</v>
      </c>
      <c r="F2830">
        <v>9</v>
      </c>
      <c r="G2830">
        <v>7817</v>
      </c>
      <c r="H2830">
        <v>70353</v>
      </c>
      <c r="I2830">
        <f t="shared" si="44"/>
        <v>70353</v>
      </c>
    </row>
    <row r="2831" spans="1:9" x14ac:dyDescent="0.3">
      <c r="A2831">
        <v>12830</v>
      </c>
      <c r="B2831" s="2">
        <v>45272</v>
      </c>
      <c r="C2831" t="s">
        <v>11</v>
      </c>
      <c r="D2831" t="s">
        <v>15</v>
      </c>
      <c r="E2831" t="s">
        <v>24</v>
      </c>
      <c r="F2831">
        <v>2</v>
      </c>
      <c r="G2831">
        <v>42997</v>
      </c>
      <c r="H2831">
        <v>85994</v>
      </c>
      <c r="I2831">
        <f t="shared" si="44"/>
        <v>85994</v>
      </c>
    </row>
    <row r="2832" spans="1:9" x14ac:dyDescent="0.3">
      <c r="A2832">
        <v>12831</v>
      </c>
      <c r="B2832" s="2">
        <v>45112</v>
      </c>
      <c r="C2832" t="s">
        <v>11</v>
      </c>
      <c r="D2832" t="s">
        <v>15</v>
      </c>
      <c r="E2832" t="s">
        <v>20</v>
      </c>
      <c r="F2832">
        <v>6</v>
      </c>
      <c r="G2832">
        <v>56235</v>
      </c>
      <c r="H2832">
        <v>337410</v>
      </c>
      <c r="I2832">
        <f t="shared" si="44"/>
        <v>337410</v>
      </c>
    </row>
    <row r="2833" spans="1:9" x14ac:dyDescent="0.3">
      <c r="A2833">
        <v>12832</v>
      </c>
      <c r="B2833" s="2">
        <v>45143</v>
      </c>
      <c r="C2833" t="s">
        <v>11</v>
      </c>
      <c r="D2833" t="s">
        <v>16</v>
      </c>
      <c r="E2833" t="s">
        <v>23</v>
      </c>
      <c r="F2833">
        <v>11</v>
      </c>
      <c r="G2833">
        <v>14104</v>
      </c>
      <c r="H2833">
        <v>155144</v>
      </c>
      <c r="I2833">
        <f t="shared" si="44"/>
        <v>155144</v>
      </c>
    </row>
    <row r="2834" spans="1:9" x14ac:dyDescent="0.3">
      <c r="A2834">
        <v>12833</v>
      </c>
      <c r="B2834" s="2">
        <v>45048</v>
      </c>
      <c r="C2834" t="s">
        <v>13</v>
      </c>
      <c r="D2834" t="s">
        <v>15</v>
      </c>
      <c r="E2834" t="s">
        <v>23</v>
      </c>
      <c r="F2834">
        <v>8</v>
      </c>
      <c r="G2834">
        <v>13133</v>
      </c>
      <c r="H2834">
        <v>105064</v>
      </c>
      <c r="I2834">
        <f t="shared" si="44"/>
        <v>105064</v>
      </c>
    </row>
    <row r="2835" spans="1:9" x14ac:dyDescent="0.3">
      <c r="A2835">
        <v>12834</v>
      </c>
      <c r="B2835" s="2">
        <v>45265</v>
      </c>
      <c r="C2835" t="s">
        <v>12</v>
      </c>
      <c r="D2835" t="s">
        <v>17</v>
      </c>
      <c r="E2835" t="s">
        <v>19</v>
      </c>
      <c r="F2835">
        <v>15</v>
      </c>
      <c r="G2835">
        <v>47706</v>
      </c>
      <c r="H2835">
        <v>715590</v>
      </c>
      <c r="I2835">
        <f t="shared" si="44"/>
        <v>715590</v>
      </c>
    </row>
    <row r="2836" spans="1:9" x14ac:dyDescent="0.3">
      <c r="A2836">
        <v>12835</v>
      </c>
      <c r="B2836" s="2">
        <v>45038</v>
      </c>
      <c r="C2836" t="s">
        <v>9</v>
      </c>
      <c r="D2836" t="s">
        <v>18</v>
      </c>
      <c r="E2836" t="s">
        <v>24</v>
      </c>
      <c r="F2836">
        <v>19</v>
      </c>
      <c r="G2836">
        <v>37726</v>
      </c>
      <c r="H2836">
        <v>716794</v>
      </c>
      <c r="I2836">
        <f t="shared" si="44"/>
        <v>716794</v>
      </c>
    </row>
    <row r="2837" spans="1:9" x14ac:dyDescent="0.3">
      <c r="A2837">
        <v>12836</v>
      </c>
      <c r="B2837" s="2">
        <v>45207</v>
      </c>
      <c r="C2837" t="s">
        <v>8</v>
      </c>
      <c r="D2837" t="s">
        <v>15</v>
      </c>
      <c r="E2837" t="s">
        <v>20</v>
      </c>
      <c r="F2837">
        <v>6</v>
      </c>
      <c r="G2837">
        <v>501</v>
      </c>
      <c r="H2837">
        <v>3006</v>
      </c>
      <c r="I2837">
        <f t="shared" si="44"/>
        <v>3006</v>
      </c>
    </row>
    <row r="2838" spans="1:9" x14ac:dyDescent="0.3">
      <c r="A2838">
        <v>12837</v>
      </c>
      <c r="B2838" s="2">
        <v>45221</v>
      </c>
      <c r="C2838" t="s">
        <v>11</v>
      </c>
      <c r="D2838" t="s">
        <v>17</v>
      </c>
      <c r="E2838" t="s">
        <v>21</v>
      </c>
      <c r="F2838">
        <v>9</v>
      </c>
      <c r="G2838">
        <v>18128</v>
      </c>
      <c r="H2838">
        <v>163152</v>
      </c>
      <c r="I2838">
        <f t="shared" si="44"/>
        <v>163152</v>
      </c>
    </row>
    <row r="2839" spans="1:9" x14ac:dyDescent="0.3">
      <c r="A2839">
        <v>12838</v>
      </c>
      <c r="B2839" s="2">
        <v>45258</v>
      </c>
      <c r="C2839" t="s">
        <v>12</v>
      </c>
      <c r="D2839" t="s">
        <v>15</v>
      </c>
      <c r="E2839" t="s">
        <v>22</v>
      </c>
      <c r="F2839">
        <v>2</v>
      </c>
      <c r="G2839">
        <v>14867</v>
      </c>
      <c r="H2839">
        <v>29734</v>
      </c>
      <c r="I2839">
        <f t="shared" si="44"/>
        <v>29734</v>
      </c>
    </row>
    <row r="2840" spans="1:9" x14ac:dyDescent="0.3">
      <c r="A2840">
        <v>12839</v>
      </c>
      <c r="B2840" s="2">
        <v>45084</v>
      </c>
      <c r="C2840" t="s">
        <v>11</v>
      </c>
      <c r="D2840" t="s">
        <v>15</v>
      </c>
      <c r="E2840" t="s">
        <v>23</v>
      </c>
      <c r="F2840">
        <v>12</v>
      </c>
      <c r="G2840">
        <v>9698</v>
      </c>
      <c r="H2840">
        <v>116376</v>
      </c>
      <c r="I2840">
        <f t="shared" si="44"/>
        <v>116376</v>
      </c>
    </row>
    <row r="2841" spans="1:9" x14ac:dyDescent="0.3">
      <c r="A2841">
        <v>12840</v>
      </c>
      <c r="B2841" s="2">
        <v>45255</v>
      </c>
      <c r="C2841" t="s">
        <v>9</v>
      </c>
      <c r="D2841" t="s">
        <v>15</v>
      </c>
      <c r="E2841" t="s">
        <v>22</v>
      </c>
      <c r="F2841">
        <v>4</v>
      </c>
      <c r="G2841">
        <v>51973</v>
      </c>
      <c r="H2841">
        <v>207892</v>
      </c>
      <c r="I2841">
        <f t="shared" si="44"/>
        <v>207892</v>
      </c>
    </row>
    <row r="2842" spans="1:9" x14ac:dyDescent="0.3">
      <c r="A2842">
        <v>12841</v>
      </c>
      <c r="B2842" s="2">
        <v>45111</v>
      </c>
      <c r="C2842" t="s">
        <v>11</v>
      </c>
      <c r="D2842" t="s">
        <v>18</v>
      </c>
      <c r="E2842" t="s">
        <v>22</v>
      </c>
      <c r="F2842">
        <v>19</v>
      </c>
      <c r="G2842">
        <v>29185</v>
      </c>
      <c r="H2842">
        <v>554515</v>
      </c>
      <c r="I2842">
        <f t="shared" si="44"/>
        <v>554515</v>
      </c>
    </row>
    <row r="2843" spans="1:9" x14ac:dyDescent="0.3">
      <c r="A2843">
        <v>12842</v>
      </c>
      <c r="B2843" s="2">
        <v>45291</v>
      </c>
      <c r="C2843" t="s">
        <v>10</v>
      </c>
      <c r="D2843" t="s">
        <v>16</v>
      </c>
      <c r="E2843" t="s">
        <v>19</v>
      </c>
      <c r="F2843">
        <v>5</v>
      </c>
      <c r="G2843">
        <v>54655</v>
      </c>
      <c r="H2843">
        <v>273275</v>
      </c>
      <c r="I2843">
        <f t="shared" si="44"/>
        <v>273275</v>
      </c>
    </row>
    <row r="2844" spans="1:9" x14ac:dyDescent="0.3">
      <c r="A2844">
        <v>12843</v>
      </c>
      <c r="B2844" s="2">
        <v>45292</v>
      </c>
      <c r="C2844" t="s">
        <v>12</v>
      </c>
      <c r="D2844" t="s">
        <v>18</v>
      </c>
      <c r="E2844" t="s">
        <v>22</v>
      </c>
      <c r="F2844">
        <v>8</v>
      </c>
      <c r="G2844">
        <v>45132</v>
      </c>
      <c r="H2844">
        <v>361056</v>
      </c>
      <c r="I2844">
        <f t="shared" si="44"/>
        <v>361056</v>
      </c>
    </row>
    <row r="2845" spans="1:9" x14ac:dyDescent="0.3">
      <c r="A2845">
        <v>12844</v>
      </c>
      <c r="B2845" s="2">
        <v>44941</v>
      </c>
      <c r="C2845" t="s">
        <v>11</v>
      </c>
      <c r="D2845" t="s">
        <v>17</v>
      </c>
      <c r="E2845" t="s">
        <v>24</v>
      </c>
      <c r="F2845">
        <v>3</v>
      </c>
      <c r="G2845">
        <v>5183</v>
      </c>
      <c r="H2845">
        <v>15549</v>
      </c>
      <c r="I2845">
        <f t="shared" si="44"/>
        <v>15549</v>
      </c>
    </row>
    <row r="2846" spans="1:9" x14ac:dyDescent="0.3">
      <c r="A2846">
        <v>12845</v>
      </c>
      <c r="B2846" s="2">
        <v>45049</v>
      </c>
      <c r="C2846" t="s">
        <v>8</v>
      </c>
      <c r="D2846" t="s">
        <v>15</v>
      </c>
      <c r="E2846" t="s">
        <v>22</v>
      </c>
      <c r="F2846">
        <v>4</v>
      </c>
      <c r="G2846">
        <v>21682</v>
      </c>
      <c r="H2846">
        <v>86728</v>
      </c>
      <c r="I2846">
        <f t="shared" si="44"/>
        <v>86728</v>
      </c>
    </row>
    <row r="2847" spans="1:9" x14ac:dyDescent="0.3">
      <c r="A2847">
        <v>12846</v>
      </c>
      <c r="B2847" s="2">
        <v>45251</v>
      </c>
      <c r="C2847" t="s">
        <v>8</v>
      </c>
      <c r="D2847" t="s">
        <v>15</v>
      </c>
      <c r="E2847" t="s">
        <v>23</v>
      </c>
      <c r="F2847">
        <v>14</v>
      </c>
      <c r="G2847">
        <v>14492</v>
      </c>
      <c r="H2847">
        <v>202888</v>
      </c>
      <c r="I2847">
        <f t="shared" si="44"/>
        <v>202888</v>
      </c>
    </row>
    <row r="2848" spans="1:9" x14ac:dyDescent="0.3">
      <c r="A2848">
        <v>12847</v>
      </c>
      <c r="B2848" s="2">
        <v>45120</v>
      </c>
      <c r="C2848" t="s">
        <v>14</v>
      </c>
      <c r="D2848" t="s">
        <v>17</v>
      </c>
      <c r="E2848" t="s">
        <v>19</v>
      </c>
      <c r="F2848">
        <v>15</v>
      </c>
      <c r="G2848">
        <v>49541</v>
      </c>
      <c r="H2848">
        <v>743115</v>
      </c>
      <c r="I2848">
        <f t="shared" si="44"/>
        <v>743115</v>
      </c>
    </row>
    <row r="2849" spans="1:9" x14ac:dyDescent="0.3">
      <c r="A2849">
        <v>12848</v>
      </c>
      <c r="B2849" s="2">
        <v>45059</v>
      </c>
      <c r="C2849" t="s">
        <v>8</v>
      </c>
      <c r="D2849" t="s">
        <v>18</v>
      </c>
      <c r="E2849" t="s">
        <v>20</v>
      </c>
      <c r="F2849">
        <v>5</v>
      </c>
      <c r="G2849">
        <v>48621</v>
      </c>
      <c r="H2849">
        <v>243105</v>
      </c>
      <c r="I2849">
        <f t="shared" si="44"/>
        <v>243105</v>
      </c>
    </row>
    <row r="2850" spans="1:9" x14ac:dyDescent="0.3">
      <c r="A2850">
        <v>12849</v>
      </c>
      <c r="B2850" s="2">
        <v>45214</v>
      </c>
      <c r="C2850" t="s">
        <v>12</v>
      </c>
      <c r="D2850" t="s">
        <v>18</v>
      </c>
      <c r="E2850" t="s">
        <v>24</v>
      </c>
      <c r="F2850">
        <v>4</v>
      </c>
      <c r="G2850">
        <v>33938</v>
      </c>
      <c r="H2850">
        <v>135752</v>
      </c>
      <c r="I2850">
        <f t="shared" si="44"/>
        <v>135752</v>
      </c>
    </row>
    <row r="2851" spans="1:9" x14ac:dyDescent="0.3">
      <c r="A2851">
        <v>12850</v>
      </c>
      <c r="B2851" s="2">
        <v>45116</v>
      </c>
      <c r="C2851" t="s">
        <v>8</v>
      </c>
      <c r="D2851" t="s">
        <v>15</v>
      </c>
      <c r="E2851" t="s">
        <v>22</v>
      </c>
      <c r="F2851">
        <v>3</v>
      </c>
      <c r="G2851">
        <v>7552</v>
      </c>
      <c r="H2851">
        <v>22656</v>
      </c>
      <c r="I2851">
        <f t="shared" si="44"/>
        <v>22656</v>
      </c>
    </row>
    <row r="2852" spans="1:9" x14ac:dyDescent="0.3">
      <c r="A2852">
        <v>12851</v>
      </c>
      <c r="B2852" s="2">
        <v>45286</v>
      </c>
      <c r="C2852" t="s">
        <v>14</v>
      </c>
      <c r="D2852" t="s">
        <v>18</v>
      </c>
      <c r="E2852" t="s">
        <v>19</v>
      </c>
      <c r="F2852">
        <v>17</v>
      </c>
      <c r="G2852">
        <v>44203</v>
      </c>
      <c r="H2852">
        <v>751451</v>
      </c>
      <c r="I2852">
        <f t="shared" si="44"/>
        <v>751451</v>
      </c>
    </row>
    <row r="2853" spans="1:9" x14ac:dyDescent="0.3">
      <c r="A2853">
        <v>12852</v>
      </c>
      <c r="B2853" s="2">
        <v>45219</v>
      </c>
      <c r="C2853" t="s">
        <v>14</v>
      </c>
      <c r="D2853" t="s">
        <v>18</v>
      </c>
      <c r="E2853" t="s">
        <v>22</v>
      </c>
      <c r="F2853">
        <v>5</v>
      </c>
      <c r="G2853">
        <v>30275</v>
      </c>
      <c r="H2853">
        <v>151375</v>
      </c>
      <c r="I2853">
        <f t="shared" si="44"/>
        <v>151375</v>
      </c>
    </row>
    <row r="2854" spans="1:9" x14ac:dyDescent="0.3">
      <c r="A2854">
        <v>12853</v>
      </c>
      <c r="B2854" s="2">
        <v>45035</v>
      </c>
      <c r="C2854" t="s">
        <v>12</v>
      </c>
      <c r="D2854" t="s">
        <v>17</v>
      </c>
      <c r="E2854" t="s">
        <v>23</v>
      </c>
      <c r="F2854">
        <v>8</v>
      </c>
      <c r="G2854">
        <v>46176</v>
      </c>
      <c r="H2854">
        <v>369408</v>
      </c>
      <c r="I2854">
        <f t="shared" si="44"/>
        <v>369408</v>
      </c>
    </row>
    <row r="2855" spans="1:9" x14ac:dyDescent="0.3">
      <c r="A2855">
        <v>12854</v>
      </c>
      <c r="B2855" s="2">
        <v>45212</v>
      </c>
      <c r="C2855" t="s">
        <v>11</v>
      </c>
      <c r="D2855" t="s">
        <v>18</v>
      </c>
      <c r="E2855" t="s">
        <v>24</v>
      </c>
      <c r="F2855">
        <v>11</v>
      </c>
      <c r="G2855">
        <v>39607</v>
      </c>
      <c r="H2855">
        <v>435677</v>
      </c>
      <c r="I2855">
        <f t="shared" si="44"/>
        <v>435677</v>
      </c>
    </row>
    <row r="2856" spans="1:9" x14ac:dyDescent="0.3">
      <c r="A2856">
        <v>12855</v>
      </c>
      <c r="B2856" s="2">
        <v>44976</v>
      </c>
      <c r="C2856" t="s">
        <v>9</v>
      </c>
      <c r="D2856" t="s">
        <v>17</v>
      </c>
      <c r="E2856" t="s">
        <v>22</v>
      </c>
      <c r="F2856">
        <v>2</v>
      </c>
      <c r="G2856">
        <v>29989</v>
      </c>
      <c r="H2856">
        <v>59978</v>
      </c>
      <c r="I2856">
        <f t="shared" si="44"/>
        <v>59978</v>
      </c>
    </row>
    <row r="2857" spans="1:9" x14ac:dyDescent="0.3">
      <c r="A2857">
        <v>12856</v>
      </c>
      <c r="B2857" s="2">
        <v>45059</v>
      </c>
      <c r="C2857" t="s">
        <v>8</v>
      </c>
      <c r="D2857" t="s">
        <v>15</v>
      </c>
      <c r="E2857" t="s">
        <v>22</v>
      </c>
      <c r="F2857">
        <v>7</v>
      </c>
      <c r="G2857">
        <v>3726</v>
      </c>
      <c r="H2857">
        <v>26082</v>
      </c>
      <c r="I2857">
        <f t="shared" si="44"/>
        <v>26082</v>
      </c>
    </row>
    <row r="2858" spans="1:9" x14ac:dyDescent="0.3">
      <c r="A2858">
        <v>12857</v>
      </c>
      <c r="B2858" s="2">
        <v>45187</v>
      </c>
      <c r="C2858" t="s">
        <v>9</v>
      </c>
      <c r="D2858" t="s">
        <v>18</v>
      </c>
      <c r="E2858" t="s">
        <v>24</v>
      </c>
      <c r="F2858">
        <v>18</v>
      </c>
      <c r="G2858">
        <v>25385</v>
      </c>
      <c r="H2858">
        <v>456930</v>
      </c>
      <c r="I2858">
        <f t="shared" si="44"/>
        <v>456930</v>
      </c>
    </row>
    <row r="2859" spans="1:9" x14ac:dyDescent="0.3">
      <c r="A2859">
        <v>12858</v>
      </c>
      <c r="B2859" s="2">
        <v>44952</v>
      </c>
      <c r="C2859" t="s">
        <v>10</v>
      </c>
      <c r="D2859" t="s">
        <v>16</v>
      </c>
      <c r="E2859" t="s">
        <v>22</v>
      </c>
      <c r="F2859">
        <v>3</v>
      </c>
      <c r="G2859">
        <v>2987</v>
      </c>
      <c r="H2859">
        <v>8961</v>
      </c>
      <c r="I2859">
        <f t="shared" si="44"/>
        <v>8961</v>
      </c>
    </row>
    <row r="2860" spans="1:9" x14ac:dyDescent="0.3">
      <c r="A2860">
        <v>12859</v>
      </c>
      <c r="B2860" s="2">
        <v>45242</v>
      </c>
      <c r="C2860" t="s">
        <v>8</v>
      </c>
      <c r="D2860" t="s">
        <v>17</v>
      </c>
      <c r="E2860" t="s">
        <v>21</v>
      </c>
      <c r="F2860">
        <v>4</v>
      </c>
      <c r="G2860">
        <v>24668</v>
      </c>
      <c r="H2860">
        <v>98672</v>
      </c>
      <c r="I2860">
        <f t="shared" si="44"/>
        <v>98672</v>
      </c>
    </row>
    <row r="2861" spans="1:9" x14ac:dyDescent="0.3">
      <c r="A2861">
        <v>12860</v>
      </c>
      <c r="B2861" s="2">
        <v>44990</v>
      </c>
      <c r="C2861" t="s">
        <v>13</v>
      </c>
      <c r="D2861" t="s">
        <v>17</v>
      </c>
      <c r="E2861" t="s">
        <v>21</v>
      </c>
      <c r="F2861">
        <v>2</v>
      </c>
      <c r="G2861">
        <v>31705</v>
      </c>
      <c r="H2861">
        <v>63410</v>
      </c>
      <c r="I2861">
        <f t="shared" si="44"/>
        <v>63410</v>
      </c>
    </row>
    <row r="2862" spans="1:9" x14ac:dyDescent="0.3">
      <c r="A2862">
        <v>12861</v>
      </c>
      <c r="B2862" s="2">
        <v>45229</v>
      </c>
      <c r="C2862" t="s">
        <v>14</v>
      </c>
      <c r="D2862" t="s">
        <v>17</v>
      </c>
      <c r="E2862" t="s">
        <v>19</v>
      </c>
      <c r="F2862">
        <v>4</v>
      </c>
      <c r="G2862">
        <v>19214</v>
      </c>
      <c r="H2862">
        <v>76856</v>
      </c>
      <c r="I2862">
        <f t="shared" si="44"/>
        <v>76856</v>
      </c>
    </row>
    <row r="2863" spans="1:9" x14ac:dyDescent="0.3">
      <c r="A2863">
        <v>12862</v>
      </c>
      <c r="B2863" s="2">
        <v>44947</v>
      </c>
      <c r="C2863" t="s">
        <v>8</v>
      </c>
      <c r="D2863" t="s">
        <v>17</v>
      </c>
      <c r="E2863" t="s">
        <v>24</v>
      </c>
      <c r="F2863">
        <v>16</v>
      </c>
      <c r="G2863">
        <v>16198</v>
      </c>
      <c r="H2863">
        <v>259168</v>
      </c>
      <c r="I2863">
        <f t="shared" si="44"/>
        <v>259168</v>
      </c>
    </row>
    <row r="2864" spans="1:9" x14ac:dyDescent="0.3">
      <c r="A2864">
        <v>12863</v>
      </c>
      <c r="B2864" s="2">
        <v>45238</v>
      </c>
      <c r="C2864" t="s">
        <v>9</v>
      </c>
      <c r="D2864" t="s">
        <v>16</v>
      </c>
      <c r="E2864" t="s">
        <v>23</v>
      </c>
      <c r="F2864">
        <v>20</v>
      </c>
      <c r="G2864">
        <v>17776</v>
      </c>
      <c r="H2864">
        <v>355520</v>
      </c>
      <c r="I2864">
        <f t="shared" si="44"/>
        <v>355520</v>
      </c>
    </row>
    <row r="2865" spans="1:9" x14ac:dyDescent="0.3">
      <c r="A2865">
        <v>12864</v>
      </c>
      <c r="B2865" s="2">
        <v>45070</v>
      </c>
      <c r="C2865" t="s">
        <v>9</v>
      </c>
      <c r="D2865" t="s">
        <v>16</v>
      </c>
      <c r="E2865" t="s">
        <v>19</v>
      </c>
      <c r="F2865">
        <v>5</v>
      </c>
      <c r="G2865">
        <v>10522</v>
      </c>
      <c r="H2865">
        <v>52610</v>
      </c>
      <c r="I2865">
        <f t="shared" si="44"/>
        <v>52610</v>
      </c>
    </row>
    <row r="2866" spans="1:9" x14ac:dyDescent="0.3">
      <c r="A2866">
        <v>12865</v>
      </c>
      <c r="B2866" s="2">
        <v>45076</v>
      </c>
      <c r="C2866" t="s">
        <v>8</v>
      </c>
      <c r="D2866" t="s">
        <v>15</v>
      </c>
      <c r="E2866" t="s">
        <v>20</v>
      </c>
      <c r="F2866">
        <v>15</v>
      </c>
      <c r="G2866">
        <v>42824</v>
      </c>
      <c r="H2866">
        <v>642360</v>
      </c>
      <c r="I2866">
        <f t="shared" si="44"/>
        <v>642360</v>
      </c>
    </row>
    <row r="2867" spans="1:9" x14ac:dyDescent="0.3">
      <c r="A2867">
        <v>12866</v>
      </c>
      <c r="B2867" s="2">
        <v>44947</v>
      </c>
      <c r="C2867" t="s">
        <v>9</v>
      </c>
      <c r="D2867" t="s">
        <v>18</v>
      </c>
      <c r="E2867" t="s">
        <v>19</v>
      </c>
      <c r="F2867">
        <v>19</v>
      </c>
      <c r="G2867">
        <v>38670</v>
      </c>
      <c r="H2867">
        <v>734730</v>
      </c>
      <c r="I2867">
        <f t="shared" si="44"/>
        <v>734730</v>
      </c>
    </row>
    <row r="2868" spans="1:9" x14ac:dyDescent="0.3">
      <c r="A2868">
        <v>12867</v>
      </c>
      <c r="B2868" s="2">
        <v>45252</v>
      </c>
      <c r="C2868" t="s">
        <v>14</v>
      </c>
      <c r="D2868" t="s">
        <v>17</v>
      </c>
      <c r="E2868" t="s">
        <v>24</v>
      </c>
      <c r="F2868">
        <v>6</v>
      </c>
      <c r="G2868">
        <v>39202</v>
      </c>
      <c r="H2868">
        <v>235212</v>
      </c>
      <c r="I2868">
        <f t="shared" si="44"/>
        <v>235212</v>
      </c>
    </row>
    <row r="2869" spans="1:9" x14ac:dyDescent="0.3">
      <c r="A2869">
        <v>12868</v>
      </c>
      <c r="B2869" s="2">
        <v>45186</v>
      </c>
      <c r="C2869" t="s">
        <v>13</v>
      </c>
      <c r="D2869" t="s">
        <v>16</v>
      </c>
      <c r="E2869" t="s">
        <v>19</v>
      </c>
      <c r="F2869">
        <v>6</v>
      </c>
      <c r="G2869">
        <v>30990</v>
      </c>
      <c r="H2869">
        <v>185940</v>
      </c>
      <c r="I2869">
        <f t="shared" si="44"/>
        <v>185940</v>
      </c>
    </row>
    <row r="2870" spans="1:9" x14ac:dyDescent="0.3">
      <c r="A2870">
        <v>12869</v>
      </c>
      <c r="B2870" s="2">
        <v>45176</v>
      </c>
      <c r="C2870" t="s">
        <v>11</v>
      </c>
      <c r="D2870" t="s">
        <v>17</v>
      </c>
      <c r="E2870" t="s">
        <v>23</v>
      </c>
      <c r="F2870">
        <v>19</v>
      </c>
      <c r="G2870">
        <v>21208</v>
      </c>
      <c r="H2870">
        <v>402952</v>
      </c>
      <c r="I2870">
        <f t="shared" si="44"/>
        <v>402952</v>
      </c>
    </row>
    <row r="2871" spans="1:9" x14ac:dyDescent="0.3">
      <c r="A2871">
        <v>12870</v>
      </c>
      <c r="B2871" s="2">
        <v>45091</v>
      </c>
      <c r="C2871" t="s">
        <v>14</v>
      </c>
      <c r="D2871" t="s">
        <v>17</v>
      </c>
      <c r="E2871" t="s">
        <v>20</v>
      </c>
      <c r="F2871">
        <v>13</v>
      </c>
      <c r="G2871">
        <v>7552</v>
      </c>
      <c r="H2871">
        <v>98176</v>
      </c>
      <c r="I2871">
        <f t="shared" si="44"/>
        <v>98176</v>
      </c>
    </row>
    <row r="2872" spans="1:9" x14ac:dyDescent="0.3">
      <c r="A2872">
        <v>12871</v>
      </c>
      <c r="B2872" s="2">
        <v>45089</v>
      </c>
      <c r="C2872" t="s">
        <v>11</v>
      </c>
      <c r="D2872" t="s">
        <v>17</v>
      </c>
      <c r="E2872" t="s">
        <v>19</v>
      </c>
      <c r="F2872">
        <v>4</v>
      </c>
      <c r="G2872">
        <v>59875</v>
      </c>
      <c r="H2872">
        <v>239500</v>
      </c>
      <c r="I2872">
        <f t="shared" si="44"/>
        <v>239500</v>
      </c>
    </row>
    <row r="2873" spans="1:9" x14ac:dyDescent="0.3">
      <c r="A2873">
        <v>12872</v>
      </c>
      <c r="B2873" s="2">
        <v>45284</v>
      </c>
      <c r="C2873" t="s">
        <v>14</v>
      </c>
      <c r="D2873" t="s">
        <v>17</v>
      </c>
      <c r="E2873" t="s">
        <v>19</v>
      </c>
      <c r="F2873">
        <v>3</v>
      </c>
      <c r="G2873">
        <v>59655</v>
      </c>
      <c r="H2873">
        <v>178965</v>
      </c>
      <c r="I2873">
        <f t="shared" si="44"/>
        <v>178965</v>
      </c>
    </row>
    <row r="2874" spans="1:9" x14ac:dyDescent="0.3">
      <c r="A2874">
        <v>12873</v>
      </c>
      <c r="B2874" s="2">
        <v>45234</v>
      </c>
      <c r="C2874" t="s">
        <v>8</v>
      </c>
      <c r="D2874" t="s">
        <v>17</v>
      </c>
      <c r="E2874" t="s">
        <v>20</v>
      </c>
      <c r="F2874">
        <v>1</v>
      </c>
      <c r="G2874">
        <v>59205</v>
      </c>
      <c r="H2874">
        <v>59205</v>
      </c>
      <c r="I2874">
        <f t="shared" si="44"/>
        <v>59205</v>
      </c>
    </row>
    <row r="2875" spans="1:9" x14ac:dyDescent="0.3">
      <c r="A2875">
        <v>12874</v>
      </c>
      <c r="B2875" s="2">
        <v>45010</v>
      </c>
      <c r="C2875" t="s">
        <v>12</v>
      </c>
      <c r="D2875" t="s">
        <v>15</v>
      </c>
      <c r="E2875" t="s">
        <v>21</v>
      </c>
      <c r="F2875">
        <v>11</v>
      </c>
      <c r="G2875">
        <v>44837</v>
      </c>
      <c r="H2875">
        <v>493207</v>
      </c>
      <c r="I2875">
        <f t="shared" si="44"/>
        <v>493207</v>
      </c>
    </row>
    <row r="2876" spans="1:9" x14ac:dyDescent="0.3">
      <c r="A2876">
        <v>12875</v>
      </c>
      <c r="B2876" s="2">
        <v>45127</v>
      </c>
      <c r="C2876" t="s">
        <v>10</v>
      </c>
      <c r="D2876" t="s">
        <v>18</v>
      </c>
      <c r="E2876" t="s">
        <v>22</v>
      </c>
      <c r="F2876">
        <v>19</v>
      </c>
      <c r="G2876">
        <v>22244</v>
      </c>
      <c r="H2876">
        <v>422636</v>
      </c>
      <c r="I2876">
        <f t="shared" si="44"/>
        <v>422636</v>
      </c>
    </row>
    <row r="2877" spans="1:9" x14ac:dyDescent="0.3">
      <c r="A2877">
        <v>12876</v>
      </c>
      <c r="B2877" s="2">
        <v>44991</v>
      </c>
      <c r="C2877" t="s">
        <v>14</v>
      </c>
      <c r="D2877" t="s">
        <v>18</v>
      </c>
      <c r="E2877" t="s">
        <v>24</v>
      </c>
      <c r="F2877">
        <v>10</v>
      </c>
      <c r="G2877">
        <v>20662</v>
      </c>
      <c r="H2877">
        <v>206620</v>
      </c>
      <c r="I2877">
        <f t="shared" si="44"/>
        <v>206620</v>
      </c>
    </row>
    <row r="2878" spans="1:9" x14ac:dyDescent="0.3">
      <c r="A2878">
        <v>12877</v>
      </c>
      <c r="B2878" s="2">
        <v>45159</v>
      </c>
      <c r="C2878" t="s">
        <v>13</v>
      </c>
      <c r="D2878" t="s">
        <v>17</v>
      </c>
      <c r="E2878" t="s">
        <v>20</v>
      </c>
      <c r="F2878">
        <v>11</v>
      </c>
      <c r="G2878">
        <v>32145</v>
      </c>
      <c r="H2878">
        <v>353595</v>
      </c>
      <c r="I2878">
        <f t="shared" si="44"/>
        <v>353595</v>
      </c>
    </row>
    <row r="2879" spans="1:9" x14ac:dyDescent="0.3">
      <c r="A2879">
        <v>12878</v>
      </c>
      <c r="B2879" s="2">
        <v>45246</v>
      </c>
      <c r="C2879" t="s">
        <v>14</v>
      </c>
      <c r="D2879" t="s">
        <v>15</v>
      </c>
      <c r="E2879" t="s">
        <v>23</v>
      </c>
      <c r="F2879">
        <v>10</v>
      </c>
      <c r="G2879">
        <v>59831</v>
      </c>
      <c r="H2879">
        <v>598310</v>
      </c>
      <c r="I2879">
        <f t="shared" si="44"/>
        <v>598310</v>
      </c>
    </row>
    <row r="2880" spans="1:9" x14ac:dyDescent="0.3">
      <c r="A2880">
        <v>12879</v>
      </c>
      <c r="B2880" s="2">
        <v>44969</v>
      </c>
      <c r="C2880" t="s">
        <v>14</v>
      </c>
      <c r="D2880" t="s">
        <v>17</v>
      </c>
      <c r="E2880" t="s">
        <v>20</v>
      </c>
      <c r="F2880">
        <v>19</v>
      </c>
      <c r="G2880">
        <v>46153</v>
      </c>
      <c r="H2880">
        <v>876907</v>
      </c>
      <c r="I2880">
        <f t="shared" si="44"/>
        <v>876907</v>
      </c>
    </row>
    <row r="2881" spans="1:9" x14ac:dyDescent="0.3">
      <c r="A2881">
        <v>12880</v>
      </c>
      <c r="B2881" s="2">
        <v>45045</v>
      </c>
      <c r="C2881" t="s">
        <v>14</v>
      </c>
      <c r="D2881" t="s">
        <v>18</v>
      </c>
      <c r="E2881" t="s">
        <v>23</v>
      </c>
      <c r="F2881">
        <v>11</v>
      </c>
      <c r="G2881">
        <v>48965</v>
      </c>
      <c r="H2881">
        <v>538615</v>
      </c>
      <c r="I2881">
        <f t="shared" si="44"/>
        <v>538615</v>
      </c>
    </row>
    <row r="2882" spans="1:9" x14ac:dyDescent="0.3">
      <c r="A2882">
        <v>12881</v>
      </c>
      <c r="B2882" s="2">
        <v>45177</v>
      </c>
      <c r="C2882" t="s">
        <v>9</v>
      </c>
      <c r="D2882" t="s">
        <v>17</v>
      </c>
      <c r="E2882" t="s">
        <v>23</v>
      </c>
      <c r="F2882">
        <v>19</v>
      </c>
      <c r="G2882">
        <v>2177</v>
      </c>
      <c r="H2882">
        <v>41363</v>
      </c>
      <c r="I2882">
        <f t="shared" si="44"/>
        <v>41363</v>
      </c>
    </row>
    <row r="2883" spans="1:9" x14ac:dyDescent="0.3">
      <c r="A2883">
        <v>12882</v>
      </c>
      <c r="B2883" s="2">
        <v>45016</v>
      </c>
      <c r="C2883" t="s">
        <v>11</v>
      </c>
      <c r="D2883" t="s">
        <v>16</v>
      </c>
      <c r="E2883" t="s">
        <v>21</v>
      </c>
      <c r="F2883">
        <v>3</v>
      </c>
      <c r="G2883">
        <v>44751</v>
      </c>
      <c r="H2883">
        <v>134253</v>
      </c>
      <c r="I2883">
        <f t="shared" ref="I2883:I2946" si="45">G2883*F2883</f>
        <v>134253</v>
      </c>
    </row>
    <row r="2884" spans="1:9" x14ac:dyDescent="0.3">
      <c r="A2884">
        <v>12883</v>
      </c>
      <c r="B2884" s="2">
        <v>44951</v>
      </c>
      <c r="C2884" t="s">
        <v>12</v>
      </c>
      <c r="D2884" t="s">
        <v>16</v>
      </c>
      <c r="E2884" t="s">
        <v>22</v>
      </c>
      <c r="F2884">
        <v>3</v>
      </c>
      <c r="G2884">
        <v>8792</v>
      </c>
      <c r="H2884">
        <v>26376</v>
      </c>
      <c r="I2884">
        <f t="shared" si="45"/>
        <v>26376</v>
      </c>
    </row>
    <row r="2885" spans="1:9" x14ac:dyDescent="0.3">
      <c r="A2885">
        <v>12884</v>
      </c>
      <c r="B2885" s="2">
        <v>44946</v>
      </c>
      <c r="C2885" t="s">
        <v>9</v>
      </c>
      <c r="D2885" t="s">
        <v>18</v>
      </c>
      <c r="E2885" t="s">
        <v>19</v>
      </c>
      <c r="F2885">
        <v>5</v>
      </c>
      <c r="G2885">
        <v>47540</v>
      </c>
      <c r="H2885">
        <v>237700</v>
      </c>
      <c r="I2885">
        <f t="shared" si="45"/>
        <v>237700</v>
      </c>
    </row>
    <row r="2886" spans="1:9" x14ac:dyDescent="0.3">
      <c r="A2886">
        <v>12885</v>
      </c>
      <c r="B2886" s="2">
        <v>45096</v>
      </c>
      <c r="C2886" t="s">
        <v>9</v>
      </c>
      <c r="D2886" t="s">
        <v>18</v>
      </c>
      <c r="E2886" t="s">
        <v>22</v>
      </c>
      <c r="F2886">
        <v>15</v>
      </c>
      <c r="G2886">
        <v>9200</v>
      </c>
      <c r="H2886">
        <v>138000</v>
      </c>
      <c r="I2886">
        <f t="shared" si="45"/>
        <v>138000</v>
      </c>
    </row>
    <row r="2887" spans="1:9" x14ac:dyDescent="0.3">
      <c r="A2887">
        <v>12886</v>
      </c>
      <c r="B2887" s="2">
        <v>45197</v>
      </c>
      <c r="C2887" t="s">
        <v>8</v>
      </c>
      <c r="D2887" t="s">
        <v>17</v>
      </c>
      <c r="E2887" t="s">
        <v>23</v>
      </c>
      <c r="F2887">
        <v>5</v>
      </c>
      <c r="G2887">
        <v>51790</v>
      </c>
      <c r="H2887">
        <v>258950</v>
      </c>
      <c r="I2887">
        <f t="shared" si="45"/>
        <v>258950</v>
      </c>
    </row>
    <row r="2888" spans="1:9" x14ac:dyDescent="0.3">
      <c r="A2888">
        <v>12887</v>
      </c>
      <c r="B2888" s="2">
        <v>45017</v>
      </c>
      <c r="C2888" t="s">
        <v>11</v>
      </c>
      <c r="D2888" t="s">
        <v>17</v>
      </c>
      <c r="E2888" t="s">
        <v>20</v>
      </c>
      <c r="F2888">
        <v>14</v>
      </c>
      <c r="G2888">
        <v>11635</v>
      </c>
      <c r="H2888">
        <v>162890</v>
      </c>
      <c r="I2888">
        <f t="shared" si="45"/>
        <v>162890</v>
      </c>
    </row>
    <row r="2889" spans="1:9" x14ac:dyDescent="0.3">
      <c r="A2889">
        <v>12888</v>
      </c>
      <c r="B2889" s="2">
        <v>45178</v>
      </c>
      <c r="C2889" t="s">
        <v>12</v>
      </c>
      <c r="D2889" t="s">
        <v>16</v>
      </c>
      <c r="E2889" t="s">
        <v>23</v>
      </c>
      <c r="F2889">
        <v>7</v>
      </c>
      <c r="G2889">
        <v>50435</v>
      </c>
      <c r="H2889">
        <v>353045</v>
      </c>
      <c r="I2889">
        <f t="shared" si="45"/>
        <v>353045</v>
      </c>
    </row>
    <row r="2890" spans="1:9" x14ac:dyDescent="0.3">
      <c r="A2890">
        <v>12889</v>
      </c>
      <c r="B2890" s="2">
        <v>45053</v>
      </c>
      <c r="C2890" t="s">
        <v>9</v>
      </c>
      <c r="D2890" t="s">
        <v>17</v>
      </c>
      <c r="E2890" t="s">
        <v>24</v>
      </c>
      <c r="F2890">
        <v>18</v>
      </c>
      <c r="G2890">
        <v>45884</v>
      </c>
      <c r="H2890">
        <v>825912</v>
      </c>
      <c r="I2890">
        <f t="shared" si="45"/>
        <v>825912</v>
      </c>
    </row>
    <row r="2891" spans="1:9" x14ac:dyDescent="0.3">
      <c r="A2891">
        <v>12890</v>
      </c>
      <c r="B2891" s="2">
        <v>45013</v>
      </c>
      <c r="C2891" t="s">
        <v>12</v>
      </c>
      <c r="D2891" t="s">
        <v>18</v>
      </c>
      <c r="E2891" t="s">
        <v>24</v>
      </c>
      <c r="F2891">
        <v>8</v>
      </c>
      <c r="G2891">
        <v>11698</v>
      </c>
      <c r="H2891">
        <v>93584</v>
      </c>
      <c r="I2891">
        <f t="shared" si="45"/>
        <v>93584</v>
      </c>
    </row>
    <row r="2892" spans="1:9" x14ac:dyDescent="0.3">
      <c r="A2892">
        <v>12891</v>
      </c>
      <c r="B2892" s="2">
        <v>45012</v>
      </c>
      <c r="C2892" t="s">
        <v>12</v>
      </c>
      <c r="D2892" t="s">
        <v>16</v>
      </c>
      <c r="E2892" t="s">
        <v>20</v>
      </c>
      <c r="F2892">
        <v>11</v>
      </c>
      <c r="G2892">
        <v>27703</v>
      </c>
      <c r="H2892">
        <v>304733</v>
      </c>
      <c r="I2892">
        <f t="shared" si="45"/>
        <v>304733</v>
      </c>
    </row>
    <row r="2893" spans="1:9" x14ac:dyDescent="0.3">
      <c r="A2893">
        <v>12892</v>
      </c>
      <c r="B2893" s="2">
        <v>45014</v>
      </c>
      <c r="C2893" t="s">
        <v>9</v>
      </c>
      <c r="D2893" t="s">
        <v>16</v>
      </c>
      <c r="E2893" t="s">
        <v>19</v>
      </c>
      <c r="F2893">
        <v>7</v>
      </c>
      <c r="G2893">
        <v>24636</v>
      </c>
      <c r="H2893">
        <v>172452</v>
      </c>
      <c r="I2893">
        <f t="shared" si="45"/>
        <v>172452</v>
      </c>
    </row>
    <row r="2894" spans="1:9" x14ac:dyDescent="0.3">
      <c r="A2894">
        <v>12893</v>
      </c>
      <c r="B2894" s="2">
        <v>44988</v>
      </c>
      <c r="C2894" t="s">
        <v>8</v>
      </c>
      <c r="D2894" t="s">
        <v>18</v>
      </c>
      <c r="E2894" t="s">
        <v>20</v>
      </c>
      <c r="F2894">
        <v>15</v>
      </c>
      <c r="G2894">
        <v>17248</v>
      </c>
      <c r="H2894">
        <v>258720</v>
      </c>
      <c r="I2894">
        <f t="shared" si="45"/>
        <v>258720</v>
      </c>
    </row>
    <row r="2895" spans="1:9" x14ac:dyDescent="0.3">
      <c r="A2895">
        <v>12894</v>
      </c>
      <c r="B2895" s="2">
        <v>44950</v>
      </c>
      <c r="C2895" t="s">
        <v>9</v>
      </c>
      <c r="D2895" t="s">
        <v>18</v>
      </c>
      <c r="E2895" t="s">
        <v>19</v>
      </c>
      <c r="F2895">
        <v>2</v>
      </c>
      <c r="G2895">
        <v>8573</v>
      </c>
      <c r="H2895">
        <v>17146</v>
      </c>
      <c r="I2895">
        <f t="shared" si="45"/>
        <v>17146</v>
      </c>
    </row>
    <row r="2896" spans="1:9" x14ac:dyDescent="0.3">
      <c r="A2896">
        <v>12895</v>
      </c>
      <c r="B2896" s="2">
        <v>45285</v>
      </c>
      <c r="C2896" t="s">
        <v>9</v>
      </c>
      <c r="D2896" t="s">
        <v>15</v>
      </c>
      <c r="E2896" t="s">
        <v>21</v>
      </c>
      <c r="F2896">
        <v>4</v>
      </c>
      <c r="G2896">
        <v>48195</v>
      </c>
      <c r="H2896">
        <v>192780</v>
      </c>
      <c r="I2896">
        <f t="shared" si="45"/>
        <v>192780</v>
      </c>
    </row>
    <row r="2897" spans="1:9" x14ac:dyDescent="0.3">
      <c r="A2897">
        <v>12896</v>
      </c>
      <c r="B2897" s="2">
        <v>44988</v>
      </c>
      <c r="C2897" t="s">
        <v>14</v>
      </c>
      <c r="D2897" t="s">
        <v>18</v>
      </c>
      <c r="E2897" t="s">
        <v>21</v>
      </c>
      <c r="F2897">
        <v>19</v>
      </c>
      <c r="G2897">
        <v>13233</v>
      </c>
      <c r="H2897">
        <v>251427</v>
      </c>
      <c r="I2897">
        <f t="shared" si="45"/>
        <v>251427</v>
      </c>
    </row>
    <row r="2898" spans="1:9" x14ac:dyDescent="0.3">
      <c r="A2898">
        <v>12897</v>
      </c>
      <c r="B2898" s="2">
        <v>44959</v>
      </c>
      <c r="C2898" t="s">
        <v>10</v>
      </c>
      <c r="D2898" t="s">
        <v>15</v>
      </c>
      <c r="E2898" t="s">
        <v>23</v>
      </c>
      <c r="F2898">
        <v>14</v>
      </c>
      <c r="G2898">
        <v>12697</v>
      </c>
      <c r="H2898">
        <v>177758</v>
      </c>
      <c r="I2898">
        <f t="shared" si="45"/>
        <v>177758</v>
      </c>
    </row>
    <row r="2899" spans="1:9" x14ac:dyDescent="0.3">
      <c r="A2899">
        <v>12898</v>
      </c>
      <c r="B2899" s="2">
        <v>45150</v>
      </c>
      <c r="C2899" t="s">
        <v>12</v>
      </c>
      <c r="D2899" t="s">
        <v>17</v>
      </c>
      <c r="E2899" t="s">
        <v>19</v>
      </c>
      <c r="F2899">
        <v>20</v>
      </c>
      <c r="G2899">
        <v>10808</v>
      </c>
      <c r="H2899">
        <v>216160</v>
      </c>
      <c r="I2899">
        <f t="shared" si="45"/>
        <v>216160</v>
      </c>
    </row>
    <row r="2900" spans="1:9" x14ac:dyDescent="0.3">
      <c r="A2900">
        <v>12899</v>
      </c>
      <c r="B2900" s="2">
        <v>45041</v>
      </c>
      <c r="C2900" t="s">
        <v>11</v>
      </c>
      <c r="D2900" t="s">
        <v>15</v>
      </c>
      <c r="E2900" t="s">
        <v>24</v>
      </c>
      <c r="F2900">
        <v>3</v>
      </c>
      <c r="G2900">
        <v>5957</v>
      </c>
      <c r="H2900">
        <v>17871</v>
      </c>
      <c r="I2900">
        <f t="shared" si="45"/>
        <v>17871</v>
      </c>
    </row>
    <row r="2901" spans="1:9" x14ac:dyDescent="0.3">
      <c r="A2901">
        <v>12900</v>
      </c>
      <c r="B2901" s="2">
        <v>44990</v>
      </c>
      <c r="C2901" t="s">
        <v>9</v>
      </c>
      <c r="D2901" t="s">
        <v>16</v>
      </c>
      <c r="E2901" t="s">
        <v>20</v>
      </c>
      <c r="F2901">
        <v>8</v>
      </c>
      <c r="G2901">
        <v>35744</v>
      </c>
      <c r="H2901">
        <v>285952</v>
      </c>
      <c r="I2901">
        <f t="shared" si="45"/>
        <v>285952</v>
      </c>
    </row>
    <row r="2902" spans="1:9" x14ac:dyDescent="0.3">
      <c r="A2902">
        <v>12901</v>
      </c>
      <c r="B2902" s="2">
        <v>45017</v>
      </c>
      <c r="C2902" t="s">
        <v>13</v>
      </c>
      <c r="D2902" t="s">
        <v>17</v>
      </c>
      <c r="E2902" t="s">
        <v>20</v>
      </c>
      <c r="F2902">
        <v>3</v>
      </c>
      <c r="G2902">
        <v>3752</v>
      </c>
      <c r="H2902">
        <v>11256</v>
      </c>
      <c r="I2902">
        <f t="shared" si="45"/>
        <v>11256</v>
      </c>
    </row>
    <row r="2903" spans="1:9" x14ac:dyDescent="0.3">
      <c r="A2903">
        <v>12902</v>
      </c>
      <c r="B2903" s="2">
        <v>45032</v>
      </c>
      <c r="C2903" t="s">
        <v>14</v>
      </c>
      <c r="D2903" t="s">
        <v>17</v>
      </c>
      <c r="E2903" t="s">
        <v>19</v>
      </c>
      <c r="F2903">
        <v>20</v>
      </c>
      <c r="G2903">
        <v>24431</v>
      </c>
      <c r="H2903">
        <v>488620</v>
      </c>
      <c r="I2903">
        <f t="shared" si="45"/>
        <v>488620</v>
      </c>
    </row>
    <row r="2904" spans="1:9" x14ac:dyDescent="0.3">
      <c r="A2904">
        <v>12903</v>
      </c>
      <c r="B2904" s="2">
        <v>45285</v>
      </c>
      <c r="C2904" t="s">
        <v>11</v>
      </c>
      <c r="D2904" t="s">
        <v>17</v>
      </c>
      <c r="E2904" t="s">
        <v>21</v>
      </c>
      <c r="F2904">
        <v>11</v>
      </c>
      <c r="G2904">
        <v>38582</v>
      </c>
      <c r="H2904">
        <v>424402</v>
      </c>
      <c r="I2904">
        <f t="shared" si="45"/>
        <v>424402</v>
      </c>
    </row>
    <row r="2905" spans="1:9" x14ac:dyDescent="0.3">
      <c r="A2905">
        <v>12904</v>
      </c>
      <c r="B2905" s="2">
        <v>44938</v>
      </c>
      <c r="C2905" t="s">
        <v>8</v>
      </c>
      <c r="D2905" t="s">
        <v>15</v>
      </c>
      <c r="E2905" t="s">
        <v>20</v>
      </c>
      <c r="F2905">
        <v>12</v>
      </c>
      <c r="G2905">
        <v>3931</v>
      </c>
      <c r="H2905">
        <v>47172</v>
      </c>
      <c r="I2905">
        <f t="shared" si="45"/>
        <v>47172</v>
      </c>
    </row>
    <row r="2906" spans="1:9" x14ac:dyDescent="0.3">
      <c r="A2906">
        <v>12905</v>
      </c>
      <c r="B2906" s="2">
        <v>45176</v>
      </c>
      <c r="C2906" t="s">
        <v>10</v>
      </c>
      <c r="D2906" t="s">
        <v>15</v>
      </c>
      <c r="E2906" t="s">
        <v>22</v>
      </c>
      <c r="F2906">
        <v>9</v>
      </c>
      <c r="G2906">
        <v>941</v>
      </c>
      <c r="H2906">
        <v>8469</v>
      </c>
      <c r="I2906">
        <f t="shared" si="45"/>
        <v>8469</v>
      </c>
    </row>
    <row r="2907" spans="1:9" x14ac:dyDescent="0.3">
      <c r="A2907">
        <v>12906</v>
      </c>
      <c r="B2907" s="2">
        <v>45192</v>
      </c>
      <c r="C2907" t="s">
        <v>9</v>
      </c>
      <c r="D2907" t="s">
        <v>17</v>
      </c>
      <c r="E2907" t="s">
        <v>22</v>
      </c>
      <c r="F2907">
        <v>1</v>
      </c>
      <c r="G2907">
        <v>46797</v>
      </c>
      <c r="H2907">
        <v>46797</v>
      </c>
      <c r="I2907">
        <f t="shared" si="45"/>
        <v>46797</v>
      </c>
    </row>
    <row r="2908" spans="1:9" x14ac:dyDescent="0.3">
      <c r="A2908">
        <v>12907</v>
      </c>
      <c r="B2908" s="2">
        <v>44961</v>
      </c>
      <c r="C2908" t="s">
        <v>8</v>
      </c>
      <c r="D2908" t="s">
        <v>16</v>
      </c>
      <c r="E2908" t="s">
        <v>19</v>
      </c>
      <c r="F2908">
        <v>16</v>
      </c>
      <c r="G2908">
        <v>12101</v>
      </c>
      <c r="H2908">
        <v>193616</v>
      </c>
      <c r="I2908">
        <f t="shared" si="45"/>
        <v>193616</v>
      </c>
    </row>
    <row r="2909" spans="1:9" x14ac:dyDescent="0.3">
      <c r="A2909">
        <v>12908</v>
      </c>
      <c r="B2909" s="2">
        <v>44927</v>
      </c>
      <c r="C2909" t="s">
        <v>12</v>
      </c>
      <c r="D2909" t="s">
        <v>15</v>
      </c>
      <c r="E2909" t="s">
        <v>19</v>
      </c>
      <c r="F2909">
        <v>7</v>
      </c>
      <c r="G2909">
        <v>18169</v>
      </c>
      <c r="H2909">
        <v>127183</v>
      </c>
      <c r="I2909">
        <f t="shared" si="45"/>
        <v>127183</v>
      </c>
    </row>
    <row r="2910" spans="1:9" x14ac:dyDescent="0.3">
      <c r="A2910">
        <v>12909</v>
      </c>
      <c r="B2910" s="2">
        <v>45198</v>
      </c>
      <c r="C2910" t="s">
        <v>8</v>
      </c>
      <c r="D2910" t="s">
        <v>15</v>
      </c>
      <c r="E2910" t="s">
        <v>24</v>
      </c>
      <c r="F2910">
        <v>7</v>
      </c>
      <c r="G2910">
        <v>42188</v>
      </c>
      <c r="H2910">
        <v>295316</v>
      </c>
      <c r="I2910">
        <f t="shared" si="45"/>
        <v>295316</v>
      </c>
    </row>
    <row r="2911" spans="1:9" x14ac:dyDescent="0.3">
      <c r="A2911">
        <v>12910</v>
      </c>
      <c r="B2911" s="2">
        <v>45066</v>
      </c>
      <c r="C2911" t="s">
        <v>9</v>
      </c>
      <c r="D2911" t="s">
        <v>16</v>
      </c>
      <c r="E2911" t="s">
        <v>20</v>
      </c>
      <c r="F2911">
        <v>2</v>
      </c>
      <c r="G2911">
        <v>23020</v>
      </c>
      <c r="H2911">
        <v>46040</v>
      </c>
      <c r="I2911">
        <f t="shared" si="45"/>
        <v>46040</v>
      </c>
    </row>
    <row r="2912" spans="1:9" x14ac:dyDescent="0.3">
      <c r="A2912">
        <v>12911</v>
      </c>
      <c r="B2912" s="2">
        <v>45199</v>
      </c>
      <c r="C2912" t="s">
        <v>12</v>
      </c>
      <c r="D2912" t="s">
        <v>18</v>
      </c>
      <c r="E2912" t="s">
        <v>22</v>
      </c>
      <c r="F2912">
        <v>10</v>
      </c>
      <c r="G2912">
        <v>14163</v>
      </c>
      <c r="H2912">
        <v>141630</v>
      </c>
      <c r="I2912">
        <f t="shared" si="45"/>
        <v>141630</v>
      </c>
    </row>
    <row r="2913" spans="1:9" x14ac:dyDescent="0.3">
      <c r="A2913">
        <v>12912</v>
      </c>
      <c r="B2913" s="2">
        <v>45279</v>
      </c>
      <c r="C2913" t="s">
        <v>13</v>
      </c>
      <c r="D2913" t="s">
        <v>18</v>
      </c>
      <c r="E2913" t="s">
        <v>22</v>
      </c>
      <c r="F2913">
        <v>19</v>
      </c>
      <c r="G2913">
        <v>19482</v>
      </c>
      <c r="H2913">
        <v>370158</v>
      </c>
      <c r="I2913">
        <f t="shared" si="45"/>
        <v>370158</v>
      </c>
    </row>
    <row r="2914" spans="1:9" x14ac:dyDescent="0.3">
      <c r="A2914">
        <v>12913</v>
      </c>
      <c r="B2914" s="2">
        <v>45049</v>
      </c>
      <c r="C2914" t="s">
        <v>13</v>
      </c>
      <c r="D2914" t="s">
        <v>18</v>
      </c>
      <c r="E2914" t="s">
        <v>24</v>
      </c>
      <c r="F2914">
        <v>16</v>
      </c>
      <c r="G2914">
        <v>27522</v>
      </c>
      <c r="H2914">
        <v>440352</v>
      </c>
      <c r="I2914">
        <f t="shared" si="45"/>
        <v>440352</v>
      </c>
    </row>
    <row r="2915" spans="1:9" x14ac:dyDescent="0.3">
      <c r="A2915">
        <v>12914</v>
      </c>
      <c r="B2915" s="2">
        <v>45283</v>
      </c>
      <c r="C2915" t="s">
        <v>12</v>
      </c>
      <c r="D2915" t="s">
        <v>16</v>
      </c>
      <c r="E2915" t="s">
        <v>21</v>
      </c>
      <c r="F2915">
        <v>16</v>
      </c>
      <c r="G2915">
        <v>50750</v>
      </c>
      <c r="H2915">
        <v>812000</v>
      </c>
      <c r="I2915">
        <f t="shared" si="45"/>
        <v>812000</v>
      </c>
    </row>
    <row r="2916" spans="1:9" x14ac:dyDescent="0.3">
      <c r="A2916">
        <v>12915</v>
      </c>
      <c r="B2916" s="2">
        <v>45018</v>
      </c>
      <c r="C2916" t="s">
        <v>8</v>
      </c>
      <c r="D2916" t="s">
        <v>15</v>
      </c>
      <c r="E2916" t="s">
        <v>22</v>
      </c>
      <c r="F2916">
        <v>2</v>
      </c>
      <c r="G2916">
        <v>40886</v>
      </c>
      <c r="H2916">
        <v>81772</v>
      </c>
      <c r="I2916">
        <f t="shared" si="45"/>
        <v>81772</v>
      </c>
    </row>
    <row r="2917" spans="1:9" x14ac:dyDescent="0.3">
      <c r="A2917">
        <v>12916</v>
      </c>
      <c r="B2917" s="2">
        <v>45082</v>
      </c>
      <c r="C2917" t="s">
        <v>13</v>
      </c>
      <c r="D2917" t="s">
        <v>16</v>
      </c>
      <c r="E2917" t="s">
        <v>20</v>
      </c>
      <c r="F2917">
        <v>3</v>
      </c>
      <c r="G2917">
        <v>23725</v>
      </c>
      <c r="H2917">
        <v>71175</v>
      </c>
      <c r="I2917">
        <f t="shared" si="45"/>
        <v>71175</v>
      </c>
    </row>
    <row r="2918" spans="1:9" x14ac:dyDescent="0.3">
      <c r="A2918">
        <v>12917</v>
      </c>
      <c r="B2918" s="2">
        <v>45261</v>
      </c>
      <c r="C2918" t="s">
        <v>10</v>
      </c>
      <c r="D2918" t="s">
        <v>16</v>
      </c>
      <c r="E2918" t="s">
        <v>19</v>
      </c>
      <c r="F2918">
        <v>9</v>
      </c>
      <c r="G2918">
        <v>44368</v>
      </c>
      <c r="H2918">
        <v>399312</v>
      </c>
      <c r="I2918">
        <f t="shared" si="45"/>
        <v>399312</v>
      </c>
    </row>
    <row r="2919" spans="1:9" x14ac:dyDescent="0.3">
      <c r="A2919">
        <v>12918</v>
      </c>
      <c r="B2919" s="2">
        <v>44985</v>
      </c>
      <c r="C2919" t="s">
        <v>12</v>
      </c>
      <c r="D2919" t="s">
        <v>16</v>
      </c>
      <c r="E2919" t="s">
        <v>19</v>
      </c>
      <c r="F2919">
        <v>14</v>
      </c>
      <c r="G2919">
        <v>32432</v>
      </c>
      <c r="H2919">
        <v>454048</v>
      </c>
      <c r="I2919">
        <f t="shared" si="45"/>
        <v>454048</v>
      </c>
    </row>
    <row r="2920" spans="1:9" x14ac:dyDescent="0.3">
      <c r="A2920">
        <v>12919</v>
      </c>
      <c r="B2920" s="2">
        <v>44993</v>
      </c>
      <c r="C2920" t="s">
        <v>8</v>
      </c>
      <c r="D2920" t="s">
        <v>18</v>
      </c>
      <c r="E2920" t="s">
        <v>24</v>
      </c>
      <c r="F2920">
        <v>15</v>
      </c>
      <c r="G2920">
        <v>12911</v>
      </c>
      <c r="H2920">
        <v>193665</v>
      </c>
      <c r="I2920">
        <f t="shared" si="45"/>
        <v>193665</v>
      </c>
    </row>
    <row r="2921" spans="1:9" x14ac:dyDescent="0.3">
      <c r="A2921">
        <v>12920</v>
      </c>
      <c r="B2921" s="2">
        <v>44933</v>
      </c>
      <c r="C2921" t="s">
        <v>10</v>
      </c>
      <c r="D2921" t="s">
        <v>17</v>
      </c>
      <c r="E2921" t="s">
        <v>24</v>
      </c>
      <c r="F2921">
        <v>1</v>
      </c>
      <c r="G2921">
        <v>28486</v>
      </c>
      <c r="H2921">
        <v>28486</v>
      </c>
      <c r="I2921">
        <f t="shared" si="45"/>
        <v>28486</v>
      </c>
    </row>
    <row r="2922" spans="1:9" x14ac:dyDescent="0.3">
      <c r="A2922">
        <v>12921</v>
      </c>
      <c r="B2922" s="2">
        <v>44948</v>
      </c>
      <c r="C2922" t="s">
        <v>11</v>
      </c>
      <c r="D2922" t="s">
        <v>16</v>
      </c>
      <c r="E2922" t="s">
        <v>21</v>
      </c>
      <c r="F2922">
        <v>13</v>
      </c>
      <c r="G2922">
        <v>39497</v>
      </c>
      <c r="H2922">
        <v>513461</v>
      </c>
      <c r="I2922">
        <f t="shared" si="45"/>
        <v>513461</v>
      </c>
    </row>
    <row r="2923" spans="1:9" x14ac:dyDescent="0.3">
      <c r="A2923">
        <v>12922</v>
      </c>
      <c r="B2923" s="2">
        <v>44961</v>
      </c>
      <c r="C2923" t="s">
        <v>13</v>
      </c>
      <c r="D2923" t="s">
        <v>17</v>
      </c>
      <c r="E2923" t="s">
        <v>24</v>
      </c>
      <c r="F2923">
        <v>6</v>
      </c>
      <c r="G2923">
        <v>44430</v>
      </c>
      <c r="H2923">
        <v>266580</v>
      </c>
      <c r="I2923">
        <f t="shared" si="45"/>
        <v>266580</v>
      </c>
    </row>
    <row r="2924" spans="1:9" x14ac:dyDescent="0.3">
      <c r="A2924">
        <v>12923</v>
      </c>
      <c r="B2924" s="2">
        <v>44941</v>
      </c>
      <c r="C2924" t="s">
        <v>10</v>
      </c>
      <c r="D2924" t="s">
        <v>18</v>
      </c>
      <c r="E2924" t="s">
        <v>20</v>
      </c>
      <c r="F2924">
        <v>14</v>
      </c>
      <c r="G2924">
        <v>55760</v>
      </c>
      <c r="H2924">
        <v>780640</v>
      </c>
      <c r="I2924">
        <f t="shared" si="45"/>
        <v>780640</v>
      </c>
    </row>
    <row r="2925" spans="1:9" x14ac:dyDescent="0.3">
      <c r="A2925">
        <v>12924</v>
      </c>
      <c r="B2925" s="2">
        <v>45225</v>
      </c>
      <c r="C2925" t="s">
        <v>13</v>
      </c>
      <c r="D2925" t="s">
        <v>15</v>
      </c>
      <c r="E2925" t="s">
        <v>20</v>
      </c>
      <c r="F2925">
        <v>12</v>
      </c>
      <c r="G2925">
        <v>18785</v>
      </c>
      <c r="H2925">
        <v>225420</v>
      </c>
      <c r="I2925">
        <f t="shared" si="45"/>
        <v>225420</v>
      </c>
    </row>
    <row r="2926" spans="1:9" x14ac:dyDescent="0.3">
      <c r="A2926">
        <v>12925</v>
      </c>
      <c r="B2926" s="2">
        <v>45279</v>
      </c>
      <c r="C2926" t="s">
        <v>10</v>
      </c>
      <c r="D2926" t="s">
        <v>17</v>
      </c>
      <c r="E2926" t="s">
        <v>19</v>
      </c>
      <c r="F2926">
        <v>7</v>
      </c>
      <c r="G2926">
        <v>41808</v>
      </c>
      <c r="H2926">
        <v>292656</v>
      </c>
      <c r="I2926">
        <f t="shared" si="45"/>
        <v>292656</v>
      </c>
    </row>
    <row r="2927" spans="1:9" x14ac:dyDescent="0.3">
      <c r="A2927">
        <v>12926</v>
      </c>
      <c r="B2927" s="2">
        <v>45050</v>
      </c>
      <c r="C2927" t="s">
        <v>9</v>
      </c>
      <c r="D2927" t="s">
        <v>17</v>
      </c>
      <c r="E2927" t="s">
        <v>20</v>
      </c>
      <c r="F2927">
        <v>4</v>
      </c>
      <c r="G2927">
        <v>30869</v>
      </c>
      <c r="H2927">
        <v>123476</v>
      </c>
      <c r="I2927">
        <f t="shared" si="45"/>
        <v>123476</v>
      </c>
    </row>
    <row r="2928" spans="1:9" x14ac:dyDescent="0.3">
      <c r="A2928">
        <v>12927</v>
      </c>
      <c r="B2928" s="2">
        <v>45060</v>
      </c>
      <c r="C2928" t="s">
        <v>11</v>
      </c>
      <c r="D2928" t="s">
        <v>15</v>
      </c>
      <c r="E2928" t="s">
        <v>19</v>
      </c>
      <c r="F2928">
        <v>15</v>
      </c>
      <c r="G2928">
        <v>41948</v>
      </c>
      <c r="H2928">
        <v>629220</v>
      </c>
      <c r="I2928">
        <f t="shared" si="45"/>
        <v>629220</v>
      </c>
    </row>
    <row r="2929" spans="1:9" x14ac:dyDescent="0.3">
      <c r="A2929">
        <v>12928</v>
      </c>
      <c r="B2929" s="2">
        <v>45125</v>
      </c>
      <c r="C2929" t="s">
        <v>8</v>
      </c>
      <c r="D2929" t="s">
        <v>15</v>
      </c>
      <c r="E2929" t="s">
        <v>19</v>
      </c>
      <c r="F2929">
        <v>6</v>
      </c>
      <c r="G2929">
        <v>49513</v>
      </c>
      <c r="H2929">
        <v>297078</v>
      </c>
      <c r="I2929">
        <f t="shared" si="45"/>
        <v>297078</v>
      </c>
    </row>
    <row r="2930" spans="1:9" x14ac:dyDescent="0.3">
      <c r="A2930">
        <v>12929</v>
      </c>
      <c r="B2930" s="2">
        <v>45037</v>
      </c>
      <c r="C2930" t="s">
        <v>11</v>
      </c>
      <c r="D2930" t="s">
        <v>17</v>
      </c>
      <c r="E2930" t="s">
        <v>23</v>
      </c>
      <c r="F2930">
        <v>7</v>
      </c>
      <c r="G2930">
        <v>29889</v>
      </c>
      <c r="H2930">
        <v>209223</v>
      </c>
      <c r="I2930">
        <f t="shared" si="45"/>
        <v>209223</v>
      </c>
    </row>
    <row r="2931" spans="1:9" x14ac:dyDescent="0.3">
      <c r="A2931">
        <v>12930</v>
      </c>
      <c r="B2931" s="2">
        <v>45041</v>
      </c>
      <c r="C2931" t="s">
        <v>12</v>
      </c>
      <c r="D2931" t="s">
        <v>18</v>
      </c>
      <c r="E2931" t="s">
        <v>19</v>
      </c>
      <c r="F2931">
        <v>7</v>
      </c>
      <c r="G2931">
        <v>2568</v>
      </c>
      <c r="H2931">
        <v>17976</v>
      </c>
      <c r="I2931">
        <f t="shared" si="45"/>
        <v>17976</v>
      </c>
    </row>
    <row r="2932" spans="1:9" x14ac:dyDescent="0.3">
      <c r="A2932">
        <v>12931</v>
      </c>
      <c r="B2932" s="2">
        <v>45168</v>
      </c>
      <c r="C2932" t="s">
        <v>13</v>
      </c>
      <c r="D2932" t="s">
        <v>15</v>
      </c>
      <c r="E2932" t="s">
        <v>19</v>
      </c>
      <c r="F2932">
        <v>4</v>
      </c>
      <c r="G2932">
        <v>32651</v>
      </c>
      <c r="H2932">
        <v>130604</v>
      </c>
      <c r="I2932">
        <f t="shared" si="45"/>
        <v>130604</v>
      </c>
    </row>
    <row r="2933" spans="1:9" x14ac:dyDescent="0.3">
      <c r="A2933">
        <v>12932</v>
      </c>
      <c r="B2933" s="2">
        <v>45186</v>
      </c>
      <c r="C2933" t="s">
        <v>9</v>
      </c>
      <c r="D2933" t="s">
        <v>17</v>
      </c>
      <c r="E2933" t="s">
        <v>24</v>
      </c>
      <c r="F2933">
        <v>18</v>
      </c>
      <c r="G2933">
        <v>19799</v>
      </c>
      <c r="H2933">
        <v>356382</v>
      </c>
      <c r="I2933">
        <f t="shared" si="45"/>
        <v>356382</v>
      </c>
    </row>
    <row r="2934" spans="1:9" x14ac:dyDescent="0.3">
      <c r="A2934">
        <v>12933</v>
      </c>
      <c r="B2934" s="2">
        <v>45117</v>
      </c>
      <c r="C2934" t="s">
        <v>9</v>
      </c>
      <c r="D2934" t="s">
        <v>15</v>
      </c>
      <c r="E2934" t="s">
        <v>21</v>
      </c>
      <c r="F2934">
        <v>1</v>
      </c>
      <c r="G2934">
        <v>1650</v>
      </c>
      <c r="H2934">
        <v>1650</v>
      </c>
      <c r="I2934">
        <f t="shared" si="45"/>
        <v>1650</v>
      </c>
    </row>
    <row r="2935" spans="1:9" x14ac:dyDescent="0.3">
      <c r="A2935">
        <v>12934</v>
      </c>
      <c r="B2935" s="2">
        <v>45226</v>
      </c>
      <c r="C2935" t="s">
        <v>12</v>
      </c>
      <c r="D2935" t="s">
        <v>16</v>
      </c>
      <c r="E2935" t="s">
        <v>21</v>
      </c>
      <c r="F2935">
        <v>2</v>
      </c>
      <c r="G2935">
        <v>15116</v>
      </c>
      <c r="H2935">
        <v>30232</v>
      </c>
      <c r="I2935">
        <f t="shared" si="45"/>
        <v>30232</v>
      </c>
    </row>
    <row r="2936" spans="1:9" x14ac:dyDescent="0.3">
      <c r="A2936">
        <v>12935</v>
      </c>
      <c r="B2936" s="2">
        <v>45003</v>
      </c>
      <c r="C2936" t="s">
        <v>11</v>
      </c>
      <c r="D2936" t="s">
        <v>16</v>
      </c>
      <c r="E2936" t="s">
        <v>20</v>
      </c>
      <c r="F2936">
        <v>15</v>
      </c>
      <c r="G2936">
        <v>39564</v>
      </c>
      <c r="H2936">
        <v>593460</v>
      </c>
      <c r="I2936">
        <f t="shared" si="45"/>
        <v>593460</v>
      </c>
    </row>
    <row r="2937" spans="1:9" x14ac:dyDescent="0.3">
      <c r="A2937">
        <v>12936</v>
      </c>
      <c r="B2937" s="2">
        <v>45017</v>
      </c>
      <c r="C2937" t="s">
        <v>14</v>
      </c>
      <c r="D2937" t="s">
        <v>15</v>
      </c>
      <c r="E2937" t="s">
        <v>22</v>
      </c>
      <c r="F2937">
        <v>6</v>
      </c>
      <c r="G2937">
        <v>57255</v>
      </c>
      <c r="H2937">
        <v>343530</v>
      </c>
      <c r="I2937">
        <f t="shared" si="45"/>
        <v>343530</v>
      </c>
    </row>
    <row r="2938" spans="1:9" x14ac:dyDescent="0.3">
      <c r="A2938">
        <v>12937</v>
      </c>
      <c r="B2938" s="2">
        <v>45002</v>
      </c>
      <c r="C2938" t="s">
        <v>11</v>
      </c>
      <c r="D2938" t="s">
        <v>17</v>
      </c>
      <c r="E2938" t="s">
        <v>24</v>
      </c>
      <c r="F2938">
        <v>3</v>
      </c>
      <c r="G2938">
        <v>42124</v>
      </c>
      <c r="H2938">
        <v>126372</v>
      </c>
      <c r="I2938">
        <f t="shared" si="45"/>
        <v>126372</v>
      </c>
    </row>
    <row r="2939" spans="1:9" x14ac:dyDescent="0.3">
      <c r="A2939">
        <v>12938</v>
      </c>
      <c r="B2939" s="2">
        <v>45090</v>
      </c>
      <c r="C2939" t="s">
        <v>14</v>
      </c>
      <c r="D2939" t="s">
        <v>18</v>
      </c>
      <c r="E2939" t="s">
        <v>20</v>
      </c>
      <c r="F2939">
        <v>2</v>
      </c>
      <c r="G2939">
        <v>796</v>
      </c>
      <c r="H2939">
        <v>1592</v>
      </c>
      <c r="I2939">
        <f t="shared" si="45"/>
        <v>1592</v>
      </c>
    </row>
    <row r="2940" spans="1:9" x14ac:dyDescent="0.3">
      <c r="A2940">
        <v>12939</v>
      </c>
      <c r="B2940" s="2">
        <v>45001</v>
      </c>
      <c r="C2940" t="s">
        <v>12</v>
      </c>
      <c r="D2940" t="s">
        <v>18</v>
      </c>
      <c r="E2940" t="s">
        <v>22</v>
      </c>
      <c r="F2940">
        <v>3</v>
      </c>
      <c r="G2940">
        <v>35543</v>
      </c>
      <c r="H2940">
        <v>106629</v>
      </c>
      <c r="I2940">
        <f t="shared" si="45"/>
        <v>106629</v>
      </c>
    </row>
    <row r="2941" spans="1:9" x14ac:dyDescent="0.3">
      <c r="A2941">
        <v>12940</v>
      </c>
      <c r="B2941" s="2">
        <v>45008</v>
      </c>
      <c r="C2941" t="s">
        <v>11</v>
      </c>
      <c r="D2941" t="s">
        <v>17</v>
      </c>
      <c r="E2941" t="s">
        <v>19</v>
      </c>
      <c r="F2941">
        <v>1</v>
      </c>
      <c r="G2941">
        <v>39492</v>
      </c>
      <c r="H2941">
        <v>39492</v>
      </c>
      <c r="I2941">
        <f t="shared" si="45"/>
        <v>39492</v>
      </c>
    </row>
    <row r="2942" spans="1:9" x14ac:dyDescent="0.3">
      <c r="A2942">
        <v>12941</v>
      </c>
      <c r="B2942" s="2">
        <v>45005</v>
      </c>
      <c r="C2942" t="s">
        <v>11</v>
      </c>
      <c r="D2942" t="s">
        <v>15</v>
      </c>
      <c r="E2942" t="s">
        <v>23</v>
      </c>
      <c r="F2942">
        <v>1</v>
      </c>
      <c r="G2942">
        <v>1697</v>
      </c>
      <c r="H2942">
        <v>1697</v>
      </c>
      <c r="I2942">
        <f t="shared" si="45"/>
        <v>1697</v>
      </c>
    </row>
    <row r="2943" spans="1:9" x14ac:dyDescent="0.3">
      <c r="A2943">
        <v>12942</v>
      </c>
      <c r="B2943" s="2">
        <v>45021</v>
      </c>
      <c r="C2943" t="s">
        <v>14</v>
      </c>
      <c r="D2943" t="s">
        <v>17</v>
      </c>
      <c r="E2943" t="s">
        <v>21</v>
      </c>
      <c r="F2943">
        <v>5</v>
      </c>
      <c r="G2943">
        <v>32096</v>
      </c>
      <c r="H2943">
        <v>160480</v>
      </c>
      <c r="I2943">
        <f t="shared" si="45"/>
        <v>160480</v>
      </c>
    </row>
    <row r="2944" spans="1:9" x14ac:dyDescent="0.3">
      <c r="A2944">
        <v>12943</v>
      </c>
      <c r="B2944" s="2">
        <v>45212</v>
      </c>
      <c r="C2944" t="s">
        <v>9</v>
      </c>
      <c r="D2944" t="s">
        <v>15</v>
      </c>
      <c r="E2944" t="s">
        <v>24</v>
      </c>
      <c r="F2944">
        <v>2</v>
      </c>
      <c r="G2944">
        <v>49735</v>
      </c>
      <c r="H2944">
        <v>99470</v>
      </c>
      <c r="I2944">
        <f t="shared" si="45"/>
        <v>99470</v>
      </c>
    </row>
    <row r="2945" spans="1:9" x14ac:dyDescent="0.3">
      <c r="A2945">
        <v>12944</v>
      </c>
      <c r="B2945" s="2">
        <v>45176</v>
      </c>
      <c r="C2945" t="s">
        <v>14</v>
      </c>
      <c r="D2945" t="s">
        <v>16</v>
      </c>
      <c r="E2945" t="s">
        <v>22</v>
      </c>
      <c r="F2945">
        <v>8</v>
      </c>
      <c r="G2945">
        <v>30050</v>
      </c>
      <c r="H2945">
        <v>240400</v>
      </c>
      <c r="I2945">
        <f t="shared" si="45"/>
        <v>240400</v>
      </c>
    </row>
    <row r="2946" spans="1:9" x14ac:dyDescent="0.3">
      <c r="A2946">
        <v>12945</v>
      </c>
      <c r="B2946" s="2">
        <v>45283</v>
      </c>
      <c r="C2946" t="s">
        <v>12</v>
      </c>
      <c r="D2946" t="s">
        <v>15</v>
      </c>
      <c r="E2946" t="s">
        <v>23</v>
      </c>
      <c r="F2946">
        <v>4</v>
      </c>
      <c r="G2946">
        <v>10812</v>
      </c>
      <c r="H2946">
        <v>43248</v>
      </c>
      <c r="I2946">
        <f t="shared" si="45"/>
        <v>43248</v>
      </c>
    </row>
    <row r="2947" spans="1:9" x14ac:dyDescent="0.3">
      <c r="A2947">
        <v>12946</v>
      </c>
      <c r="B2947" s="2">
        <v>45084</v>
      </c>
      <c r="C2947" t="s">
        <v>14</v>
      </c>
      <c r="D2947" t="s">
        <v>16</v>
      </c>
      <c r="E2947" t="s">
        <v>19</v>
      </c>
      <c r="F2947">
        <v>12</v>
      </c>
      <c r="G2947">
        <v>44871</v>
      </c>
      <c r="H2947">
        <v>538452</v>
      </c>
      <c r="I2947">
        <f t="shared" ref="I2947:I3001" si="46">G2947*F2947</f>
        <v>538452</v>
      </c>
    </row>
    <row r="2948" spans="1:9" x14ac:dyDescent="0.3">
      <c r="A2948">
        <v>12947</v>
      </c>
      <c r="B2948" s="2">
        <v>45017</v>
      </c>
      <c r="C2948" t="s">
        <v>12</v>
      </c>
      <c r="D2948" t="s">
        <v>16</v>
      </c>
      <c r="E2948" t="s">
        <v>22</v>
      </c>
      <c r="F2948">
        <v>13</v>
      </c>
      <c r="G2948">
        <v>25455</v>
      </c>
      <c r="H2948">
        <v>330915</v>
      </c>
      <c r="I2948">
        <f t="shared" si="46"/>
        <v>330915</v>
      </c>
    </row>
    <row r="2949" spans="1:9" x14ac:dyDescent="0.3">
      <c r="A2949">
        <v>12948</v>
      </c>
      <c r="B2949" s="2">
        <v>45193</v>
      </c>
      <c r="C2949" t="s">
        <v>10</v>
      </c>
      <c r="D2949" t="s">
        <v>16</v>
      </c>
      <c r="E2949" t="s">
        <v>21</v>
      </c>
      <c r="F2949">
        <v>5</v>
      </c>
      <c r="G2949">
        <v>55437</v>
      </c>
      <c r="H2949">
        <v>277185</v>
      </c>
      <c r="I2949">
        <f t="shared" si="46"/>
        <v>277185</v>
      </c>
    </row>
    <row r="2950" spans="1:9" x14ac:dyDescent="0.3">
      <c r="A2950">
        <v>12949</v>
      </c>
      <c r="B2950" s="2">
        <v>44939</v>
      </c>
      <c r="C2950" t="s">
        <v>10</v>
      </c>
      <c r="D2950" t="s">
        <v>17</v>
      </c>
      <c r="E2950" t="s">
        <v>21</v>
      </c>
      <c r="F2950">
        <v>3</v>
      </c>
      <c r="G2950">
        <v>29397</v>
      </c>
      <c r="H2950">
        <v>88191</v>
      </c>
      <c r="I2950">
        <f t="shared" si="46"/>
        <v>88191</v>
      </c>
    </row>
    <row r="2951" spans="1:9" x14ac:dyDescent="0.3">
      <c r="A2951">
        <v>12950</v>
      </c>
      <c r="B2951" s="2">
        <v>45188</v>
      </c>
      <c r="C2951" t="s">
        <v>11</v>
      </c>
      <c r="D2951" t="s">
        <v>18</v>
      </c>
      <c r="E2951" t="s">
        <v>20</v>
      </c>
      <c r="F2951">
        <v>1</v>
      </c>
      <c r="G2951">
        <v>56756</v>
      </c>
      <c r="H2951">
        <v>56756</v>
      </c>
      <c r="I2951">
        <f t="shared" si="46"/>
        <v>56756</v>
      </c>
    </row>
    <row r="2952" spans="1:9" x14ac:dyDescent="0.3">
      <c r="A2952">
        <v>12951</v>
      </c>
      <c r="B2952" s="2">
        <v>45222</v>
      </c>
      <c r="C2952" t="s">
        <v>11</v>
      </c>
      <c r="D2952" t="s">
        <v>16</v>
      </c>
      <c r="E2952" t="s">
        <v>22</v>
      </c>
      <c r="F2952">
        <v>9</v>
      </c>
      <c r="G2952">
        <v>17447</v>
      </c>
      <c r="H2952">
        <v>157023</v>
      </c>
      <c r="I2952">
        <f t="shared" si="46"/>
        <v>157023</v>
      </c>
    </row>
    <row r="2953" spans="1:9" x14ac:dyDescent="0.3">
      <c r="A2953">
        <v>12952</v>
      </c>
      <c r="B2953" s="2">
        <v>45113</v>
      </c>
      <c r="C2953" t="s">
        <v>11</v>
      </c>
      <c r="D2953" t="s">
        <v>17</v>
      </c>
      <c r="E2953" t="s">
        <v>24</v>
      </c>
      <c r="F2953">
        <v>19</v>
      </c>
      <c r="G2953">
        <v>36035</v>
      </c>
      <c r="H2953">
        <v>684665</v>
      </c>
      <c r="I2953">
        <f t="shared" si="46"/>
        <v>684665</v>
      </c>
    </row>
    <row r="2954" spans="1:9" x14ac:dyDescent="0.3">
      <c r="A2954">
        <v>12953</v>
      </c>
      <c r="B2954" s="2">
        <v>45037</v>
      </c>
      <c r="C2954" t="s">
        <v>11</v>
      </c>
      <c r="D2954" t="s">
        <v>18</v>
      </c>
      <c r="E2954" t="s">
        <v>23</v>
      </c>
      <c r="F2954">
        <v>20</v>
      </c>
      <c r="G2954">
        <v>30253</v>
      </c>
      <c r="H2954">
        <v>605060</v>
      </c>
      <c r="I2954">
        <f t="shared" si="46"/>
        <v>605060</v>
      </c>
    </row>
    <row r="2955" spans="1:9" x14ac:dyDescent="0.3">
      <c r="A2955">
        <v>12954</v>
      </c>
      <c r="B2955" s="2">
        <v>45035</v>
      </c>
      <c r="C2955" t="s">
        <v>10</v>
      </c>
      <c r="D2955" t="s">
        <v>18</v>
      </c>
      <c r="E2955" t="s">
        <v>20</v>
      </c>
      <c r="F2955">
        <v>4</v>
      </c>
      <c r="G2955">
        <v>31214</v>
      </c>
      <c r="H2955">
        <v>124856</v>
      </c>
      <c r="I2955">
        <f t="shared" si="46"/>
        <v>124856</v>
      </c>
    </row>
    <row r="2956" spans="1:9" x14ac:dyDescent="0.3">
      <c r="A2956">
        <v>12955</v>
      </c>
      <c r="B2956" s="2">
        <v>45257</v>
      </c>
      <c r="C2956" t="s">
        <v>11</v>
      </c>
      <c r="D2956" t="s">
        <v>18</v>
      </c>
      <c r="E2956" t="s">
        <v>23</v>
      </c>
      <c r="F2956">
        <v>3</v>
      </c>
      <c r="G2956">
        <v>55646</v>
      </c>
      <c r="H2956">
        <v>166938</v>
      </c>
      <c r="I2956">
        <f t="shared" si="46"/>
        <v>166938</v>
      </c>
    </row>
    <row r="2957" spans="1:9" x14ac:dyDescent="0.3">
      <c r="A2957">
        <v>12956</v>
      </c>
      <c r="B2957" s="2">
        <v>45171</v>
      </c>
      <c r="C2957" t="s">
        <v>13</v>
      </c>
      <c r="D2957" t="s">
        <v>15</v>
      </c>
      <c r="E2957" t="s">
        <v>20</v>
      </c>
      <c r="F2957">
        <v>6</v>
      </c>
      <c r="G2957">
        <v>42607</v>
      </c>
      <c r="H2957">
        <v>255642</v>
      </c>
      <c r="I2957">
        <f t="shared" si="46"/>
        <v>255642</v>
      </c>
    </row>
    <row r="2958" spans="1:9" x14ac:dyDescent="0.3">
      <c r="A2958">
        <v>12957</v>
      </c>
      <c r="B2958" s="2">
        <v>45152</v>
      </c>
      <c r="C2958" t="s">
        <v>10</v>
      </c>
      <c r="D2958" t="s">
        <v>18</v>
      </c>
      <c r="E2958" t="s">
        <v>20</v>
      </c>
      <c r="F2958">
        <v>17</v>
      </c>
      <c r="G2958">
        <v>46748</v>
      </c>
      <c r="H2958">
        <v>794716</v>
      </c>
      <c r="I2958">
        <f t="shared" si="46"/>
        <v>794716</v>
      </c>
    </row>
    <row r="2959" spans="1:9" x14ac:dyDescent="0.3">
      <c r="A2959">
        <v>12958</v>
      </c>
      <c r="B2959" s="2">
        <v>45012</v>
      </c>
      <c r="C2959" t="s">
        <v>14</v>
      </c>
      <c r="D2959" t="s">
        <v>18</v>
      </c>
      <c r="E2959" t="s">
        <v>20</v>
      </c>
      <c r="F2959">
        <v>4</v>
      </c>
      <c r="G2959">
        <v>16456</v>
      </c>
      <c r="H2959">
        <v>65824</v>
      </c>
      <c r="I2959">
        <f t="shared" si="46"/>
        <v>65824</v>
      </c>
    </row>
    <row r="2960" spans="1:9" x14ac:dyDescent="0.3">
      <c r="A2960">
        <v>12959</v>
      </c>
      <c r="B2960" s="2">
        <v>45084</v>
      </c>
      <c r="C2960" t="s">
        <v>10</v>
      </c>
      <c r="D2960" t="s">
        <v>17</v>
      </c>
      <c r="E2960" t="s">
        <v>24</v>
      </c>
      <c r="F2960">
        <v>19</v>
      </c>
      <c r="G2960">
        <v>53611</v>
      </c>
      <c r="H2960">
        <v>1018609</v>
      </c>
      <c r="I2960">
        <f t="shared" si="46"/>
        <v>1018609</v>
      </c>
    </row>
    <row r="2961" spans="1:9" x14ac:dyDescent="0.3">
      <c r="A2961">
        <v>12960</v>
      </c>
      <c r="B2961" s="2">
        <v>45223</v>
      </c>
      <c r="C2961" t="s">
        <v>8</v>
      </c>
      <c r="D2961" t="s">
        <v>18</v>
      </c>
      <c r="E2961" t="s">
        <v>24</v>
      </c>
      <c r="F2961">
        <v>19</v>
      </c>
      <c r="G2961">
        <v>27942</v>
      </c>
      <c r="H2961">
        <v>530898</v>
      </c>
      <c r="I2961">
        <f t="shared" si="46"/>
        <v>530898</v>
      </c>
    </row>
    <row r="2962" spans="1:9" x14ac:dyDescent="0.3">
      <c r="A2962">
        <v>12961</v>
      </c>
      <c r="B2962" s="2">
        <v>45009</v>
      </c>
      <c r="C2962" t="s">
        <v>13</v>
      </c>
      <c r="D2962" t="s">
        <v>18</v>
      </c>
      <c r="E2962" t="s">
        <v>21</v>
      </c>
      <c r="F2962">
        <v>18</v>
      </c>
      <c r="G2962">
        <v>53050</v>
      </c>
      <c r="H2962">
        <v>954900</v>
      </c>
      <c r="I2962">
        <f t="shared" si="46"/>
        <v>954900</v>
      </c>
    </row>
    <row r="2963" spans="1:9" x14ac:dyDescent="0.3">
      <c r="A2963">
        <v>12962</v>
      </c>
      <c r="B2963" s="2">
        <v>45213</v>
      </c>
      <c r="C2963" t="s">
        <v>13</v>
      </c>
      <c r="D2963" t="s">
        <v>15</v>
      </c>
      <c r="E2963" t="s">
        <v>22</v>
      </c>
      <c r="F2963">
        <v>15</v>
      </c>
      <c r="G2963">
        <v>35199</v>
      </c>
      <c r="H2963">
        <v>527985</v>
      </c>
      <c r="I2963">
        <f t="shared" si="46"/>
        <v>527985</v>
      </c>
    </row>
    <row r="2964" spans="1:9" x14ac:dyDescent="0.3">
      <c r="A2964">
        <v>12963</v>
      </c>
      <c r="B2964" s="2">
        <v>45290</v>
      </c>
      <c r="C2964" t="s">
        <v>13</v>
      </c>
      <c r="D2964" t="s">
        <v>15</v>
      </c>
      <c r="E2964" t="s">
        <v>22</v>
      </c>
      <c r="F2964">
        <v>19</v>
      </c>
      <c r="G2964">
        <v>26790</v>
      </c>
      <c r="H2964">
        <v>509010</v>
      </c>
      <c r="I2964">
        <f t="shared" si="46"/>
        <v>509010</v>
      </c>
    </row>
    <row r="2965" spans="1:9" x14ac:dyDescent="0.3">
      <c r="A2965">
        <v>12964</v>
      </c>
      <c r="B2965" s="2">
        <v>45122</v>
      </c>
      <c r="C2965" t="s">
        <v>9</v>
      </c>
      <c r="D2965" t="s">
        <v>15</v>
      </c>
      <c r="E2965" t="s">
        <v>22</v>
      </c>
      <c r="F2965">
        <v>5</v>
      </c>
      <c r="G2965">
        <v>37647</v>
      </c>
      <c r="H2965">
        <v>188235</v>
      </c>
      <c r="I2965">
        <f t="shared" si="46"/>
        <v>188235</v>
      </c>
    </row>
    <row r="2966" spans="1:9" x14ac:dyDescent="0.3">
      <c r="A2966">
        <v>12965</v>
      </c>
      <c r="B2966" s="2">
        <v>45173</v>
      </c>
      <c r="C2966" t="s">
        <v>12</v>
      </c>
      <c r="D2966" t="s">
        <v>15</v>
      </c>
      <c r="E2966" t="s">
        <v>24</v>
      </c>
      <c r="F2966">
        <v>18</v>
      </c>
      <c r="G2966">
        <v>23015</v>
      </c>
      <c r="H2966">
        <v>414270</v>
      </c>
      <c r="I2966">
        <f t="shared" si="46"/>
        <v>414270</v>
      </c>
    </row>
    <row r="2967" spans="1:9" x14ac:dyDescent="0.3">
      <c r="A2967">
        <v>12966</v>
      </c>
      <c r="B2967" s="2">
        <v>45074</v>
      </c>
      <c r="C2967" t="s">
        <v>10</v>
      </c>
      <c r="D2967" t="s">
        <v>18</v>
      </c>
      <c r="E2967" t="s">
        <v>21</v>
      </c>
      <c r="F2967">
        <v>15</v>
      </c>
      <c r="G2967">
        <v>29976</v>
      </c>
      <c r="H2967">
        <v>449640</v>
      </c>
      <c r="I2967">
        <f t="shared" si="46"/>
        <v>449640</v>
      </c>
    </row>
    <row r="2968" spans="1:9" x14ac:dyDescent="0.3">
      <c r="A2968">
        <v>12967</v>
      </c>
      <c r="B2968" s="2">
        <v>45042</v>
      </c>
      <c r="C2968" t="s">
        <v>10</v>
      </c>
      <c r="D2968" t="s">
        <v>17</v>
      </c>
      <c r="E2968" t="s">
        <v>21</v>
      </c>
      <c r="F2968">
        <v>18</v>
      </c>
      <c r="G2968">
        <v>24485</v>
      </c>
      <c r="H2968">
        <v>440730</v>
      </c>
      <c r="I2968">
        <f t="shared" si="46"/>
        <v>440730</v>
      </c>
    </row>
    <row r="2969" spans="1:9" x14ac:dyDescent="0.3">
      <c r="A2969">
        <v>12968</v>
      </c>
      <c r="B2969" s="2">
        <v>44948</v>
      </c>
      <c r="C2969" t="s">
        <v>10</v>
      </c>
      <c r="D2969" t="s">
        <v>17</v>
      </c>
      <c r="E2969" t="s">
        <v>22</v>
      </c>
      <c r="F2969">
        <v>13</v>
      </c>
      <c r="G2969">
        <v>51636</v>
      </c>
      <c r="H2969">
        <v>671268</v>
      </c>
      <c r="I2969">
        <f t="shared" si="46"/>
        <v>671268</v>
      </c>
    </row>
    <row r="2970" spans="1:9" x14ac:dyDescent="0.3">
      <c r="A2970">
        <v>12969</v>
      </c>
      <c r="B2970" s="2">
        <v>45082</v>
      </c>
      <c r="C2970" t="s">
        <v>12</v>
      </c>
      <c r="D2970" t="s">
        <v>15</v>
      </c>
      <c r="E2970" t="s">
        <v>21</v>
      </c>
      <c r="F2970">
        <v>6</v>
      </c>
      <c r="G2970">
        <v>46477</v>
      </c>
      <c r="H2970">
        <v>278862</v>
      </c>
      <c r="I2970">
        <f t="shared" si="46"/>
        <v>278862</v>
      </c>
    </row>
    <row r="2971" spans="1:9" x14ac:dyDescent="0.3">
      <c r="A2971">
        <v>12970</v>
      </c>
      <c r="B2971" s="2">
        <v>45185</v>
      </c>
      <c r="C2971" t="s">
        <v>10</v>
      </c>
      <c r="D2971" t="s">
        <v>17</v>
      </c>
      <c r="E2971" t="s">
        <v>20</v>
      </c>
      <c r="F2971">
        <v>2</v>
      </c>
      <c r="G2971">
        <v>42512</v>
      </c>
      <c r="H2971">
        <v>85024</v>
      </c>
      <c r="I2971">
        <f t="shared" si="46"/>
        <v>85024</v>
      </c>
    </row>
    <row r="2972" spans="1:9" x14ac:dyDescent="0.3">
      <c r="A2972">
        <v>12971</v>
      </c>
      <c r="B2972" s="2">
        <v>44983</v>
      </c>
      <c r="C2972" t="s">
        <v>14</v>
      </c>
      <c r="D2972" t="s">
        <v>16</v>
      </c>
      <c r="E2972" t="s">
        <v>22</v>
      </c>
      <c r="F2972">
        <v>14</v>
      </c>
      <c r="G2972">
        <v>14616</v>
      </c>
      <c r="H2972">
        <v>204624</v>
      </c>
      <c r="I2972">
        <f t="shared" si="46"/>
        <v>204624</v>
      </c>
    </row>
    <row r="2973" spans="1:9" x14ac:dyDescent="0.3">
      <c r="A2973">
        <v>12972</v>
      </c>
      <c r="B2973" s="2">
        <v>45178</v>
      </c>
      <c r="C2973" t="s">
        <v>14</v>
      </c>
      <c r="D2973" t="s">
        <v>16</v>
      </c>
      <c r="E2973" t="s">
        <v>24</v>
      </c>
      <c r="F2973">
        <v>10</v>
      </c>
      <c r="G2973">
        <v>19088</v>
      </c>
      <c r="H2973">
        <v>190880</v>
      </c>
      <c r="I2973">
        <f t="shared" si="46"/>
        <v>190880</v>
      </c>
    </row>
    <row r="2974" spans="1:9" x14ac:dyDescent="0.3">
      <c r="A2974">
        <v>12973</v>
      </c>
      <c r="B2974" s="2">
        <v>45145</v>
      </c>
      <c r="C2974" t="s">
        <v>13</v>
      </c>
      <c r="D2974" t="s">
        <v>15</v>
      </c>
      <c r="E2974" t="s">
        <v>19</v>
      </c>
      <c r="F2974">
        <v>13</v>
      </c>
      <c r="G2974">
        <v>55561</v>
      </c>
      <c r="H2974">
        <v>722293</v>
      </c>
      <c r="I2974">
        <f t="shared" si="46"/>
        <v>722293</v>
      </c>
    </row>
    <row r="2975" spans="1:9" x14ac:dyDescent="0.3">
      <c r="A2975">
        <v>12974</v>
      </c>
      <c r="B2975" s="2">
        <v>45092</v>
      </c>
      <c r="C2975" t="s">
        <v>8</v>
      </c>
      <c r="D2975" t="s">
        <v>18</v>
      </c>
      <c r="E2975" t="s">
        <v>22</v>
      </c>
      <c r="F2975">
        <v>14</v>
      </c>
      <c r="G2975">
        <v>9164</v>
      </c>
      <c r="H2975">
        <v>128296</v>
      </c>
      <c r="I2975">
        <f t="shared" si="46"/>
        <v>128296</v>
      </c>
    </row>
    <row r="2976" spans="1:9" x14ac:dyDescent="0.3">
      <c r="A2976">
        <v>12975</v>
      </c>
      <c r="B2976" s="2">
        <v>44990</v>
      </c>
      <c r="C2976" t="s">
        <v>9</v>
      </c>
      <c r="D2976" t="s">
        <v>16</v>
      </c>
      <c r="E2976" t="s">
        <v>20</v>
      </c>
      <c r="F2976">
        <v>14</v>
      </c>
      <c r="G2976">
        <v>59617</v>
      </c>
      <c r="H2976">
        <v>834638</v>
      </c>
      <c r="I2976">
        <f t="shared" si="46"/>
        <v>834638</v>
      </c>
    </row>
    <row r="2977" spans="1:9" x14ac:dyDescent="0.3">
      <c r="A2977">
        <v>12976</v>
      </c>
      <c r="B2977" s="2">
        <v>44969</v>
      </c>
      <c r="C2977" t="s">
        <v>13</v>
      </c>
      <c r="D2977" t="s">
        <v>17</v>
      </c>
      <c r="E2977" t="s">
        <v>23</v>
      </c>
      <c r="F2977">
        <v>6</v>
      </c>
      <c r="G2977">
        <v>33643</v>
      </c>
      <c r="H2977">
        <v>201858</v>
      </c>
      <c r="I2977">
        <f t="shared" si="46"/>
        <v>201858</v>
      </c>
    </row>
    <row r="2978" spans="1:9" x14ac:dyDescent="0.3">
      <c r="A2978">
        <v>12977</v>
      </c>
      <c r="B2978" s="2">
        <v>45099</v>
      </c>
      <c r="C2978" t="s">
        <v>10</v>
      </c>
      <c r="D2978" t="s">
        <v>18</v>
      </c>
      <c r="E2978" t="s">
        <v>22</v>
      </c>
      <c r="F2978">
        <v>7</v>
      </c>
      <c r="G2978">
        <v>9609</v>
      </c>
      <c r="H2978">
        <v>67263</v>
      </c>
      <c r="I2978">
        <f t="shared" si="46"/>
        <v>67263</v>
      </c>
    </row>
    <row r="2979" spans="1:9" x14ac:dyDescent="0.3">
      <c r="A2979">
        <v>12978</v>
      </c>
      <c r="B2979" s="2">
        <v>45102</v>
      </c>
      <c r="C2979" t="s">
        <v>9</v>
      </c>
      <c r="D2979" t="s">
        <v>17</v>
      </c>
      <c r="E2979" t="s">
        <v>23</v>
      </c>
      <c r="F2979">
        <v>19</v>
      </c>
      <c r="G2979">
        <v>34404</v>
      </c>
      <c r="H2979">
        <v>653676</v>
      </c>
      <c r="I2979">
        <f t="shared" si="46"/>
        <v>653676</v>
      </c>
    </row>
    <row r="2980" spans="1:9" x14ac:dyDescent="0.3">
      <c r="A2980">
        <v>12979</v>
      </c>
      <c r="B2980" s="2">
        <v>44932</v>
      </c>
      <c r="C2980" t="s">
        <v>8</v>
      </c>
      <c r="D2980" t="s">
        <v>16</v>
      </c>
      <c r="E2980" t="s">
        <v>24</v>
      </c>
      <c r="F2980">
        <v>9</v>
      </c>
      <c r="G2980">
        <v>44929</v>
      </c>
      <c r="H2980">
        <v>404361</v>
      </c>
      <c r="I2980">
        <f t="shared" si="46"/>
        <v>404361</v>
      </c>
    </row>
    <row r="2981" spans="1:9" x14ac:dyDescent="0.3">
      <c r="A2981">
        <v>12980</v>
      </c>
      <c r="B2981" s="2">
        <v>44957</v>
      </c>
      <c r="C2981" t="s">
        <v>13</v>
      </c>
      <c r="D2981" t="s">
        <v>16</v>
      </c>
      <c r="E2981" t="s">
        <v>19</v>
      </c>
      <c r="F2981">
        <v>20</v>
      </c>
      <c r="G2981">
        <v>29966</v>
      </c>
      <c r="H2981">
        <v>599320</v>
      </c>
      <c r="I2981">
        <f t="shared" si="46"/>
        <v>599320</v>
      </c>
    </row>
    <row r="2982" spans="1:9" x14ac:dyDescent="0.3">
      <c r="A2982">
        <v>12981</v>
      </c>
      <c r="B2982" s="2">
        <v>45008</v>
      </c>
      <c r="C2982" t="s">
        <v>10</v>
      </c>
      <c r="D2982" t="s">
        <v>16</v>
      </c>
      <c r="E2982" t="s">
        <v>24</v>
      </c>
      <c r="F2982">
        <v>15</v>
      </c>
      <c r="G2982">
        <v>21500</v>
      </c>
      <c r="H2982">
        <v>322500</v>
      </c>
      <c r="I2982">
        <f t="shared" si="46"/>
        <v>322500</v>
      </c>
    </row>
    <row r="2983" spans="1:9" x14ac:dyDescent="0.3">
      <c r="A2983">
        <v>12982</v>
      </c>
      <c r="B2983" s="2">
        <v>45241</v>
      </c>
      <c r="C2983" t="s">
        <v>13</v>
      </c>
      <c r="D2983" t="s">
        <v>18</v>
      </c>
      <c r="E2983" t="s">
        <v>23</v>
      </c>
      <c r="F2983">
        <v>2</v>
      </c>
      <c r="G2983">
        <v>6763</v>
      </c>
      <c r="H2983">
        <v>13526</v>
      </c>
      <c r="I2983">
        <f t="shared" si="46"/>
        <v>13526</v>
      </c>
    </row>
    <row r="2984" spans="1:9" x14ac:dyDescent="0.3">
      <c r="A2984">
        <v>12983</v>
      </c>
      <c r="B2984" s="2">
        <v>45075</v>
      </c>
      <c r="C2984" t="s">
        <v>13</v>
      </c>
      <c r="D2984" t="s">
        <v>18</v>
      </c>
      <c r="E2984" t="s">
        <v>24</v>
      </c>
      <c r="F2984">
        <v>1</v>
      </c>
      <c r="G2984">
        <v>58047</v>
      </c>
      <c r="H2984">
        <v>58047</v>
      </c>
      <c r="I2984">
        <f t="shared" si="46"/>
        <v>58047</v>
      </c>
    </row>
    <row r="2985" spans="1:9" x14ac:dyDescent="0.3">
      <c r="A2985">
        <v>12984</v>
      </c>
      <c r="B2985" s="2">
        <v>44971</v>
      </c>
      <c r="C2985" t="s">
        <v>11</v>
      </c>
      <c r="D2985" t="s">
        <v>16</v>
      </c>
      <c r="E2985" t="s">
        <v>21</v>
      </c>
      <c r="F2985">
        <v>8</v>
      </c>
      <c r="G2985">
        <v>33125</v>
      </c>
      <c r="H2985">
        <v>265000</v>
      </c>
      <c r="I2985">
        <f t="shared" si="46"/>
        <v>265000</v>
      </c>
    </row>
    <row r="2986" spans="1:9" x14ac:dyDescent="0.3">
      <c r="A2986">
        <v>12985</v>
      </c>
      <c r="B2986" s="2">
        <v>45173</v>
      </c>
      <c r="C2986" t="s">
        <v>14</v>
      </c>
      <c r="D2986" t="s">
        <v>15</v>
      </c>
      <c r="E2986" t="s">
        <v>21</v>
      </c>
      <c r="F2986">
        <v>14</v>
      </c>
      <c r="G2986">
        <v>51677</v>
      </c>
      <c r="H2986">
        <v>723478</v>
      </c>
      <c r="I2986">
        <f t="shared" si="46"/>
        <v>723478</v>
      </c>
    </row>
    <row r="2987" spans="1:9" x14ac:dyDescent="0.3">
      <c r="A2987">
        <v>12986</v>
      </c>
      <c r="B2987" s="2">
        <v>45127</v>
      </c>
      <c r="C2987" t="s">
        <v>10</v>
      </c>
      <c r="D2987" t="s">
        <v>17</v>
      </c>
      <c r="E2987" t="s">
        <v>23</v>
      </c>
      <c r="F2987">
        <v>14</v>
      </c>
      <c r="G2987">
        <v>13723</v>
      </c>
      <c r="H2987">
        <v>192122</v>
      </c>
      <c r="I2987">
        <f t="shared" si="46"/>
        <v>192122</v>
      </c>
    </row>
    <row r="2988" spans="1:9" x14ac:dyDescent="0.3">
      <c r="A2988">
        <v>12987</v>
      </c>
      <c r="B2988" s="2">
        <v>45008</v>
      </c>
      <c r="C2988" t="s">
        <v>8</v>
      </c>
      <c r="D2988" t="s">
        <v>15</v>
      </c>
      <c r="E2988" t="s">
        <v>19</v>
      </c>
      <c r="F2988">
        <v>12</v>
      </c>
      <c r="G2988">
        <v>7893</v>
      </c>
      <c r="H2988">
        <v>94716</v>
      </c>
      <c r="I2988">
        <f t="shared" si="46"/>
        <v>94716</v>
      </c>
    </row>
    <row r="2989" spans="1:9" x14ac:dyDescent="0.3">
      <c r="A2989">
        <v>12988</v>
      </c>
      <c r="B2989" s="2">
        <v>45058</v>
      </c>
      <c r="C2989" t="s">
        <v>11</v>
      </c>
      <c r="D2989" t="s">
        <v>15</v>
      </c>
      <c r="E2989" t="s">
        <v>19</v>
      </c>
      <c r="F2989">
        <v>20</v>
      </c>
      <c r="G2989">
        <v>27049</v>
      </c>
      <c r="H2989">
        <v>540980</v>
      </c>
      <c r="I2989">
        <f t="shared" si="46"/>
        <v>540980</v>
      </c>
    </row>
    <row r="2990" spans="1:9" x14ac:dyDescent="0.3">
      <c r="A2990">
        <v>12989</v>
      </c>
      <c r="B2990" s="2">
        <v>45185</v>
      </c>
      <c r="C2990" t="s">
        <v>12</v>
      </c>
      <c r="D2990" t="s">
        <v>17</v>
      </c>
      <c r="E2990" t="s">
        <v>20</v>
      </c>
      <c r="F2990">
        <v>16</v>
      </c>
      <c r="G2990">
        <v>53762</v>
      </c>
      <c r="H2990">
        <v>860192</v>
      </c>
      <c r="I2990">
        <f t="shared" si="46"/>
        <v>860192</v>
      </c>
    </row>
    <row r="2991" spans="1:9" x14ac:dyDescent="0.3">
      <c r="A2991">
        <v>12990</v>
      </c>
      <c r="B2991" s="2">
        <v>45132</v>
      </c>
      <c r="C2991" t="s">
        <v>8</v>
      </c>
      <c r="D2991" t="s">
        <v>16</v>
      </c>
      <c r="E2991" t="s">
        <v>24</v>
      </c>
      <c r="F2991">
        <v>16</v>
      </c>
      <c r="G2991">
        <v>41994</v>
      </c>
      <c r="H2991">
        <v>671904</v>
      </c>
      <c r="I2991">
        <f t="shared" si="46"/>
        <v>671904</v>
      </c>
    </row>
    <row r="2992" spans="1:9" x14ac:dyDescent="0.3">
      <c r="A2992">
        <v>12991</v>
      </c>
      <c r="B2992" s="2">
        <v>45261</v>
      </c>
      <c r="C2992" t="s">
        <v>10</v>
      </c>
      <c r="D2992" t="s">
        <v>18</v>
      </c>
      <c r="E2992" t="s">
        <v>23</v>
      </c>
      <c r="F2992">
        <v>17</v>
      </c>
      <c r="G2992">
        <v>44846</v>
      </c>
      <c r="H2992">
        <v>762382</v>
      </c>
      <c r="I2992">
        <f t="shared" si="46"/>
        <v>762382</v>
      </c>
    </row>
    <row r="2993" spans="1:9" x14ac:dyDescent="0.3">
      <c r="A2993">
        <v>12992</v>
      </c>
      <c r="B2993" s="2">
        <v>45126</v>
      </c>
      <c r="C2993" t="s">
        <v>10</v>
      </c>
      <c r="D2993" t="s">
        <v>16</v>
      </c>
      <c r="E2993" t="s">
        <v>19</v>
      </c>
      <c r="F2993">
        <v>15</v>
      </c>
      <c r="G2993">
        <v>23785</v>
      </c>
      <c r="H2993">
        <v>356775</v>
      </c>
      <c r="I2993">
        <f t="shared" si="46"/>
        <v>356775</v>
      </c>
    </row>
    <row r="2994" spans="1:9" x14ac:dyDescent="0.3">
      <c r="A2994">
        <v>12993</v>
      </c>
      <c r="B2994" s="2">
        <v>44957</v>
      </c>
      <c r="C2994" t="s">
        <v>13</v>
      </c>
      <c r="D2994" t="s">
        <v>17</v>
      </c>
      <c r="E2994" t="s">
        <v>23</v>
      </c>
      <c r="F2994">
        <v>1</v>
      </c>
      <c r="G2994">
        <v>40788</v>
      </c>
      <c r="H2994">
        <v>40788</v>
      </c>
      <c r="I2994">
        <f t="shared" si="46"/>
        <v>40788</v>
      </c>
    </row>
    <row r="2995" spans="1:9" x14ac:dyDescent="0.3">
      <c r="A2995">
        <v>12994</v>
      </c>
      <c r="B2995" s="2">
        <v>45227</v>
      </c>
      <c r="C2995" t="s">
        <v>10</v>
      </c>
      <c r="D2995" t="s">
        <v>18</v>
      </c>
      <c r="E2995" t="s">
        <v>21</v>
      </c>
      <c r="F2995">
        <v>4</v>
      </c>
      <c r="G2995">
        <v>12006</v>
      </c>
      <c r="H2995">
        <v>48024</v>
      </c>
      <c r="I2995">
        <f t="shared" si="46"/>
        <v>48024</v>
      </c>
    </row>
    <row r="2996" spans="1:9" x14ac:dyDescent="0.3">
      <c r="A2996">
        <v>12995</v>
      </c>
      <c r="B2996" s="2">
        <v>45238</v>
      </c>
      <c r="C2996" t="s">
        <v>10</v>
      </c>
      <c r="D2996" t="s">
        <v>16</v>
      </c>
      <c r="E2996" t="s">
        <v>24</v>
      </c>
      <c r="F2996">
        <v>19</v>
      </c>
      <c r="G2996">
        <v>14675</v>
      </c>
      <c r="H2996">
        <v>278825</v>
      </c>
      <c r="I2996">
        <f t="shared" si="46"/>
        <v>278825</v>
      </c>
    </row>
    <row r="2997" spans="1:9" x14ac:dyDescent="0.3">
      <c r="A2997">
        <v>12996</v>
      </c>
      <c r="B2997" s="2">
        <v>45099</v>
      </c>
      <c r="C2997" t="s">
        <v>9</v>
      </c>
      <c r="D2997" t="s">
        <v>15</v>
      </c>
      <c r="E2997" t="s">
        <v>21</v>
      </c>
      <c r="F2997">
        <v>13</v>
      </c>
      <c r="G2997">
        <v>48434</v>
      </c>
      <c r="H2997">
        <v>629642</v>
      </c>
      <c r="I2997">
        <f t="shared" si="46"/>
        <v>629642</v>
      </c>
    </row>
    <row r="2998" spans="1:9" x14ac:dyDescent="0.3">
      <c r="A2998">
        <v>12997</v>
      </c>
      <c r="B2998" s="2">
        <v>45037</v>
      </c>
      <c r="C2998" t="s">
        <v>9</v>
      </c>
      <c r="D2998" t="s">
        <v>18</v>
      </c>
      <c r="E2998" t="s">
        <v>23</v>
      </c>
      <c r="F2998">
        <v>11</v>
      </c>
      <c r="G2998">
        <v>14784</v>
      </c>
      <c r="H2998">
        <v>162624</v>
      </c>
      <c r="I2998">
        <f t="shared" si="46"/>
        <v>162624</v>
      </c>
    </row>
    <row r="2999" spans="1:9" x14ac:dyDescent="0.3">
      <c r="A2999">
        <v>12998</v>
      </c>
      <c r="B2999" s="2">
        <v>45075</v>
      </c>
      <c r="C2999" t="s">
        <v>10</v>
      </c>
      <c r="D2999" t="s">
        <v>17</v>
      </c>
      <c r="E2999" t="s">
        <v>19</v>
      </c>
      <c r="F2999">
        <v>7</v>
      </c>
      <c r="G2999">
        <v>46095</v>
      </c>
      <c r="H2999">
        <v>322665</v>
      </c>
      <c r="I2999">
        <f t="shared" si="46"/>
        <v>322665</v>
      </c>
    </row>
    <row r="3000" spans="1:9" x14ac:dyDescent="0.3">
      <c r="A3000">
        <v>12999</v>
      </c>
      <c r="B3000" s="2">
        <v>45025</v>
      </c>
      <c r="C3000" t="s">
        <v>9</v>
      </c>
      <c r="D3000" t="s">
        <v>17</v>
      </c>
      <c r="E3000" t="s">
        <v>21</v>
      </c>
      <c r="F3000">
        <v>6</v>
      </c>
      <c r="G3000">
        <v>18479</v>
      </c>
      <c r="H3000">
        <v>110874</v>
      </c>
      <c r="I3000">
        <f t="shared" si="46"/>
        <v>110874</v>
      </c>
    </row>
    <row r="3001" spans="1:9" x14ac:dyDescent="0.3">
      <c r="A3001">
        <v>13000</v>
      </c>
      <c r="B3001" s="2">
        <v>45098</v>
      </c>
      <c r="C3001" t="s">
        <v>14</v>
      </c>
      <c r="D3001" t="s">
        <v>16</v>
      </c>
      <c r="E3001" t="s">
        <v>19</v>
      </c>
      <c r="F3001">
        <v>16</v>
      </c>
      <c r="G3001">
        <v>51215</v>
      </c>
      <c r="H3001">
        <v>819440</v>
      </c>
      <c r="I3001">
        <f t="shared" si="46"/>
        <v>819440</v>
      </c>
    </row>
  </sheetData>
  <dataConsolidate topLabels="1">
    <dataRefs count="1">
      <dataRef ref="AF1:AG3001" sheet="Sheet1"/>
    </dataRefs>
  </dataConsolidate>
  <conditionalFormatting sqref="H2:H1048576">
    <cfRule type="cellIs" dxfId="0" priority="25" operator="greaterThan">
      <formula>100000</formula>
    </cfRule>
  </conditionalFormatting>
  <conditionalFormatting sqref="AB2">
    <cfRule type="iconSet" priority="1">
      <iconSet iconSet="3Symbols">
        <cfvo type="percent" val="0"/>
        <cfvo type="percent" val="33"/>
        <cfvo type="percent" val="67"/>
      </iconSe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{58412BCC-36F6-44BA-9F44-ACFD833C7D61}</x14:id>
        </ext>
      </extLst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{DB21008E-0947-4CAB-B964-CA1E6F418B43}</x14:id>
        </ext>
      </extLst>
    </cfRule>
  </conditionalFormatting>
  <conditionalFormatting sqref="AD2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{DBD1EC01-EF2F-45EB-A4A6-3570796732E5}</x14:id>
        </ext>
      </extLst>
    </cfRule>
    <cfRule type="iconSet" priority="2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9"/>
  <drawing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412BCC-36F6-44BA-9F44-ACFD833C7D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AB2</xm:sqref>
        </x14:conditionalFormatting>
        <x14:conditionalFormatting xmlns:xm="http://schemas.microsoft.com/office/excel/2006/main">
          <x14:cfRule type="iconSet" priority="2" id="{577AB7F7-9414-4765-8919-9FFCCEC4A56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dataBar" id="{DB21008E-0947-4CAB-B964-CA1E6F418B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AC2</xm:sqref>
        </x14:conditionalFormatting>
        <x14:conditionalFormatting xmlns:xm="http://schemas.microsoft.com/office/excel/2006/main">
          <x14:cfRule type="dataBar" id="{DBD1EC01-EF2F-45EB-A4A6-3570796732E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AD2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</dc:creator>
  <cp:lastModifiedBy>Rani Bhattacharya</cp:lastModifiedBy>
  <dcterms:created xsi:type="dcterms:W3CDTF">2026-01-17T17:15:32Z</dcterms:created>
  <dcterms:modified xsi:type="dcterms:W3CDTF">2026-01-19T17:09:30Z</dcterms:modified>
</cp:coreProperties>
</file>